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/>
  <workbookPr autoCompressPictures="0"/>
  <mc:AlternateContent xmlns:mc="http://schemas.openxmlformats.org/markup-compatibility/2006">
    <mc:Choice Requires="x15">
      <x15ac:absPath xmlns:x15ac="http://schemas.microsoft.com/office/spreadsheetml/2010/11/ac" url="C:\Users\minhd\OneDrive - George Mason University\Documents\Minh Vu\Education\George Mason University\Fall 2019\PatriotHacks\hack-sustainability-dashboard\"/>
    </mc:Choice>
  </mc:AlternateContent>
  <xr:revisionPtr revIDLastSave="5" documentId="8_{30070D24-6E69-A34A-A373-EE4227536744}" xr6:coauthVersionLast="41" xr6:coauthVersionMax="45" xr10:uidLastSave="{E51B7A24-3FAB-4A29-B9F2-B7D2AFBEF902}"/>
  <bookViews>
    <workbookView xWindow="-120" yWindow="-120" windowWidth="29040" windowHeight="15840" firstSheet="3" activeTab="5" xr2:uid="{00000000-000D-0000-FFFF-FFFF00000000}"/>
  </bookViews>
  <sheets>
    <sheet name="Campus Summary" sheetId="6" r:id="rId1"/>
    <sheet name="ARL Auxiliaries" sheetId="14" r:id="rId2"/>
    <sheet name="ARL E&amp;G" sheetId="17" r:id="rId3"/>
    <sheet name="FFX Auxiliaries" sheetId="2" r:id="rId4"/>
    <sheet name="FFX E&amp;G" sheetId="16" r:id="rId5"/>
    <sheet name="FFX Housing" sheetId="3" r:id="rId6"/>
    <sheet name="FFX Retail" sheetId="9" r:id="rId7"/>
    <sheet name="FFX Cell Towers" sheetId="10" r:id="rId8"/>
    <sheet name="S&amp;T Auiliaries" sheetId="13" r:id="rId9"/>
    <sheet name="S&amp;T E&amp;G" sheetId="15" r:id="rId10"/>
    <sheet name="S&amp;T Housing" sheetId="18" r:id="rId11"/>
    <sheet name="SMCS UTILITIES" sheetId="20" r:id="rId12"/>
  </sheet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39" i="14" l="1"/>
  <c r="C68" i="6"/>
  <c r="B68" i="6"/>
  <c r="D41" i="6"/>
  <c r="C41" i="6"/>
  <c r="D47" i="6"/>
  <c r="C47" i="6"/>
  <c r="D52" i="6"/>
  <c r="C52" i="6"/>
  <c r="D31" i="6"/>
  <c r="C31" i="6"/>
  <c r="D27" i="6"/>
  <c r="D33" i="6"/>
  <c r="C27" i="6"/>
  <c r="C11" i="6"/>
  <c r="D11" i="6"/>
  <c r="D15" i="6"/>
  <c r="C15" i="6"/>
  <c r="H687" i="2"/>
  <c r="H689" i="2"/>
  <c r="H384" i="2"/>
  <c r="J1464" i="16"/>
  <c r="J1466" i="16"/>
  <c r="H1464" i="16"/>
  <c r="H1466" i="16"/>
  <c r="H1063" i="16"/>
  <c r="H1065" i="16"/>
  <c r="J78" i="13"/>
  <c r="H78" i="13"/>
  <c r="J99" i="15"/>
  <c r="J101" i="15"/>
  <c r="H102" i="15"/>
  <c r="H99" i="15"/>
  <c r="H101" i="15"/>
  <c r="V15" i="15"/>
  <c r="T15" i="15"/>
  <c r="H601" i="16"/>
  <c r="J597" i="16"/>
  <c r="J600" i="16"/>
  <c r="H1291" i="3"/>
  <c r="H1293" i="3"/>
  <c r="H893" i="3"/>
  <c r="J214" i="15"/>
  <c r="H214" i="15"/>
  <c r="J164" i="15"/>
  <c r="H164" i="15"/>
  <c r="J1291" i="3"/>
  <c r="J1293" i="3"/>
  <c r="J890" i="3"/>
  <c r="J892" i="3"/>
  <c r="H890" i="3"/>
  <c r="H892" i="3"/>
  <c r="J43" i="18"/>
  <c r="H43" i="18"/>
  <c r="J58" i="18"/>
  <c r="H58" i="18"/>
  <c r="H28" i="18"/>
  <c r="J27" i="18"/>
  <c r="H27" i="18"/>
  <c r="J353" i="9"/>
  <c r="H353" i="9"/>
  <c r="J302" i="9"/>
  <c r="H302" i="9"/>
  <c r="J367" i="9"/>
  <c r="H367" i="9"/>
  <c r="J93" i="9"/>
  <c r="H93" i="9"/>
  <c r="J43" i="9"/>
  <c r="H43" i="9"/>
  <c r="J16" i="9"/>
  <c r="H16" i="9"/>
  <c r="J264" i="9"/>
  <c r="H264" i="9"/>
  <c r="J224" i="9"/>
  <c r="H224" i="9"/>
  <c r="J210" i="9"/>
  <c r="H210" i="9"/>
  <c r="J158" i="9"/>
  <c r="H158" i="9"/>
  <c r="J143" i="9"/>
  <c r="H143" i="9"/>
  <c r="H40" i="13"/>
  <c r="J39" i="13"/>
  <c r="H39" i="13"/>
  <c r="H40" i="14"/>
  <c r="H31" i="17"/>
  <c r="J75" i="10"/>
  <c r="H75" i="10"/>
  <c r="J45" i="17"/>
  <c r="H45" i="17"/>
  <c r="H597" i="16"/>
  <c r="H600" i="16"/>
  <c r="J1063" i="16"/>
  <c r="J1065" i="16"/>
  <c r="J915" i="16"/>
  <c r="J917" i="16"/>
  <c r="H915" i="16"/>
  <c r="H917" i="16"/>
  <c r="J687" i="2"/>
  <c r="J689" i="2"/>
  <c r="J551" i="2"/>
  <c r="H551" i="2"/>
  <c r="J140" i="13"/>
  <c r="H140" i="13"/>
  <c r="J927" i="2"/>
  <c r="H927" i="2"/>
  <c r="D68" i="6"/>
  <c r="D18" i="6"/>
  <c r="C33" i="6"/>
  <c r="C18" i="6"/>
  <c r="J67" i="20"/>
  <c r="J56" i="20"/>
  <c r="J45" i="20"/>
  <c r="J34" i="20"/>
  <c r="J23" i="20"/>
  <c r="J12" i="20"/>
  <c r="H67" i="20"/>
  <c r="H56" i="20"/>
  <c r="H45" i="20"/>
  <c r="H34" i="20"/>
  <c r="H23" i="20"/>
  <c r="H12" i="20"/>
  <c r="J111" i="17"/>
  <c r="H111" i="17"/>
  <c r="J72" i="17"/>
  <c r="H72" i="17"/>
  <c r="J381" i="2"/>
  <c r="J383" i="2"/>
  <c r="H381" i="2"/>
  <c r="C54" i="6"/>
  <c r="C58" i="6"/>
  <c r="J929" i="2"/>
  <c r="H929" i="2"/>
  <c r="H383" i="2"/>
  <c r="J39" i="14"/>
  <c r="J27" i="17"/>
  <c r="J30" i="17"/>
  <c r="H27" i="17"/>
  <c r="H30" i="17"/>
  <c r="H63" i="6"/>
  <c r="G63" i="6"/>
  <c r="H62" i="6"/>
  <c r="G62" i="6"/>
  <c r="H61" i="6"/>
  <c r="G61" i="6"/>
  <c r="I52" i="6"/>
  <c r="H52" i="6"/>
  <c r="I47" i="6"/>
  <c r="H47" i="6"/>
  <c r="I42" i="6"/>
  <c r="H42" i="6"/>
  <c r="I31" i="6"/>
  <c r="H31" i="6"/>
  <c r="I27" i="6"/>
  <c r="H27" i="6"/>
  <c r="H33" i="6"/>
  <c r="I16" i="6"/>
  <c r="H16" i="6"/>
  <c r="I11" i="6"/>
  <c r="H11" i="6"/>
  <c r="H54" i="6"/>
  <c r="H18" i="6"/>
  <c r="H58" i="6"/>
  <c r="B61" i="6"/>
  <c r="I33" i="6"/>
  <c r="H65" i="6"/>
  <c r="G65" i="6"/>
  <c r="I18" i="6"/>
  <c r="I54" i="6"/>
  <c r="D54" i="6"/>
  <c r="D58" i="6"/>
  <c r="I58" i="6"/>
  <c r="C61" i="6"/>
  <c r="I65" i="6"/>
</calcChain>
</file>

<file path=xl/sharedStrings.xml><?xml version="1.0" encoding="utf-8"?>
<sst xmlns="http://schemas.openxmlformats.org/spreadsheetml/2006/main" count="23459" uniqueCount="752">
  <si>
    <t>ARL</t>
  </si>
  <si>
    <t>FFX</t>
  </si>
  <si>
    <t>S&amp;T</t>
  </si>
  <si>
    <t xml:space="preserve"> </t>
  </si>
  <si>
    <t>Field House</t>
  </si>
  <si>
    <t>Electric</t>
  </si>
  <si>
    <t>KWH</t>
  </si>
  <si>
    <t>West Campus</t>
  </si>
  <si>
    <t>West Campus Rapidan Dr. Gate ELEC</t>
  </si>
  <si>
    <t>GMU ALL CAMPUSES FY15</t>
  </si>
  <si>
    <t>JULY 07, 2014 TO JUNE 30, 2015</t>
  </si>
  <si>
    <t>AUXILARY</t>
  </si>
  <si>
    <t>MMBTU</t>
  </si>
  <si>
    <t>COST</t>
  </si>
  <si>
    <t>ELEC</t>
  </si>
  <si>
    <t>GAS</t>
  </si>
  <si>
    <t>ENERGY</t>
  </si>
  <si>
    <t>#2 OIL</t>
  </si>
  <si>
    <t>TOTAL</t>
  </si>
  <si>
    <t>HOUSING</t>
  </si>
  <si>
    <t>ACADEMIC</t>
  </si>
  <si>
    <t>.</t>
  </si>
  <si>
    <t>GRAND TOTAL</t>
  </si>
  <si>
    <t>ARLINGTON GAS</t>
  </si>
  <si>
    <t>FFX GAS</t>
  </si>
  <si>
    <t>CHCP GAS</t>
  </si>
  <si>
    <t>NG TOTALS</t>
  </si>
  <si>
    <t>DKTH</t>
  </si>
  <si>
    <t>CHCP GAS IS INCLUDED IN ENERGY TOTALS</t>
  </si>
  <si>
    <t>CHCP ELECTRIC IS INCLUDED IN ENERGY TOTALS</t>
  </si>
  <si>
    <t>CHCP #2 OIL IS INCLUDED IN ENERGY TOTALS</t>
  </si>
  <si>
    <t>CHCP WATER IS INCLUDED IN ENERGY TOTALS</t>
  </si>
  <si>
    <t>BUILDING ENERGY COSTS NOT INCLUDED:</t>
  </si>
  <si>
    <t>POINT OF VIEW - UTILITIES WERE NOT ON</t>
  </si>
  <si>
    <t>RETAIL ENERGY COSTS THAT WERE</t>
  </si>
  <si>
    <t xml:space="preserve"> SUBTRACTED FROM BUILDING COST:</t>
  </si>
  <si>
    <t>ALAN &amp; SALLY MERTEN HALL</t>
  </si>
  <si>
    <t>NORTHERN NECK</t>
  </si>
  <si>
    <t>ROGERS</t>
  </si>
  <si>
    <t>BLUERIDGE/SANDBRIDGE</t>
  </si>
  <si>
    <t>PIEDMONT/TIDEWATER</t>
  </si>
  <si>
    <t>CELL TOWER ELEC SUBTRACTED FROM BUILDING COSTS:</t>
  </si>
  <si>
    <t>HAZEL HALL</t>
  </si>
  <si>
    <t>FENWICK LIBRARY</t>
  </si>
  <si>
    <t>KING HALL</t>
  </si>
  <si>
    <t>PLANETARY HALL</t>
  </si>
  <si>
    <t>Water</t>
  </si>
  <si>
    <t>KGAL</t>
  </si>
  <si>
    <t>Northern Neck</t>
  </si>
  <si>
    <t>Natural Gas</t>
  </si>
  <si>
    <t>STARBUCKSGAS01</t>
  </si>
  <si>
    <t>DKTHM</t>
  </si>
  <si>
    <t>RETAIL</t>
  </si>
  <si>
    <t>Pilot House</t>
  </si>
  <si>
    <t>PILOTHOUSEGAS01</t>
  </si>
  <si>
    <t>PILOTHOUSEDEM01</t>
  </si>
  <si>
    <t>PILOTHOUSEDEM03</t>
  </si>
  <si>
    <t>Alan &amp; Sally Merten Hall</t>
  </si>
  <si>
    <t>PANDAEXPRESSGAS01</t>
  </si>
  <si>
    <t>Water &amp; Sewer</t>
  </si>
  <si>
    <t>PANDAEXPRESSWTR01</t>
  </si>
  <si>
    <t>Blueridge/Sandbridge</t>
  </si>
  <si>
    <t>ONESTOPWTR01</t>
  </si>
  <si>
    <t>Piedmont/Tidewater</t>
  </si>
  <si>
    <t>AUNTIE_ANNES_WTR</t>
  </si>
  <si>
    <t>AUNTIEANNESWTR01</t>
  </si>
  <si>
    <t>EINSTEINBAGEL02WTR</t>
  </si>
  <si>
    <t>STARBUCKSWTR01</t>
  </si>
  <si>
    <t>Rogers</t>
  </si>
  <si>
    <t>SUBWAYWTR01</t>
  </si>
  <si>
    <t>MANHATTANPIZZAWTR01</t>
  </si>
  <si>
    <t>Energy</t>
  </si>
  <si>
    <t>MANHATTANPIZZABTU01</t>
  </si>
  <si>
    <t>ONESTOPBTU01</t>
  </si>
  <si>
    <t>EINSTEINBAGEL02BTU</t>
  </si>
  <si>
    <t>PANDAEXPRESSBTU01</t>
  </si>
  <si>
    <t>STARBUCKSBTU01</t>
  </si>
  <si>
    <t>STARBUCKS BTU01</t>
  </si>
  <si>
    <t>PILOTHOUSEBTU01</t>
  </si>
  <si>
    <t>SUBWAYBTU01</t>
  </si>
  <si>
    <t>UPS_BTU</t>
  </si>
  <si>
    <t>UPS BTU01</t>
  </si>
  <si>
    <t>PILOTHOUSEWTR/SWR01</t>
  </si>
  <si>
    <t>MANHATTANPIZZAGAS01</t>
  </si>
  <si>
    <t>Ikes Diner</t>
  </si>
  <si>
    <t>IKESDINERGAS</t>
  </si>
  <si>
    <t>IKES_DINER_DEM</t>
  </si>
  <si>
    <t>IKESDINERDEM</t>
  </si>
  <si>
    <t>Johnson Center</t>
  </si>
  <si>
    <t>PANERABREADDEM</t>
  </si>
  <si>
    <t>PANERA_BREAD WTR</t>
  </si>
  <si>
    <t>PANERA BREADWTR</t>
  </si>
  <si>
    <t>STARBUCKSDEM</t>
  </si>
  <si>
    <t>UPSDEM</t>
  </si>
  <si>
    <t>EINSTEINBAGE02LDEM</t>
  </si>
  <si>
    <t>EINSTEINBAGEL02DEM</t>
  </si>
  <si>
    <t>SUBWAYDEM</t>
  </si>
  <si>
    <t>ONESTOPDEM</t>
  </si>
  <si>
    <t>AUNTIEANNESDEM</t>
  </si>
  <si>
    <t>MANHATTANPIZZADEM</t>
  </si>
  <si>
    <t>PANERABREADBTU</t>
  </si>
  <si>
    <t>IKESDINERBTU</t>
  </si>
  <si>
    <t>King Hall</t>
  </si>
  <si>
    <t>CINGULAR_TELECOM_DEM</t>
  </si>
  <si>
    <t>KINGHALLDEM02</t>
  </si>
  <si>
    <t xml:space="preserve">Cell Tower </t>
  </si>
  <si>
    <t>Fenwick Library</t>
  </si>
  <si>
    <t>FENWICK_LIBRARY_SPRINT_01_DEM_03</t>
  </si>
  <si>
    <t>FENWICK_LIBRARY_SPRINT_01_DEM</t>
  </si>
  <si>
    <t>FENWICK_LIBRARY_SPRINT_02_DEM_04</t>
  </si>
  <si>
    <t>FENWICK_LIBRARY_SPRINT_02_DEM</t>
  </si>
  <si>
    <t>VERIZON_CENTER_DEM</t>
  </si>
  <si>
    <t>KINGHALLDEM04</t>
  </si>
  <si>
    <t>Planetary Hall</t>
  </si>
  <si>
    <t>PLANETARYHALLTMOBILEDEM01</t>
  </si>
  <si>
    <t>CRICKET_DEM</t>
  </si>
  <si>
    <t>KINGHALLDEM03</t>
  </si>
  <si>
    <t>Hazel Hall</t>
  </si>
  <si>
    <t>HAZELHALLVERIZON01DEM</t>
  </si>
  <si>
    <t>VERIZONCELLTOWER01DEM</t>
  </si>
  <si>
    <t>DEDUCT From Total Elec</t>
  </si>
  <si>
    <t>Aquatic Center</t>
  </si>
  <si>
    <t>AQUATICCENTERGAS01</t>
  </si>
  <si>
    <t>FIELDHOUSEGAS01</t>
  </si>
  <si>
    <t>JOHNSONCENTERGAS01</t>
  </si>
  <si>
    <t>Baker House</t>
  </si>
  <si>
    <t>BAKERHOUSEGAS01</t>
  </si>
  <si>
    <t>Mathy House</t>
  </si>
  <si>
    <t>MATHYHOUSEELEC01</t>
  </si>
  <si>
    <t>MATHYHOUSEGAS01</t>
  </si>
  <si>
    <t>Freedom Center</t>
  </si>
  <si>
    <t>FREEDOMCENTER01GAS</t>
  </si>
  <si>
    <t>MATHYHOUSEELEC02</t>
  </si>
  <si>
    <t>AQUATICCENTERDEM01</t>
  </si>
  <si>
    <t>Concert Hall</t>
  </si>
  <si>
    <t>CONCERTHALLDEM01</t>
  </si>
  <si>
    <t>Potomac Heights</t>
  </si>
  <si>
    <t>POTOMAC_HEIGHTS_DEM</t>
  </si>
  <si>
    <t>POTOMACHEIGHTSDEM01</t>
  </si>
  <si>
    <t>EagleBank Arena</t>
  </si>
  <si>
    <t>EAGLE_BANK_ARENA_DEM</t>
  </si>
  <si>
    <t>EAGLEBANKARENADEM01</t>
  </si>
  <si>
    <t>Mason Pond Parking Deck</t>
  </si>
  <si>
    <t>MASON_POND_PARKING_DECK_DEM</t>
  </si>
  <si>
    <t>MASONPONDPARKINGDECKDEM01</t>
  </si>
  <si>
    <t>Shenandoah PD</t>
  </si>
  <si>
    <t>SHENANDOAH_PARKING_DECK_DEM</t>
  </si>
  <si>
    <t>SHENANDOAHPARKINGDECKDEM01</t>
  </si>
  <si>
    <t>Student Union I</t>
  </si>
  <si>
    <t>STUDENT_UNION_DEM</t>
  </si>
  <si>
    <t>STUDENT UNION DEM01</t>
  </si>
  <si>
    <t>The Hub</t>
  </si>
  <si>
    <t>THE_HUB_DEM</t>
  </si>
  <si>
    <t>THEHUBDEM01</t>
  </si>
  <si>
    <t>JOHNSON_CENTER_AUX_DEM</t>
  </si>
  <si>
    <t>JOHNSONCENTERAUXDEM01</t>
  </si>
  <si>
    <t>Child Development Center</t>
  </si>
  <si>
    <t>CHILDDEVELOPMENTCENTERDEM01</t>
  </si>
  <si>
    <t>CHILDDEVLOPMENTCENTERDEM01</t>
  </si>
  <si>
    <t>Southside Dining</t>
  </si>
  <si>
    <t>SOUTHSIDE_DINNING_DEM</t>
  </si>
  <si>
    <t>SOUTHSIDEDININGDEM01</t>
  </si>
  <si>
    <t>SOUTHSIDEDININGGAS01</t>
  </si>
  <si>
    <t>Mathy House II Pool</t>
  </si>
  <si>
    <t>MATHYHOUSE2GAS01</t>
  </si>
  <si>
    <t>MATHYHOUSE2GAS02</t>
  </si>
  <si>
    <t>Mathy House III</t>
  </si>
  <si>
    <t>MATHYHOUSE3GAS01</t>
  </si>
  <si>
    <t>Rappahanock River PD</t>
  </si>
  <si>
    <t>RAPPAHANOCK_RIVER_PD_DEM</t>
  </si>
  <si>
    <t>RAPPAHANOCKRIVERPDDEM01</t>
  </si>
  <si>
    <t>Hazel Hall Parking Deck</t>
  </si>
  <si>
    <t>HAZELHALLPDIDEM</t>
  </si>
  <si>
    <t>HAZELHALLPDIIDEM</t>
  </si>
  <si>
    <t>MATHYHOUSE3ELEC01</t>
  </si>
  <si>
    <t>BRL</t>
  </si>
  <si>
    <t>BRL01GAS</t>
  </si>
  <si>
    <t>EVENT_MANAGER_01_DEM</t>
  </si>
  <si>
    <t>JOHNSONCENTERDEM02</t>
  </si>
  <si>
    <t>EVENT_MANAGER_02_DEM</t>
  </si>
  <si>
    <t>JOHNSONCENTERDEM03</t>
  </si>
  <si>
    <t>EVENT_MANAGER_03_DEM</t>
  </si>
  <si>
    <t>JOHNSONCENTERDEMO4</t>
  </si>
  <si>
    <t>Mason Global Center</t>
  </si>
  <si>
    <t>MASON_GLOBAL_CENTER_DEM</t>
  </si>
  <si>
    <t>MASONGLOBALCENTERDEM01</t>
  </si>
  <si>
    <t>HPAC</t>
  </si>
  <si>
    <t>HPAC01GAS</t>
  </si>
  <si>
    <t>MASONGLOBALCENTERGAS01</t>
  </si>
  <si>
    <t>AQUATICCENTERBTU01</t>
  </si>
  <si>
    <t>CONCERTHALLBTU01</t>
  </si>
  <si>
    <t>JOHNSON CENTER AUX BTU01</t>
  </si>
  <si>
    <t>JOHNSON CENTER BTU01</t>
  </si>
  <si>
    <t>EAGLEBANK ARENA  BTU01</t>
  </si>
  <si>
    <t>EABLEBANK ARENA BTU01</t>
  </si>
  <si>
    <t>POTOMAC HEIGHTS BTU01</t>
  </si>
  <si>
    <t>Skyline Fitness</t>
  </si>
  <si>
    <t>SKYLINE FITNESS BTU01</t>
  </si>
  <si>
    <t>STUDENT UNION BTU01</t>
  </si>
  <si>
    <t>THE HUB BTU01</t>
  </si>
  <si>
    <t>Founders Hall Parking Deck</t>
  </si>
  <si>
    <t>FOUNDERSHALLPARKINGDECK01DEM</t>
  </si>
  <si>
    <t>FOUNDERSHALLPDDEM</t>
  </si>
  <si>
    <t>AQUATICCENTERWAT/SWR01</t>
  </si>
  <si>
    <t>CONCERTHALLWTR/SWR01</t>
  </si>
  <si>
    <t>FIELDHOUSEWTR/SWR01</t>
  </si>
  <si>
    <t>JOHNSONCENTERAUXWTR/SWR</t>
  </si>
  <si>
    <t>MASONGLOBALCENTERWTR/SWR01</t>
  </si>
  <si>
    <t>MASONPONDPARKINGDECKWTR/SWR01</t>
  </si>
  <si>
    <t>MATHYHOUSEIWTR/SWR01</t>
  </si>
  <si>
    <t>EAGLEBANKARENAWTR/SWR01</t>
  </si>
  <si>
    <t>EAGLEBANKARENANWWATR/SWR02</t>
  </si>
  <si>
    <t>POTOMACHEIGHTSWTR/SWR01</t>
  </si>
  <si>
    <t>SHENANDOAHPARKINGDECKWTR/SWR01</t>
  </si>
  <si>
    <t>SOUTHSIDEDININGWTR/SWR01</t>
  </si>
  <si>
    <t>STUDENTUNIONWTR/SWR01</t>
  </si>
  <si>
    <t>THEHUBWTR/SWR01</t>
  </si>
  <si>
    <t>FIELDHOUSESOCCERFLDIWTR/SWR</t>
  </si>
  <si>
    <t>FIELDHOUSESOCCERFLDIIWTR/SWR</t>
  </si>
  <si>
    <t>FIELDHOUSEW.CAMPUSFLDWTR/SWR</t>
  </si>
  <si>
    <t>BAKERHOUSEWTR/SWR</t>
  </si>
  <si>
    <t>EAGLEBANKARENASEWTR/SWR</t>
  </si>
  <si>
    <t>CHILDDEVELOPMENTCTRWTR/SW</t>
  </si>
  <si>
    <t>Greenhouse</t>
  </si>
  <si>
    <t>GREENHOUSEGAS01</t>
  </si>
  <si>
    <t>GREENHOUSE_DEM</t>
  </si>
  <si>
    <t>GREENHOUSEDEM</t>
  </si>
  <si>
    <t>BRLIIWTR/SWR</t>
  </si>
  <si>
    <t>BRLIWTR/SWR</t>
  </si>
  <si>
    <t>FREEDOMCENTERWTR/SWR</t>
  </si>
  <si>
    <t>HPACWTR/SWR</t>
  </si>
  <si>
    <t>Vivarium</t>
  </si>
  <si>
    <t>VIVARIUMWTR/SWR</t>
  </si>
  <si>
    <t>FIELDHOUSEGENERATORGAS</t>
  </si>
  <si>
    <t>FREEDOMCENTERDEM</t>
  </si>
  <si>
    <t>HPACDEM</t>
  </si>
  <si>
    <t>SOUTHSIDE DINNING BTU01</t>
  </si>
  <si>
    <t>SOUTHSIDE DINING BTU01</t>
  </si>
  <si>
    <t>Arlington Original</t>
  </si>
  <si>
    <t>ARLINGTONORIGINAL01ELEC</t>
  </si>
  <si>
    <t>ARLINGTONORIGINAL01GAS</t>
  </si>
  <si>
    <t>Founders Hall</t>
  </si>
  <si>
    <t>FOUNDERSHALL01GAS</t>
  </si>
  <si>
    <t>092587092586H</t>
  </si>
  <si>
    <t>ARLINGTONORIGINALWTR/SWR</t>
  </si>
  <si>
    <t>FOUNDERSHALLWTR/SWR</t>
  </si>
  <si>
    <t>HAZELHALLWTR/SWR</t>
  </si>
  <si>
    <t>Hazel Hall/Founders</t>
  </si>
  <si>
    <t>Cell Tower Deduct</t>
  </si>
  <si>
    <t>Parking Decks AUX</t>
  </si>
  <si>
    <t>TOTAL E&amp;G</t>
  </si>
  <si>
    <t>GMU ALL CAMPUSES FY16</t>
  </si>
  <si>
    <t>Student TH 4262 Chain Bridge Road</t>
  </si>
  <si>
    <t>STUDENTTH4262ELEC01</t>
  </si>
  <si>
    <t>Student TH 4264 Chain Bridge Road</t>
  </si>
  <si>
    <t>STUDENTTH4264ELEC01</t>
  </si>
  <si>
    <t>Student TH 4266 Chain Bridge Road</t>
  </si>
  <si>
    <t>STUDENTTH4266ELEC01</t>
  </si>
  <si>
    <t>STUDENTTH4262ELEC02</t>
  </si>
  <si>
    <t>STUDENTTH4264ELEC02</t>
  </si>
  <si>
    <t>STUDENTTH4266ELEC02</t>
  </si>
  <si>
    <t>STUDENTTH4262ELEC03</t>
  </si>
  <si>
    <t>STUDENTTH4264ELEC03</t>
  </si>
  <si>
    <t>STUDENTTH4266ELEC03</t>
  </si>
  <si>
    <t>STUDENTTH4262ELEC04</t>
  </si>
  <si>
    <t>STUDENTTH4264ELEC04</t>
  </si>
  <si>
    <t>STUDENTTH4266ELEC04</t>
  </si>
  <si>
    <t>STUDENTTH4262ELEC05</t>
  </si>
  <si>
    <t>STUDENTTH4264ELEC05</t>
  </si>
  <si>
    <t>STUDENTTH4266ELEC05</t>
  </si>
  <si>
    <t>STUDENTTH4262ELEC06</t>
  </si>
  <si>
    <t>STUDENTTH4264ELEC06</t>
  </si>
  <si>
    <t>STUDENTTH4266ELEC06</t>
  </si>
  <si>
    <t>STUDENTTH4262ELEC07</t>
  </si>
  <si>
    <t>STUDENTTH4264ELEC07</t>
  </si>
  <si>
    <t>STUDENTTH4266ELEC07</t>
  </si>
  <si>
    <t>STUDENTTH4262ELEC08</t>
  </si>
  <si>
    <t>STUDENTTH4264ELEC08</t>
  </si>
  <si>
    <t>STUDENTTH4266ELEC08</t>
  </si>
  <si>
    <t>STUDENTTH4262ELEC09</t>
  </si>
  <si>
    <t>STUDENTTH4264ELEC09</t>
  </si>
  <si>
    <t>STUDENTTH4266ELEC09</t>
  </si>
  <si>
    <t>STUDENTTH4264EXTLIGHTELEC</t>
  </si>
  <si>
    <t>STUDENTTH4262ELEC10</t>
  </si>
  <si>
    <t>STUDENTTH4264ELEC10</t>
  </si>
  <si>
    <t>STUDENTTH4266ELEC10</t>
  </si>
  <si>
    <t>STUDENTTH4262ELEC11</t>
  </si>
  <si>
    <t>STUDENTTH4264ELEC11</t>
  </si>
  <si>
    <t>STUDENTTH4266ELEC11</t>
  </si>
  <si>
    <t>STUDENTTH4262ELEC12</t>
  </si>
  <si>
    <t>STUDENTTH4264ELEC12</t>
  </si>
  <si>
    <t>STUDENTTH4266ELEC12</t>
  </si>
  <si>
    <t>Adams Hall</t>
  </si>
  <si>
    <t>ADAMSHALLDEM01</t>
  </si>
  <si>
    <t>Amherst Hall</t>
  </si>
  <si>
    <t>AMHERSTHALLDEM01</t>
  </si>
  <si>
    <t>Brunswick Hall</t>
  </si>
  <si>
    <t>BRUNSWICKHALLDEM</t>
  </si>
  <si>
    <t>BRUNSWICKHALLDEM01</t>
  </si>
  <si>
    <t>Carroll Hall</t>
  </si>
  <si>
    <t>CARROLHALLDEM01</t>
  </si>
  <si>
    <t>CARROLLHALLDEM01</t>
  </si>
  <si>
    <t>Student Apartments I</t>
  </si>
  <si>
    <t>STUDENT_APTS_01_DEM</t>
  </si>
  <si>
    <t>STUDENTAPARTMENTS01DEM01</t>
  </si>
  <si>
    <t>Student Apartments II</t>
  </si>
  <si>
    <t>STUDENT_APTS_02_DEM</t>
  </si>
  <si>
    <t>STUDENTAPARTMENTS02DEM01</t>
  </si>
  <si>
    <t>Student Apartments III</t>
  </si>
  <si>
    <t>STUDENT_APT_03_DEM</t>
  </si>
  <si>
    <t>STUDENTAPARTMENTS03DEM01</t>
  </si>
  <si>
    <t>Student Apartments IV</t>
  </si>
  <si>
    <t>STUDENT_APT_04_DEM</t>
  </si>
  <si>
    <t>STUDENTAPARTMENTS04DEM01</t>
  </si>
  <si>
    <t>Student Apartments V</t>
  </si>
  <si>
    <t>STUDENT_APT_05_DEM</t>
  </si>
  <si>
    <t>STUDENTAPARTMENTS05DEM01</t>
  </si>
  <si>
    <t>Student Apartments VI</t>
  </si>
  <si>
    <t>STUDENT_APT_06_DEM</t>
  </si>
  <si>
    <t>STUDENTAPARTMENTS06DEM01</t>
  </si>
  <si>
    <t>STUDENT_APT_06A_DEM</t>
  </si>
  <si>
    <t>STUDENTAPARTMENTS06ADEM01</t>
  </si>
  <si>
    <t>Student Apartments VII</t>
  </si>
  <si>
    <t>STUDENT_APT_07_DEM</t>
  </si>
  <si>
    <t>STUDENTAPARTMENTS07DEM01</t>
  </si>
  <si>
    <t>Student Apartments VIII</t>
  </si>
  <si>
    <t>STUDENT_APT_08_DEM</t>
  </si>
  <si>
    <t>STUDENTAPARTMENTS08DEM01</t>
  </si>
  <si>
    <t>Student ApartmentsIX</t>
  </si>
  <si>
    <t>STUDENT_APT_09_DEM</t>
  </si>
  <si>
    <t>STUDENTAPARTMENTS09DEM01</t>
  </si>
  <si>
    <t>Commonwealth Hall</t>
  </si>
  <si>
    <t>COMMONWEALTHHALLDEM01</t>
  </si>
  <si>
    <t>Dominion Hall</t>
  </si>
  <si>
    <t>DOMINIONHALLDEM01</t>
  </si>
  <si>
    <t>Dickenson Hall</t>
  </si>
  <si>
    <t>DICKENSONHALLDEM01</t>
  </si>
  <si>
    <t>Eisenhower Hall</t>
  </si>
  <si>
    <t>EISENHOWER_HALL_DEM</t>
  </si>
  <si>
    <t>EISENHOWERHALLDEM01</t>
  </si>
  <si>
    <t>Essex Hall</t>
  </si>
  <si>
    <t>ESSEX_HALL_DEM</t>
  </si>
  <si>
    <t>ESSEXHALLDEM01</t>
  </si>
  <si>
    <t>Franklin Hall</t>
  </si>
  <si>
    <t>FRANKLIN_HALL_DEM</t>
  </si>
  <si>
    <t>FRANKLINHALLDEM01</t>
  </si>
  <si>
    <t>Grayson Hall</t>
  </si>
  <si>
    <t>GRAYSON_HALL_DEM</t>
  </si>
  <si>
    <t>GRAYSONHALLDEM01</t>
  </si>
  <si>
    <t>Liberty Square</t>
  </si>
  <si>
    <t>LIBERTY_SQUARE_DEM</t>
  </si>
  <si>
    <t>LIBERTYSQUAREDEM01</t>
  </si>
  <si>
    <t>Hanover Hall</t>
  </si>
  <si>
    <t>HANOVER_HALL_DEM</t>
  </si>
  <si>
    <t>HANOVERHALLDEM01</t>
  </si>
  <si>
    <t>Jackson Hall</t>
  </si>
  <si>
    <t>JACKSON_HALL_DEM</t>
  </si>
  <si>
    <t>JACKSONHALLDEM01</t>
  </si>
  <si>
    <t>Jefferson Hall</t>
  </si>
  <si>
    <t>JEFFERSON_HALL_DEM</t>
  </si>
  <si>
    <t>JEFFERSONHALLDEM01</t>
  </si>
  <si>
    <t>Lincoln Hall</t>
  </si>
  <si>
    <t>LINCOLN_HALL_DEM</t>
  </si>
  <si>
    <t>LINCOLNHALLDEM01</t>
  </si>
  <si>
    <t>Truman Hall</t>
  </si>
  <si>
    <t>TRUMAN_HALL_DEM</t>
  </si>
  <si>
    <t>TRUMANHALLDEM01</t>
  </si>
  <si>
    <t>Wilson Hall</t>
  </si>
  <si>
    <t>WILSONHALLDEM01</t>
  </si>
  <si>
    <t>Washington Hall</t>
  </si>
  <si>
    <t>WASHINGTON_HALL_DEM</t>
  </si>
  <si>
    <t>WASHINGTONDEM01</t>
  </si>
  <si>
    <t>BLUERIDGE/SANDBRIDGEDEM01</t>
  </si>
  <si>
    <t>PIEDMONT/TIDEWATERDEM01</t>
  </si>
  <si>
    <t>Eastern Shore</t>
  </si>
  <si>
    <t>EASTERN_SHORE_DEM</t>
  </si>
  <si>
    <t>EASTERNSHOREDEM01</t>
  </si>
  <si>
    <t>Hampton Roads</t>
  </si>
  <si>
    <t>HAMPTON_ROADS_DEM</t>
  </si>
  <si>
    <t>HAMPTONROADSDEM01</t>
  </si>
  <si>
    <t>ADAMSHALLBTU01</t>
  </si>
  <si>
    <t>AMHERSTHALLBTU01</t>
  </si>
  <si>
    <t>BRUNSWICKHALLBTU01</t>
  </si>
  <si>
    <t>COMMONWEALTHHALLBTU01</t>
  </si>
  <si>
    <t>DICKENSONHALLBTU01</t>
  </si>
  <si>
    <t>DOMINIONHALLBTU01</t>
  </si>
  <si>
    <t>EASTERNSHOREBTU01</t>
  </si>
  <si>
    <t>EISENHOWER HALL BTU01</t>
  </si>
  <si>
    <t>ESSEX HALL BTU01</t>
  </si>
  <si>
    <t>FRANKLIN HALL BTU01</t>
  </si>
  <si>
    <t>GRAYSON HALL BTU01</t>
  </si>
  <si>
    <t>HAMPTON ROADS BTU01</t>
  </si>
  <si>
    <t>HANOVER HALL BTU01</t>
  </si>
  <si>
    <t>Harrison Hall</t>
  </si>
  <si>
    <t>HARRISON HALL BTU01</t>
  </si>
  <si>
    <t>JACKSON HALL BTU01</t>
  </si>
  <si>
    <t>JEFFERSON HALL BTU01</t>
  </si>
  <si>
    <t>Kennedy Hall</t>
  </si>
  <si>
    <t>KENNEDY HALL BTU01</t>
  </si>
  <si>
    <t>LINCOLN HALL BTU01</t>
  </si>
  <si>
    <t>Madison Hall</t>
  </si>
  <si>
    <t>MADISON HALL BTU01</t>
  </si>
  <si>
    <t>Monroe Hall</t>
  </si>
  <si>
    <t>MONROE HALL BTU01</t>
  </si>
  <si>
    <t>BLUERIDGE/SANDBRIDGEBTU01</t>
  </si>
  <si>
    <t>PIEDMONT/TIDEWATERBTU01</t>
  </si>
  <si>
    <t>NORTHERNNECKBTU01</t>
  </si>
  <si>
    <t>NORTHERN NECK BTU01</t>
  </si>
  <si>
    <t>Roosevelt Hall</t>
  </si>
  <si>
    <t>ROOSEVELT HALL BTU01</t>
  </si>
  <si>
    <t>TRUMAN HALL BTU01</t>
  </si>
  <si>
    <t>WASHINGTON HALL BTU01</t>
  </si>
  <si>
    <t>Student Apartments  I - IX</t>
  </si>
  <si>
    <t>STUDENT APARTMENTS 1-9 BTU01</t>
  </si>
  <si>
    <t>STUDENT APARTMENTS BTU01</t>
  </si>
  <si>
    <t>LIBERTY SQUARE BTU01</t>
  </si>
  <si>
    <t>Whitetop</t>
  </si>
  <si>
    <t>WHITETOP_DEM</t>
  </si>
  <si>
    <t>WHITETOPDEM01</t>
  </si>
  <si>
    <t>RODGERSDEM01</t>
  </si>
  <si>
    <t>ROGERSDEM01</t>
  </si>
  <si>
    <t>ROGERSBTU01</t>
  </si>
  <si>
    <t>RODGERSBTU01</t>
  </si>
  <si>
    <t>WHITETOP BTU01</t>
  </si>
  <si>
    <t>CARROLL HALL BTU01</t>
  </si>
  <si>
    <t>CARROLLHALLBTU01</t>
  </si>
  <si>
    <t>Beacon Hall</t>
  </si>
  <si>
    <t>BEACONHALL01GAS</t>
  </si>
  <si>
    <t>NORTHERNNECKDEM01</t>
  </si>
  <si>
    <t>ADAMSHALLWTR/SWR01</t>
  </si>
  <si>
    <t>BLUERIDGE/SANDBRIDGEWTR/SWR01</t>
  </si>
  <si>
    <t>COMMONWEALTHHALLWTR/SWR</t>
  </si>
  <si>
    <t>DOMINIONHALLWTR/SWR01</t>
  </si>
  <si>
    <t>EASTERNSHOREWTR/SWR01</t>
  </si>
  <si>
    <t>EISENHOWERHALLWTR/SWR01</t>
  </si>
  <si>
    <t>Commons WTR/SWR</t>
  </si>
  <si>
    <t>COMMONSWTR/SWR</t>
  </si>
  <si>
    <t>HARRISONHALLWTR/SWR01</t>
  </si>
  <si>
    <t>JACKSONHALLWTR/SWR01</t>
  </si>
  <si>
    <t>KENNEDYHALLWTR/SWR01</t>
  </si>
  <si>
    <t>LIBERTYSQUAREWTR/SWR01</t>
  </si>
  <si>
    <t>LINCOLNHALLWTR/SWR01</t>
  </si>
  <si>
    <t>MADISONHALLWTR/SWR01</t>
  </si>
  <si>
    <t>MONROEHALLWTR/SWR01</t>
  </si>
  <si>
    <t>NORTHERNNECKWTR/SWR01</t>
  </si>
  <si>
    <t>ROGERSWTR/SWR01</t>
  </si>
  <si>
    <t>ROOSEVELTHALLWTR/SWR01</t>
  </si>
  <si>
    <t>STUDENTAPARTMENTSWTR/SWR01</t>
  </si>
  <si>
    <t>TRUMANHALLWTR/SWR01</t>
  </si>
  <si>
    <t>WHITETOPWTR/SWR01</t>
  </si>
  <si>
    <t>STUDENTTOWNHOUSE4262WTR/SWR</t>
  </si>
  <si>
    <t>STUDENTTOWNHOUSE4264WTR/SWR</t>
  </si>
  <si>
    <t>STUDENTTOWNHOUSE4266WTR/SWR</t>
  </si>
  <si>
    <t>Taylor Hall</t>
  </si>
  <si>
    <t>TAYLORHALLWTR/SWR</t>
  </si>
  <si>
    <t>TAYLOR_HALL_DEM</t>
  </si>
  <si>
    <t>TAYLORHALLDEM</t>
  </si>
  <si>
    <t>BEACONHALL WTR/SWR</t>
  </si>
  <si>
    <t>AMHERSTHALLWTR/SWR</t>
  </si>
  <si>
    <t>BRUNSWICKHALLWTR/SWR</t>
  </si>
  <si>
    <t>CARROLLHALLWTR/SWR</t>
  </si>
  <si>
    <t>DICKENSONHALLWTR/SWR</t>
  </si>
  <si>
    <t>ESSEXHALLWTR/SWR</t>
  </si>
  <si>
    <t>FRANKLINHALLWTR/SWR</t>
  </si>
  <si>
    <t>GRAYSONHALLWTR/SWR</t>
  </si>
  <si>
    <t>HANOVERHALLWTR/SWR</t>
  </si>
  <si>
    <t>WILSONHALLBTU</t>
  </si>
  <si>
    <t>TAYLORHALLBTU</t>
  </si>
  <si>
    <t>Deduct from Housing Elec</t>
  </si>
  <si>
    <t>Occoquan</t>
  </si>
  <si>
    <t>OCCOQUAN01ELEC</t>
  </si>
  <si>
    <t>Discovery Hall</t>
  </si>
  <si>
    <t>DISCOVERYHALL01ELEC</t>
  </si>
  <si>
    <t>OCCOQUAN01GAS</t>
  </si>
  <si>
    <t>Bull Run Hall</t>
  </si>
  <si>
    <t>BULLRUNHALL01ELEC</t>
  </si>
  <si>
    <t>DISCOVERYHALL01GAS</t>
  </si>
  <si>
    <t>BULLRUNHALL01GAS</t>
  </si>
  <si>
    <t>OCCOQUAN01DEM</t>
  </si>
  <si>
    <t>DISCOVERYHALL01DEM</t>
  </si>
  <si>
    <t>Smart Lab</t>
  </si>
  <si>
    <t>SMARTLAB01GAS</t>
  </si>
  <si>
    <t>SMARTLAB01ELEC</t>
  </si>
  <si>
    <t>Advanced Bio Research Lab</t>
  </si>
  <si>
    <t>ADVBIORESLABGAS</t>
  </si>
  <si>
    <t>BULLRUNDEM</t>
  </si>
  <si>
    <t>OCCOQUANIWTR/SWR</t>
  </si>
  <si>
    <t>OCCOQUANIIWTR</t>
  </si>
  <si>
    <t>DISCOVERYHALLWTR/SWR</t>
  </si>
  <si>
    <t>BULLRUNHALLWTR/SWR</t>
  </si>
  <si>
    <t>ADVANCEDBIORESEARCHLABDEM</t>
  </si>
  <si>
    <t>BEACONHALLIIIRETAILDEM</t>
  </si>
  <si>
    <t>BEACON HALLIIIRETAILDEM</t>
  </si>
  <si>
    <t>Deduct from E&amp;G</t>
  </si>
  <si>
    <t>S&amp;T GAS</t>
  </si>
  <si>
    <t>Krasnow</t>
  </si>
  <si>
    <t>KRASNOWGAS01</t>
  </si>
  <si>
    <t>Thompson Hall</t>
  </si>
  <si>
    <t>THOMPSONHALLGAS01</t>
  </si>
  <si>
    <t>KRASNOWGAS02</t>
  </si>
  <si>
    <t>East</t>
  </si>
  <si>
    <t>EASTDEM01</t>
  </si>
  <si>
    <t>Enterprise Hall</t>
  </si>
  <si>
    <t>ENTERPRISE_HALL_DEM</t>
  </si>
  <si>
    <t>ENTERPRISEHALLDEM01</t>
  </si>
  <si>
    <t>Music Theater Building</t>
  </si>
  <si>
    <t>MUSIC_THEATRE_BUILDING_DEM</t>
  </si>
  <si>
    <t>MUSICTHEATREBUILDINGDEM01</t>
  </si>
  <si>
    <t>Harris Theatre</t>
  </si>
  <si>
    <t>HARRIS_THEATER_DEM</t>
  </si>
  <si>
    <t>HARRISTHEATREDEM01</t>
  </si>
  <si>
    <t>Innovation Hall</t>
  </si>
  <si>
    <t>INNOVATION_HALL_DEM</t>
  </si>
  <si>
    <t>INNOVATIONHALLDEM01</t>
  </si>
  <si>
    <t>Krug Hall</t>
  </si>
  <si>
    <t>KRUG_HALL_DEM</t>
  </si>
  <si>
    <t>KRUGHALLDEM01</t>
  </si>
  <si>
    <t>KING_HALL_DEM</t>
  </si>
  <si>
    <t>KINGHALLDEM01</t>
  </si>
  <si>
    <t>KRASNOW_DEM01</t>
  </si>
  <si>
    <t>KRASNOWDEM01</t>
  </si>
  <si>
    <t>KRASNOW_CHILLER_DEM</t>
  </si>
  <si>
    <t>Lecture Hall</t>
  </si>
  <si>
    <t>LECTURE_HALL_DEM</t>
  </si>
  <si>
    <t>LECTUREHALLDEM01</t>
  </si>
  <si>
    <t>KRASNOW_MRI_DEM</t>
  </si>
  <si>
    <t>Performing Arts</t>
  </si>
  <si>
    <t>PERFORMINGARTSDEM01</t>
  </si>
  <si>
    <t>Research Hall</t>
  </si>
  <si>
    <t>RESEARCH_HALL_DEM</t>
  </si>
  <si>
    <t>RESEARCHHALLDEM01</t>
  </si>
  <si>
    <t>PLANETARYHALLDEM01</t>
  </si>
  <si>
    <t>Exploratory Hall</t>
  </si>
  <si>
    <t>EXPLORATORY_HALL_DEM</t>
  </si>
  <si>
    <t>EXPLORATORYHALLDEM01</t>
  </si>
  <si>
    <t>THOMPSON_HALL_DEM_01</t>
  </si>
  <si>
    <t>THOMPSON_HALL_DEM</t>
  </si>
  <si>
    <t>KRASNOW_NEW_ADDITION_DEM</t>
  </si>
  <si>
    <t>KRASNOWDEM02</t>
  </si>
  <si>
    <t>Engineering</t>
  </si>
  <si>
    <t>ENGINEERING_DEM</t>
  </si>
  <si>
    <t>ENGINEERINGDEM01</t>
  </si>
  <si>
    <t>Art &amp; Design</t>
  </si>
  <si>
    <t>ART&amp;DESIGNDEM01</t>
  </si>
  <si>
    <t>ART&amp;DESIGNBTU01</t>
  </si>
  <si>
    <t>EASTBTU01</t>
  </si>
  <si>
    <t>ENGINEERING BTU01</t>
  </si>
  <si>
    <t>ENTERPRISE HALL BTU01</t>
  </si>
  <si>
    <t>MUSIC THEATRE BUILDING BTU01</t>
  </si>
  <si>
    <t>HARRIS THEATRE BTU01</t>
  </si>
  <si>
    <t>INNOVATION HALL BTU01</t>
  </si>
  <si>
    <t>KING HALL BTU01</t>
  </si>
  <si>
    <t>KRASNOW BTU01</t>
  </si>
  <si>
    <t>LECTURE HALL BTU01</t>
  </si>
  <si>
    <t>Mason Hall</t>
  </si>
  <si>
    <t>MASON HALL BTU01</t>
  </si>
  <si>
    <t>PERFORMINGARTSBTU01</t>
  </si>
  <si>
    <t>RESEARCH HALL BTU01</t>
  </si>
  <si>
    <t>PLANETARYHALLBTU01</t>
  </si>
  <si>
    <t>EXPLORATORY HALL BTU01</t>
  </si>
  <si>
    <t>ARTANDDESIGNWTR/SWR01</t>
  </si>
  <si>
    <t>ENGINEERINGWTR/SWR01</t>
  </si>
  <si>
    <t>ENTERPRISEHALLWTR/SWR01</t>
  </si>
  <si>
    <t>EXPLORATORYHALLWTR/SWR01</t>
  </si>
  <si>
    <t>MUSICTHEATREBUILDINGSWTR/SWR01</t>
  </si>
  <si>
    <t>INNOVATIONHALLWTR/SWR01</t>
  </si>
  <si>
    <t>KINGHALLWTR/SWR01</t>
  </si>
  <si>
    <t>KRASNOWINSTITUTEWTR/SWR01</t>
  </si>
  <si>
    <t>KRASNOWNEWADDITIONWTR/SWR02</t>
  </si>
  <si>
    <t>LECTUREHALLWTR/SWR01</t>
  </si>
  <si>
    <t>MASONHALLWTR/SWR01</t>
  </si>
  <si>
    <t>PLANETARYHALLWTR/SWR01</t>
  </si>
  <si>
    <t>RESEARCHHALLWTR/SWR01</t>
  </si>
  <si>
    <t>THOMPSONHALLWTR/SWR01</t>
  </si>
  <si>
    <t>Deduct from Housing</t>
  </si>
  <si>
    <t>Retail Deduct from Aux</t>
  </si>
  <si>
    <t>ARLINGTON AUXILIARIES</t>
  </si>
  <si>
    <t>ARLINGTON E&amp;G</t>
  </si>
  <si>
    <t>FAIRFAX AUXILIARIES</t>
  </si>
  <si>
    <t>Buchanan House</t>
  </si>
  <si>
    <t>BUCHANANHOUSEGAS01</t>
  </si>
  <si>
    <t>FENWICKLIBRARYGAS01</t>
  </si>
  <si>
    <t>Alumni House</t>
  </si>
  <si>
    <t>ALUMNIHOUSEGAS01</t>
  </si>
  <si>
    <t>Carty House - Kelley Dr 10808</t>
  </si>
  <si>
    <t>CARTYHOUSEGAS01</t>
  </si>
  <si>
    <t>Tallwood Annex</t>
  </si>
  <si>
    <t>TALLWOODGAS01</t>
  </si>
  <si>
    <t>Tallwood Cottage</t>
  </si>
  <si>
    <t>TALLWOODCOTTAGEGAS01</t>
  </si>
  <si>
    <t>Facilities Management</t>
  </si>
  <si>
    <t>FACILITIESMANAGEMENTGAS01</t>
  </si>
  <si>
    <t>RAC</t>
  </si>
  <si>
    <t>RACGAS01</t>
  </si>
  <si>
    <t>Warehouse</t>
  </si>
  <si>
    <t>WAREHOUSEGAS01</t>
  </si>
  <si>
    <t>Deduct from Retail Energy</t>
  </si>
  <si>
    <t>Deduct from Retail W/S Use</t>
  </si>
  <si>
    <t>RETAIL STORES UTILITIES THAT WERE REIMBURSED</t>
  </si>
  <si>
    <t>Deduct from E&amp;G Gas</t>
  </si>
  <si>
    <t>Deduct from E&amp;G Elec</t>
  </si>
  <si>
    <t>Deduct from Aux elec</t>
  </si>
  <si>
    <t>Deduct from Aux WTR</t>
  </si>
  <si>
    <t>Deduct from Housing WTR</t>
  </si>
  <si>
    <t>Deduct from E&amp;G WTR</t>
  </si>
  <si>
    <t>Deduct from Housing Energy</t>
  </si>
  <si>
    <t>Deduct from Aux Energy</t>
  </si>
  <si>
    <t>Deduct from E&amp;G Energy</t>
  </si>
  <si>
    <t>DEDUCT FROM RETAIL</t>
  </si>
  <si>
    <t>FAIRFAX CELL TOWERS</t>
  </si>
  <si>
    <t>Deduct from E&amp;G ELEC</t>
  </si>
  <si>
    <t>S&amp;T HOUSING</t>
  </si>
  <si>
    <t>BEACON HALL RETAIL DEDUCT</t>
  </si>
  <si>
    <t>S&amp;T E&amp;G</t>
  </si>
  <si>
    <t>S&amp;T AUXILIARIES</t>
  </si>
  <si>
    <t>SUBTRACTED FROM BUILDING COST:</t>
  </si>
  <si>
    <t>Smithsonian Dining Hall</t>
  </si>
  <si>
    <t>SMITHSONIANDININGHALLWTR01</t>
  </si>
  <si>
    <t>SMITHSONIANDINING01WTR</t>
  </si>
  <si>
    <t>Smithsonian Residence Hall</t>
  </si>
  <si>
    <t>SMITHSONIANRESIDENCEHALLWTR01</t>
  </si>
  <si>
    <t>SMITHSONIANRESIDENCEHALL01WTR</t>
  </si>
  <si>
    <t>Smithsonian Student Center</t>
  </si>
  <si>
    <t>SMITHSONIANSTUDENTCENTERWTR01</t>
  </si>
  <si>
    <t>SMITHSONIANSTUDENTCENTER01WTR</t>
  </si>
  <si>
    <t>SMITHSONIANDININGHALLELEC01</t>
  </si>
  <si>
    <t>SMITHSONIANDINING01ELEC</t>
  </si>
  <si>
    <t>SMITHSONIAN_STUDENT_CENTER</t>
  </si>
  <si>
    <t>SMITHSONIANSTUDENTCENTER01ELEC</t>
  </si>
  <si>
    <t>SMITHSONIANRESIDENCEHALLELEC01</t>
  </si>
  <si>
    <t>SMITHSONIANRESIDENCEHALL01ELEC</t>
  </si>
  <si>
    <t>AUXILIARY</t>
  </si>
  <si>
    <t>SMCS UTILITIES</t>
  </si>
  <si>
    <t>HAZELHALLELECMETER01ARL</t>
  </si>
  <si>
    <t>FIELDHOUSEELEC01</t>
  </si>
  <si>
    <t>BAKERHOUSEELEC01</t>
  </si>
  <si>
    <t>FIELDHOUSEELEC02</t>
  </si>
  <si>
    <t>FIELDHOUSEELEC03</t>
  </si>
  <si>
    <t>FIELDHOUSEDEM01</t>
  </si>
  <si>
    <t>WESTCAMPUSPARKINGELEC</t>
  </si>
  <si>
    <t>WESTCAMPUSMAINTENANCEBLDGELEC</t>
  </si>
  <si>
    <t>WESTCAMPUSDRIVELIGHTSELEC</t>
  </si>
  <si>
    <t>WESTCAMPUSPAVILIONELEC</t>
  </si>
  <si>
    <t>WESTCAMPUSTENNISELEC</t>
  </si>
  <si>
    <t>BUCHANANHOUSEELEC01</t>
  </si>
  <si>
    <t>ALUMNIHOUSEELEC01</t>
  </si>
  <si>
    <t>CARTYHOUSEELEC01</t>
  </si>
  <si>
    <t>TALLWOODANNEXELEC01</t>
  </si>
  <si>
    <t>TALLWOODANNEXELEC02</t>
  </si>
  <si>
    <t>TALLWOODCOTTAGEELEC01</t>
  </si>
  <si>
    <t>TALLWOODANNEXELEC03</t>
  </si>
  <si>
    <t>TALLWOODANNEXELEC04</t>
  </si>
  <si>
    <t>Carow Hall</t>
  </si>
  <si>
    <t>CAROWHALLDEM01</t>
  </si>
  <si>
    <t>Rivanna Module</t>
  </si>
  <si>
    <t>RIVANNA_MODULE_DEM</t>
  </si>
  <si>
    <t>RIVANNAMODULEDEM01</t>
  </si>
  <si>
    <t>Finley</t>
  </si>
  <si>
    <t>FINLEY_DEM</t>
  </si>
  <si>
    <t>FINLEYDEM01</t>
  </si>
  <si>
    <t>Facilities Administration</t>
  </si>
  <si>
    <t>FACILITIES_ADMIN_DEM</t>
  </si>
  <si>
    <t>FACILITIESADMINISTRATIONDEM01</t>
  </si>
  <si>
    <t>West</t>
  </si>
  <si>
    <t>WEST_DEM</t>
  </si>
  <si>
    <t>WESTDEM01</t>
  </si>
  <si>
    <t>FENWICK_LIBRARY_A_DEM</t>
  </si>
  <si>
    <t>FENWICK_LIBRARY_BCD_DEM</t>
  </si>
  <si>
    <t>NE Module I</t>
  </si>
  <si>
    <t>NORTH_EAST_MODULE_1_DEM</t>
  </si>
  <si>
    <t>NEMODULE1DEM01</t>
  </si>
  <si>
    <t>Nottaway Annex</t>
  </si>
  <si>
    <t>NOTTOWAY_ANNEX_DEM</t>
  </si>
  <si>
    <t>NOTTOWAYANNEXDEM01</t>
  </si>
  <si>
    <t>FACILITIES_MANAGEMENT_DEM</t>
  </si>
  <si>
    <t>FACILITIESMANAGEMENTDEM01</t>
  </si>
  <si>
    <t>Robinson Hall</t>
  </si>
  <si>
    <t>ROBINSONHALLADEM01</t>
  </si>
  <si>
    <t>ROBINSONHALLBDEM01</t>
  </si>
  <si>
    <t>NE Module II</t>
  </si>
  <si>
    <t>NORTH_EAST_MODULE_2_DEM</t>
  </si>
  <si>
    <t>NEMODULEIIDEM01</t>
  </si>
  <si>
    <t>West PE Module</t>
  </si>
  <si>
    <t>ACADEMICMODULEDEM01</t>
  </si>
  <si>
    <t>WESTPEMODULEDEM01</t>
  </si>
  <si>
    <t>RACDEM01</t>
  </si>
  <si>
    <t>Carpenter Shop &amp; Archives</t>
  </si>
  <si>
    <t>CARPENTERSHOP&amp;ARCHIVESDEM01</t>
  </si>
  <si>
    <t>Police &amp; Safety Headquarters</t>
  </si>
  <si>
    <t>POLICE_HQ_DEM</t>
  </si>
  <si>
    <t>POLICE&amp;SAFETYHEADQUARTERSDEM01</t>
  </si>
  <si>
    <t>Aquia</t>
  </si>
  <si>
    <t>AQUIADEM01</t>
  </si>
  <si>
    <t>ALAN&amp;SALLYMERTENHALLDEM01</t>
  </si>
  <si>
    <t>AQUIABTU01</t>
  </si>
  <si>
    <t>CAROWHALLBTU01</t>
  </si>
  <si>
    <t>FACILITIES ADMINISTRATION BTU01</t>
  </si>
  <si>
    <t>FACILITIES MANAGEMENT BTU01</t>
  </si>
  <si>
    <t>FENWICK LIBRARY BTU01</t>
  </si>
  <si>
    <t>JOHSON CENTER BTU01</t>
  </si>
  <si>
    <t>ROBINSONHALLBTU01</t>
  </si>
  <si>
    <t>ROBINSON ALLBTU01</t>
  </si>
  <si>
    <t>WAREHOUSE BTU01</t>
  </si>
  <si>
    <t>WEST BTU01</t>
  </si>
  <si>
    <t>ALAN&amp;SALLYMERTENHALLBTU01</t>
  </si>
  <si>
    <t>WAREHOUSE_DEM</t>
  </si>
  <si>
    <t>WAREHOUSEDEM01</t>
  </si>
  <si>
    <t>College Hall</t>
  </si>
  <si>
    <t>COLLEGEHALLBTU01</t>
  </si>
  <si>
    <t>AQUIAWTR/SWR01</t>
  </si>
  <si>
    <t>CARTYHOUSEWTR/SWR01</t>
  </si>
  <si>
    <t>FACILITIESADMINISTRATIONWTR/SWR0</t>
  </si>
  <si>
    <t>FACILITIESMANAGEMENTWTR/SWR01</t>
  </si>
  <si>
    <t>FENWICKLIBRARYIIWTR/SWR</t>
  </si>
  <si>
    <t>NORTHEASTMODULEIWTR/SWR01</t>
  </si>
  <si>
    <t>NORTHEASTMODULEIIWTR/SWR02</t>
  </si>
  <si>
    <t>NOTTOWAYANNEXWTR/SWR01</t>
  </si>
  <si>
    <t>POLICE&amp;SAFETYHEADQUARTERSWTR/SWR</t>
  </si>
  <si>
    <t>RACWTR/SWR01</t>
  </si>
  <si>
    <t>RIVANNAMODULEIWTR/SWR</t>
  </si>
  <si>
    <t>RIVANNAMODULEIIWTR/SWR</t>
  </si>
  <si>
    <t>ROBINSONHALLWTR/SWR01</t>
  </si>
  <si>
    <t>ALAN&amp;SALLYMERTENHALLWTR/SWR01</t>
  </si>
  <si>
    <t>WAREHOUSEWTR/SWR01</t>
  </si>
  <si>
    <t>WESTWTR/SWR01</t>
  </si>
  <si>
    <t>ALUMNIHOUSEWTR/SWR01</t>
  </si>
  <si>
    <t>TALLWOODHOUSE&amp;ANNEXWTR/SWR</t>
  </si>
  <si>
    <t>TALLWOODCOTTAGEWTR/SWR</t>
  </si>
  <si>
    <t>BUCHANANHOUSEWTR/SWR</t>
  </si>
  <si>
    <t>CAROWHALLWTR/SWR</t>
  </si>
  <si>
    <t>JOHNSONCENTERE&amp;GWTR/SWR</t>
  </si>
  <si>
    <t>JOHNSONCENTERE&amp;GDEM</t>
  </si>
  <si>
    <t>Deduct from FFX Cell Towers</t>
  </si>
  <si>
    <t>BRLDEM</t>
  </si>
  <si>
    <t>PANDAEXPRESSDEM</t>
  </si>
  <si>
    <t>BEACONHALLIDEM</t>
  </si>
  <si>
    <t>BEACONHALLIIDEM</t>
  </si>
  <si>
    <t>Deduct from Retail Elec</t>
  </si>
  <si>
    <t>Deduct From Retail Energy</t>
  </si>
  <si>
    <t>Deduct from Retail NG</t>
  </si>
  <si>
    <t>FAIRFAX E&amp;G</t>
  </si>
  <si>
    <t>JOHNSON CENTER</t>
  </si>
  <si>
    <t>POINT OF VIEW - UTILITIES WERE NOT INCLUDED</t>
  </si>
  <si>
    <t>JULY 01, 2015 TO JUNE 30, 2016</t>
  </si>
  <si>
    <t>FY16 FY15 +/- DATA</t>
  </si>
  <si>
    <t>Start Date</t>
  </si>
  <si>
    <t>End Date</t>
  </si>
  <si>
    <t>Housing Location</t>
  </si>
  <si>
    <t>Type of Energy</t>
  </si>
  <si>
    <t>Cost</t>
  </si>
  <si>
    <t>Unit</t>
  </si>
  <si>
    <t>Usage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</si>
</sst>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_);[Red]\(&quot;$&quot;#,##0.00\)"/>
    <numFmt numFmtId="164" formatCode="&quot;$&quot;#,##0.0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8DB4E2"/>
        <bgColor rgb="FF000000"/>
      </patternFill>
    </fill>
    <fill>
      <patternFill patternType="solid">
        <fgColor rgb="FFA6A6A6"/>
        <bgColor rgb="FF000000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rgb="FF000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59999389629810485"/>
        <bgColor rgb="FF0000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2">
    <xf numFmtId="0" fontId="0" fillId="0" borderId="0"/>
    <xf numFmtId="0" fontId="1" fillId="0" borderId="0"/>
  </cellStyleXfs>
  <cellXfs count="130">
    <xf numFmtId="0" fontId="0" fillId="0" borderId="0" xfId="0"/>
    <xf numFmtId="14" fontId="0" fillId="0" borderId="0" xfId="0" applyNumberFormat="1"/>
    <xf numFmtId="3" fontId="0" fillId="0" borderId="0" xfId="0" applyNumberFormat="1"/>
    <xf numFmtId="8" fontId="0" fillId="0" borderId="0" xfId="0" applyNumberFormat="1"/>
    <xf numFmtId="164" fontId="0" fillId="0" borderId="0" xfId="0" applyNumberFormat="1"/>
    <xf numFmtId="3" fontId="0" fillId="0" borderId="1" xfId="0" applyNumberFormat="1" applyBorder="1"/>
    <xf numFmtId="8" fontId="0" fillId="0" borderId="1" xfId="0" applyNumberFormat="1" applyBorder="1"/>
    <xf numFmtId="3" fontId="0" fillId="0" borderId="2" xfId="0" applyNumberFormat="1" applyBorder="1"/>
    <xf numFmtId="164" fontId="0" fillId="0" borderId="2" xfId="0" applyNumberFormat="1" applyBorder="1"/>
    <xf numFmtId="3" fontId="0" fillId="0" borderId="3" xfId="0" applyNumberFormat="1" applyBorder="1"/>
    <xf numFmtId="164" fontId="0" fillId="0" borderId="3" xfId="0" applyNumberFormat="1" applyBorder="1"/>
    <xf numFmtId="3" fontId="0" fillId="0" borderId="0" xfId="0" applyNumberFormat="1" applyBorder="1"/>
    <xf numFmtId="0" fontId="2" fillId="0" borderId="0" xfId="0" applyFont="1"/>
    <xf numFmtId="0" fontId="0" fillId="2" borderId="0" xfId="0" applyFill="1"/>
    <xf numFmtId="0" fontId="3" fillId="0" borderId="0" xfId="0" applyFont="1" applyFill="1" applyBorder="1"/>
    <xf numFmtId="0" fontId="4" fillId="0" borderId="0" xfId="0" applyFont="1" applyFill="1" applyBorder="1"/>
    <xf numFmtId="0" fontId="2" fillId="3" borderId="0" xfId="0" applyFont="1" applyFill="1"/>
    <xf numFmtId="0" fontId="3" fillId="4" borderId="0" xfId="0" applyFont="1" applyFill="1" applyBorder="1"/>
    <xf numFmtId="0" fontId="2" fillId="0" borderId="0" xfId="0" applyFont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Alignment="1">
      <alignment horizontal="right"/>
    </xf>
    <xf numFmtId="164" fontId="0" fillId="0" borderId="1" xfId="0" applyNumberFormat="1" applyBorder="1"/>
    <xf numFmtId="0" fontId="3" fillId="0" borderId="0" xfId="0" applyFont="1" applyFill="1" applyBorder="1" applyAlignment="1">
      <alignment horizontal="right"/>
    </xf>
    <xf numFmtId="3" fontId="3" fillId="0" borderId="1" xfId="0" applyNumberFormat="1" applyFont="1" applyFill="1" applyBorder="1"/>
    <xf numFmtId="3" fontId="4" fillId="0" borderId="2" xfId="0" applyNumberFormat="1" applyFont="1" applyFill="1" applyBorder="1"/>
    <xf numFmtId="3" fontId="5" fillId="5" borderId="3" xfId="1" applyNumberFormat="1" applyFont="1" applyFill="1" applyBorder="1"/>
    <xf numFmtId="164" fontId="0" fillId="5" borderId="3" xfId="0" applyNumberFormat="1" applyFont="1" applyFill="1" applyBorder="1"/>
    <xf numFmtId="3" fontId="2" fillId="0" borderId="1" xfId="0" applyNumberFormat="1" applyFont="1" applyBorder="1"/>
    <xf numFmtId="164" fontId="2" fillId="0" borderId="1" xfId="0" applyNumberFormat="1" applyFont="1" applyBorder="1"/>
    <xf numFmtId="164" fontId="3" fillId="0" borderId="1" xfId="0" applyNumberFormat="1" applyFont="1" applyFill="1" applyBorder="1"/>
    <xf numFmtId="3" fontId="2" fillId="0" borderId="4" xfId="0" applyNumberFormat="1" applyFont="1" applyBorder="1"/>
    <xf numFmtId="164" fontId="2" fillId="0" borderId="4" xfId="0" applyNumberFormat="1" applyFont="1" applyBorder="1"/>
    <xf numFmtId="3" fontId="2" fillId="3" borderId="1" xfId="0" applyNumberFormat="1" applyFont="1" applyFill="1" applyBorder="1"/>
    <xf numFmtId="164" fontId="2" fillId="3" borderId="1" xfId="0" applyNumberFormat="1" applyFont="1" applyFill="1" applyBorder="1"/>
    <xf numFmtId="3" fontId="3" fillId="6" borderId="1" xfId="0" applyNumberFormat="1" applyFont="1" applyFill="1" applyBorder="1"/>
    <xf numFmtId="164" fontId="3" fillId="6" borderId="1" xfId="0" applyNumberFormat="1" applyFont="1" applyFill="1" applyBorder="1"/>
    <xf numFmtId="0" fontId="4" fillId="7" borderId="0" xfId="0" applyFont="1" applyFill="1" applyBorder="1"/>
    <xf numFmtId="0" fontId="2" fillId="8" borderId="0" xfId="0" applyFont="1" applyFill="1"/>
    <xf numFmtId="0" fontId="3" fillId="9" borderId="0" xfId="0" applyFont="1" applyFill="1" applyBorder="1"/>
    <xf numFmtId="3" fontId="4" fillId="0" borderId="0" xfId="0" applyNumberFormat="1" applyFont="1" applyFill="1" applyBorder="1"/>
    <xf numFmtId="164" fontId="4" fillId="0" borderId="0" xfId="0" applyNumberFormat="1" applyFont="1" applyFill="1" applyBorder="1"/>
    <xf numFmtId="3" fontId="0" fillId="0" borderId="5" xfId="0" applyNumberFormat="1" applyBorder="1"/>
    <xf numFmtId="3" fontId="0" fillId="5" borderId="3" xfId="0" applyNumberFormat="1" applyFont="1" applyFill="1" applyBorder="1"/>
    <xf numFmtId="164" fontId="5" fillId="5" borderId="3" xfId="1" applyNumberFormat="1" applyFont="1" applyFill="1" applyBorder="1"/>
    <xf numFmtId="3" fontId="2" fillId="8" borderId="6" xfId="0" applyNumberFormat="1" applyFont="1" applyFill="1" applyBorder="1"/>
    <xf numFmtId="164" fontId="2" fillId="8" borderId="1" xfId="0" applyNumberFormat="1" applyFont="1" applyFill="1" applyBorder="1"/>
    <xf numFmtId="3" fontId="3" fillId="9" borderId="6" xfId="0" applyNumberFormat="1" applyFont="1" applyFill="1" applyBorder="1"/>
    <xf numFmtId="164" fontId="3" fillId="9" borderId="1" xfId="0" applyNumberFormat="1" applyFont="1" applyFill="1" applyBorder="1"/>
    <xf numFmtId="0" fontId="2" fillId="10" borderId="0" xfId="0" applyFont="1" applyFill="1"/>
    <xf numFmtId="0" fontId="3" fillId="11" borderId="0" xfId="0" applyFont="1" applyFill="1" applyBorder="1"/>
    <xf numFmtId="3" fontId="0" fillId="5" borderId="2" xfId="0" applyNumberFormat="1" applyFont="1" applyFill="1" applyBorder="1"/>
    <xf numFmtId="164" fontId="0" fillId="5" borderId="2" xfId="0" applyNumberFormat="1" applyFont="1" applyFill="1" applyBorder="1"/>
    <xf numFmtId="3" fontId="0" fillId="0" borderId="7" xfId="0" applyNumberFormat="1" applyBorder="1"/>
    <xf numFmtId="164" fontId="0" fillId="0" borderId="7" xfId="0" applyNumberFormat="1" applyBorder="1"/>
    <xf numFmtId="3" fontId="2" fillId="10" borderId="1" xfId="0" applyNumberFormat="1" applyFont="1" applyFill="1" applyBorder="1"/>
    <xf numFmtId="164" fontId="2" fillId="10" borderId="1" xfId="0" applyNumberFormat="1" applyFont="1" applyFill="1" applyBorder="1"/>
    <xf numFmtId="3" fontId="3" fillId="11" borderId="1" xfId="0" applyNumberFormat="1" applyFont="1" applyFill="1" applyBorder="1"/>
    <xf numFmtId="164" fontId="3" fillId="11" borderId="1" xfId="0" applyNumberFormat="1" applyFont="1" applyFill="1" applyBorder="1"/>
    <xf numFmtId="0" fontId="2" fillId="2" borderId="0" xfId="0" applyFont="1" applyFill="1"/>
    <xf numFmtId="0" fontId="3" fillId="7" borderId="0" xfId="0" applyFont="1" applyFill="1" applyBorder="1"/>
    <xf numFmtId="0" fontId="0" fillId="0" borderId="8" xfId="0" applyBorder="1"/>
    <xf numFmtId="3" fontId="3" fillId="0" borderId="9" xfId="0" applyNumberFormat="1" applyFont="1" applyFill="1" applyBorder="1" applyAlignment="1">
      <alignment horizontal="center"/>
    </xf>
    <xf numFmtId="164" fontId="3" fillId="0" borderId="10" xfId="0" applyNumberFormat="1" applyFont="1" applyFill="1" applyBorder="1" applyAlignment="1">
      <alignment horizontal="center"/>
    </xf>
    <xf numFmtId="0" fontId="0" fillId="0" borderId="12" xfId="0" applyBorder="1"/>
    <xf numFmtId="3" fontId="0" fillId="0" borderId="13" xfId="0" applyNumberFormat="1" applyBorder="1"/>
    <xf numFmtId="164" fontId="0" fillId="0" borderId="14" xfId="0" applyNumberFormat="1" applyBorder="1"/>
    <xf numFmtId="3" fontId="2" fillId="5" borderId="1" xfId="0" applyNumberFormat="1" applyFont="1" applyFill="1" applyBorder="1"/>
    <xf numFmtId="164" fontId="2" fillId="5" borderId="1" xfId="0" applyNumberFormat="1" applyFont="1" applyFill="1" applyBorder="1"/>
    <xf numFmtId="164" fontId="0" fillId="0" borderId="0" xfId="0" applyNumberFormat="1" applyBorder="1"/>
    <xf numFmtId="0" fontId="2" fillId="5" borderId="0" xfId="0" applyFont="1" applyFill="1"/>
    <xf numFmtId="0" fontId="0" fillId="5" borderId="0" xfId="0" applyFill="1"/>
    <xf numFmtId="0" fontId="2" fillId="0" borderId="0" xfId="0" applyFont="1" applyFill="1"/>
    <xf numFmtId="0" fontId="0" fillId="0" borderId="0" xfId="0" applyFill="1"/>
    <xf numFmtId="0" fontId="0" fillId="12" borderId="0" xfId="0" applyFill="1"/>
    <xf numFmtId="0" fontId="2" fillId="0" borderId="0" xfId="0" applyFont="1" applyAlignment="1"/>
    <xf numFmtId="0" fontId="0" fillId="10" borderId="0" xfId="0" applyFill="1"/>
    <xf numFmtId="0" fontId="0" fillId="8" borderId="0" xfId="0" applyFill="1"/>
    <xf numFmtId="0" fontId="6" fillId="0" borderId="0" xfId="0" applyFont="1"/>
    <xf numFmtId="1" fontId="0" fillId="0" borderId="0" xfId="0" applyNumberFormat="1"/>
    <xf numFmtId="164" fontId="7" fillId="0" borderId="1" xfId="0" applyNumberFormat="1" applyFont="1" applyBorder="1"/>
    <xf numFmtId="3" fontId="7" fillId="0" borderId="1" xfId="0" applyNumberFormat="1" applyFont="1" applyBorder="1"/>
    <xf numFmtId="38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1" fontId="0" fillId="0" borderId="0" xfId="0" applyNumberFormat="1" applyAlignment="1">
      <alignment horizontal="right"/>
    </xf>
    <xf numFmtId="3" fontId="0" fillId="0" borderId="1" xfId="0" applyNumberFormat="1" applyFont="1" applyBorder="1"/>
    <xf numFmtId="164" fontId="0" fillId="0" borderId="1" xfId="0" applyNumberFormat="1" applyFont="1" applyBorder="1"/>
    <xf numFmtId="3" fontId="0" fillId="0" borderId="2" xfId="0" applyNumberFormat="1" applyFont="1" applyBorder="1"/>
    <xf numFmtId="164" fontId="0" fillId="0" borderId="2" xfId="0" applyNumberFormat="1" applyFont="1" applyBorder="1"/>
    <xf numFmtId="3" fontId="8" fillId="0" borderId="1" xfId="0" applyNumberFormat="1" applyFont="1" applyBorder="1"/>
    <xf numFmtId="164" fontId="8" fillId="0" borderId="1" xfId="0" applyNumberFormat="1" applyFont="1" applyBorder="1"/>
    <xf numFmtId="38" fontId="0" fillId="0" borderId="1" xfId="0" applyNumberFormat="1" applyBorder="1"/>
    <xf numFmtId="164" fontId="0" fillId="0" borderId="3" xfId="0" applyNumberFormat="1" applyFont="1" applyBorder="1"/>
    <xf numFmtId="3" fontId="9" fillId="0" borderId="1" xfId="0" applyNumberFormat="1" applyFont="1" applyBorder="1"/>
    <xf numFmtId="38" fontId="2" fillId="0" borderId="3" xfId="0" applyNumberFormat="1" applyFont="1" applyBorder="1"/>
    <xf numFmtId="8" fontId="0" fillId="0" borderId="2" xfId="0" applyNumberFormat="1" applyBorder="1"/>
    <xf numFmtId="38" fontId="0" fillId="0" borderId="2" xfId="0" applyNumberFormat="1" applyBorder="1"/>
    <xf numFmtId="38" fontId="0" fillId="0" borderId="3" xfId="0" applyNumberFormat="1" applyBorder="1"/>
    <xf numFmtId="8" fontId="0" fillId="0" borderId="3" xfId="0" applyNumberFormat="1" applyBorder="1"/>
    <xf numFmtId="38" fontId="0" fillId="0" borderId="0" xfId="0" applyNumberFormat="1" applyBorder="1"/>
    <xf numFmtId="8" fontId="0" fillId="0" borderId="1" xfId="0" applyNumberFormat="1" applyFont="1" applyBorder="1"/>
    <xf numFmtId="3" fontId="4" fillId="5" borderId="2" xfId="0" applyNumberFormat="1" applyFont="1" applyFill="1" applyBorder="1"/>
    <xf numFmtId="164" fontId="4" fillId="0" borderId="1" xfId="0" applyNumberFormat="1" applyFont="1" applyFill="1" applyBorder="1"/>
    <xf numFmtId="0" fontId="10" fillId="0" borderId="0" xfId="0" applyFont="1"/>
    <xf numFmtId="8" fontId="0" fillId="0" borderId="0" xfId="0" applyNumberFormat="1" applyBorder="1"/>
    <xf numFmtId="164" fontId="0" fillId="5" borderId="3" xfId="0" applyNumberFormat="1" applyFill="1" applyBorder="1"/>
    <xf numFmtId="3" fontId="2" fillId="0" borderId="2" xfId="0" applyNumberFormat="1" applyFont="1" applyBorder="1"/>
    <xf numFmtId="164" fontId="2" fillId="0" borderId="2" xfId="0" applyNumberFormat="1" applyFont="1" applyBorder="1"/>
    <xf numFmtId="3" fontId="2" fillId="0" borderId="3" xfId="0" applyNumberFormat="1" applyFont="1" applyBorder="1"/>
    <xf numFmtId="164" fontId="2" fillId="0" borderId="3" xfId="0" applyNumberFormat="1" applyFont="1" applyBorder="1"/>
    <xf numFmtId="3" fontId="9" fillId="0" borderId="3" xfId="0" applyNumberFormat="1" applyFont="1" applyBorder="1"/>
    <xf numFmtId="38" fontId="0" fillId="0" borderId="0" xfId="0" applyNumberFormat="1" applyFill="1" applyBorder="1"/>
    <xf numFmtId="8" fontId="0" fillId="0" borderId="0" xfId="0" applyNumberFormat="1" applyFill="1" applyBorder="1"/>
    <xf numFmtId="38" fontId="7" fillId="0" borderId="2" xfId="0" applyNumberFormat="1" applyFont="1" applyBorder="1"/>
    <xf numFmtId="3" fontId="0" fillId="5" borderId="1" xfId="0" applyNumberFormat="1" applyFill="1" applyBorder="1"/>
    <xf numFmtId="164" fontId="0" fillId="5" borderId="1" xfId="0" applyNumberFormat="1" applyFill="1" applyBorder="1"/>
    <xf numFmtId="3" fontId="4" fillId="0" borderId="3" xfId="0" applyNumberFormat="1" applyFont="1" applyFill="1" applyBorder="1"/>
    <xf numFmtId="0" fontId="0" fillId="3" borderId="0" xfId="0" applyFill="1"/>
    <xf numFmtId="0" fontId="11" fillId="0" borderId="0" xfId="0" applyFont="1" applyFill="1" applyBorder="1"/>
    <xf numFmtId="49" fontId="2" fillId="0" borderId="11" xfId="0" applyNumberFormat="1" applyFont="1" applyBorder="1" applyAlignment="1">
      <alignment horizontal="left"/>
    </xf>
    <xf numFmtId="38" fontId="2" fillId="0" borderId="1" xfId="0" applyNumberFormat="1" applyFont="1" applyBorder="1" applyAlignment="1">
      <alignment horizontal="center"/>
    </xf>
    <xf numFmtId="8" fontId="2" fillId="0" borderId="1" xfId="0" applyNumberFormat="1" applyFont="1" applyBorder="1" applyAlignment="1">
      <alignment horizontal="center"/>
    </xf>
    <xf numFmtId="8" fontId="7" fillId="0" borderId="2" xfId="0" applyNumberFormat="1" applyFont="1" applyBorder="1"/>
    <xf numFmtId="40" fontId="2" fillId="0" borderId="3" xfId="0" applyNumberFormat="1" applyFont="1" applyBorder="1"/>
    <xf numFmtId="0" fontId="0" fillId="13" borderId="0" xfId="0" applyFill="1"/>
    <xf numFmtId="0" fontId="0" fillId="13" borderId="0" xfId="0" applyFill="1" applyAlignment="1">
      <alignment horizontal="left"/>
    </xf>
    <xf numFmtId="14" fontId="0" fillId="13" borderId="0" xfId="0" applyNumberFormat="1" applyFill="1"/>
    <xf numFmtId="38" fontId="0" fillId="13" borderId="0" xfId="0" applyNumberFormat="1" applyFill="1"/>
    <xf numFmtId="8" fontId="0" fillId="13" borderId="0" xfId="0" applyNumberFormat="1" applyFill="1"/>
    <xf numFmtId="0" fontId="0" fillId="0" borderId="0" xfId="0" applyBorder="1"/>
  </cellXfs>
  <cellStyles count="2">
    <cellStyle name="Normal" xfId="0" builtinId="0"/>
    <cellStyle name="Normal 4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M158"/>
  <sheetViews>
    <sheetView workbookViewId="0">
      <selection activeCell="M29" sqref="M29"/>
    </sheetView>
  </sheetViews>
  <sheetFormatPr defaultColWidth="8.85546875" defaultRowHeight="15" x14ac:dyDescent="0.25"/>
  <cols>
    <col min="1" max="1" width="20.140625" customWidth="1"/>
    <col min="2" max="2" width="13.7109375" customWidth="1"/>
    <col min="3" max="3" width="20" customWidth="1"/>
    <col min="4" max="4" width="12.7109375" bestFit="1" customWidth="1"/>
    <col min="5" max="5" width="5.42578125" customWidth="1"/>
    <col min="6" max="6" width="15.42578125" customWidth="1"/>
    <col min="7" max="7" width="20" customWidth="1"/>
    <col min="8" max="8" width="16.7109375" customWidth="1"/>
    <col min="9" max="9" width="20.28515625" customWidth="1"/>
    <col min="10" max="10" width="8.85546875" style="72"/>
    <col min="12" max="12" width="23.42578125" style="2" customWidth="1"/>
    <col min="13" max="13" width="27.42578125" style="4" customWidth="1"/>
    <col min="14" max="14" width="30.28515625" customWidth="1"/>
    <col min="16" max="16" width="19.85546875" customWidth="1"/>
    <col min="17" max="17" width="11.42578125" customWidth="1"/>
    <col min="19" max="19" width="14.7109375" customWidth="1"/>
    <col min="20" max="20" width="10.7109375" bestFit="1" customWidth="1"/>
    <col min="21" max="21" width="11.28515625" bestFit="1" customWidth="1"/>
    <col min="24" max="24" width="11.85546875" customWidth="1"/>
  </cols>
  <sheetData>
    <row r="1" spans="1:12" x14ac:dyDescent="0.25">
      <c r="A1" s="14" t="s">
        <v>251</v>
      </c>
      <c r="B1" s="15"/>
      <c r="C1" s="15"/>
      <c r="D1" s="15"/>
      <c r="E1" s="13"/>
      <c r="F1" s="12" t="s">
        <v>9</v>
      </c>
    </row>
    <row r="2" spans="1:12" x14ac:dyDescent="0.25">
      <c r="A2" s="118" t="s">
        <v>743</v>
      </c>
      <c r="B2" s="15"/>
      <c r="C2" s="15"/>
      <c r="D2" s="15"/>
      <c r="E2" s="13"/>
      <c r="F2" s="12" t="s">
        <v>10</v>
      </c>
    </row>
    <row r="3" spans="1:12" x14ac:dyDescent="0.25">
      <c r="E3" s="13"/>
      <c r="F3" s="12"/>
    </row>
    <row r="4" spans="1:12" x14ac:dyDescent="0.25">
      <c r="A4" s="17" t="s">
        <v>11</v>
      </c>
      <c r="B4" s="15"/>
      <c r="C4" s="15"/>
      <c r="D4" s="15"/>
      <c r="E4" s="13"/>
      <c r="F4" s="16" t="s">
        <v>11</v>
      </c>
    </row>
    <row r="5" spans="1:12" ht="15.75" thickBot="1" x14ac:dyDescent="0.3">
      <c r="A5" s="15"/>
      <c r="B5" s="15"/>
      <c r="C5" s="19" t="s">
        <v>12</v>
      </c>
      <c r="D5" s="19" t="s">
        <v>13</v>
      </c>
      <c r="E5" s="13"/>
      <c r="H5" s="18" t="s">
        <v>12</v>
      </c>
      <c r="I5" s="18" t="s">
        <v>13</v>
      </c>
      <c r="L5"/>
    </row>
    <row r="6" spans="1:12" ht="15.75" thickBot="1" x14ac:dyDescent="0.3">
      <c r="A6" s="14" t="s">
        <v>0</v>
      </c>
      <c r="B6" s="22" t="s">
        <v>14</v>
      </c>
      <c r="C6" s="27">
        <v>2030</v>
      </c>
      <c r="D6" s="28">
        <v>36471.089999999997</v>
      </c>
      <c r="E6" s="13"/>
      <c r="F6" s="12" t="s">
        <v>0</v>
      </c>
      <c r="G6" s="20" t="s">
        <v>14</v>
      </c>
      <c r="H6" s="5">
        <v>2222</v>
      </c>
      <c r="I6" s="21">
        <v>41992.54</v>
      </c>
    </row>
    <row r="7" spans="1:12" ht="15.75" thickBot="1" x14ac:dyDescent="0.3">
      <c r="E7" s="13"/>
      <c r="F7" t="s">
        <v>3</v>
      </c>
    </row>
    <row r="8" spans="1:12" ht="15.75" thickBot="1" x14ac:dyDescent="0.3">
      <c r="A8" s="14" t="s">
        <v>1</v>
      </c>
      <c r="B8" s="22" t="s">
        <v>15</v>
      </c>
      <c r="C8" s="5">
        <v>15171.68</v>
      </c>
      <c r="D8" s="21">
        <v>94248.439999999944</v>
      </c>
      <c r="E8" s="13"/>
      <c r="F8" s="12" t="s">
        <v>1</v>
      </c>
      <c r="G8" s="20" t="s">
        <v>15</v>
      </c>
      <c r="H8" s="7">
        <v>16517</v>
      </c>
      <c r="I8" s="8">
        <v>104633.72</v>
      </c>
    </row>
    <row r="9" spans="1:12" ht="15.75" thickBot="1" x14ac:dyDescent="0.3">
      <c r="B9" s="22" t="s">
        <v>14</v>
      </c>
      <c r="C9" s="5">
        <v>74574.282464000004</v>
      </c>
      <c r="D9" s="21">
        <v>1357542.4199999997</v>
      </c>
      <c r="E9" s="13"/>
      <c r="G9" s="20" t="s">
        <v>14</v>
      </c>
      <c r="H9" s="7">
        <v>85158</v>
      </c>
      <c r="I9" s="8">
        <v>1642828.59</v>
      </c>
    </row>
    <row r="10" spans="1:12" ht="15.75" thickBot="1" x14ac:dyDescent="0.3">
      <c r="A10" s="15"/>
      <c r="B10" s="22" t="s">
        <v>16</v>
      </c>
      <c r="C10" s="114">
        <v>78234</v>
      </c>
      <c r="D10" s="115">
        <v>591737.4500000003</v>
      </c>
      <c r="E10" s="13"/>
      <c r="G10" s="20" t="s">
        <v>16</v>
      </c>
      <c r="H10" s="25">
        <v>78814.176024222266</v>
      </c>
      <c r="I10" s="26">
        <v>628488.22</v>
      </c>
    </row>
    <row r="11" spans="1:12" ht="15.75" thickBot="1" x14ac:dyDescent="0.3">
      <c r="A11" s="15"/>
      <c r="B11" s="15"/>
      <c r="C11" s="23">
        <f>SUM(C8:C10)</f>
        <v>167979.96246400001</v>
      </c>
      <c r="D11" s="29">
        <f>SUM(D8:D10)</f>
        <v>2043528.31</v>
      </c>
      <c r="E11" s="13"/>
      <c r="H11" s="27">
        <f>SUM(H8:H10)</f>
        <v>180489.17602422228</v>
      </c>
      <c r="I11" s="28">
        <f>SUM(I8:I10)</f>
        <v>2375950.5300000003</v>
      </c>
    </row>
    <row r="12" spans="1:12" ht="15.75" thickBot="1" x14ac:dyDescent="0.3">
      <c r="A12" s="15"/>
      <c r="B12" s="15"/>
      <c r="C12" s="15"/>
      <c r="D12" s="15"/>
      <c r="E12" s="13"/>
    </row>
    <row r="13" spans="1:12" ht="15.75" thickBot="1" x14ac:dyDescent="0.3">
      <c r="A13" s="14" t="s">
        <v>2</v>
      </c>
      <c r="B13" s="22" t="s">
        <v>15</v>
      </c>
      <c r="C13" s="5">
        <v>41702</v>
      </c>
      <c r="D13" s="21">
        <v>213565.34000000011</v>
      </c>
      <c r="E13" s="13"/>
      <c r="F13" s="14" t="s">
        <v>2</v>
      </c>
      <c r="G13" s="20" t="s">
        <v>15</v>
      </c>
      <c r="H13" s="7">
        <v>42183</v>
      </c>
      <c r="I13" s="8">
        <v>251705.38</v>
      </c>
    </row>
    <row r="14" spans="1:12" ht="15.75" thickBot="1" x14ac:dyDescent="0.3">
      <c r="B14" s="22" t="s">
        <v>14</v>
      </c>
      <c r="C14" s="5">
        <v>24871.497628000001</v>
      </c>
      <c r="D14" s="21">
        <v>664067.5500000004</v>
      </c>
      <c r="E14" s="13"/>
      <c r="G14" s="20" t="s">
        <v>14</v>
      </c>
      <c r="H14" s="7">
        <v>25949</v>
      </c>
      <c r="I14" s="8">
        <v>746830.43</v>
      </c>
    </row>
    <row r="15" spans="1:12" ht="15.75" thickBot="1" x14ac:dyDescent="0.3">
      <c r="A15" s="15"/>
      <c r="B15" s="22"/>
      <c r="C15" s="23">
        <f>SUM(C13:C14)</f>
        <v>66573.497627999997</v>
      </c>
      <c r="D15" s="29">
        <f>SUM(D13:D14)</f>
        <v>877632.89000000048</v>
      </c>
      <c r="E15" s="13"/>
      <c r="G15" s="20" t="s">
        <v>17</v>
      </c>
      <c r="H15" s="7">
        <v>614</v>
      </c>
      <c r="I15" s="8">
        <v>11946.41</v>
      </c>
    </row>
    <row r="16" spans="1:12" ht="15.75" thickBot="1" x14ac:dyDescent="0.3">
      <c r="A16" s="15"/>
      <c r="E16" s="13"/>
      <c r="G16" s="20"/>
      <c r="H16" s="30">
        <f>SUM(H13:H15)</f>
        <v>68746</v>
      </c>
      <c r="I16" s="31">
        <f>SUM(I13:I15)</f>
        <v>1010482.2200000001</v>
      </c>
    </row>
    <row r="17" spans="1:9" ht="15.75" thickBot="1" x14ac:dyDescent="0.3">
      <c r="A17" s="15"/>
      <c r="B17" s="15"/>
      <c r="C17" s="15"/>
      <c r="D17" s="15"/>
      <c r="E17" s="13"/>
    </row>
    <row r="18" spans="1:9" ht="15.75" thickBot="1" x14ac:dyDescent="0.3">
      <c r="A18" s="14" t="s">
        <v>18</v>
      </c>
      <c r="B18" s="15"/>
      <c r="C18" s="34">
        <f>C6+C11+C15</f>
        <v>236583.46009200002</v>
      </c>
      <c r="D18" s="35">
        <f>D6+D11+D15</f>
        <v>2957632.2900000005</v>
      </c>
      <c r="E18" s="13"/>
      <c r="F18" s="12" t="s">
        <v>18</v>
      </c>
      <c r="H18" s="32">
        <f>H6+H11+H16</f>
        <v>251457.17602422228</v>
      </c>
      <c r="I18" s="33">
        <f>I6+I11+I16</f>
        <v>3428425.2900000005</v>
      </c>
    </row>
    <row r="19" spans="1:9" x14ac:dyDescent="0.25">
      <c r="A19" s="15"/>
      <c r="B19" s="15"/>
      <c r="C19" s="15"/>
      <c r="D19" s="15"/>
      <c r="E19" s="13"/>
    </row>
    <row r="20" spans="1:9" x14ac:dyDescent="0.25">
      <c r="E20" s="13"/>
    </row>
    <row r="21" spans="1:9" x14ac:dyDescent="0.25">
      <c r="A21" s="36"/>
      <c r="B21" s="36"/>
      <c r="C21" s="36"/>
      <c r="D21" s="36"/>
      <c r="E21" s="13"/>
      <c r="F21" s="13"/>
      <c r="G21" s="13"/>
      <c r="H21" s="13"/>
      <c r="I21" s="13"/>
    </row>
    <row r="22" spans="1:9" x14ac:dyDescent="0.25">
      <c r="A22" s="38" t="s">
        <v>19</v>
      </c>
      <c r="B22" s="15"/>
      <c r="C22" s="15"/>
      <c r="D22" s="15"/>
      <c r="E22" s="13"/>
      <c r="F22" s="37" t="s">
        <v>19</v>
      </c>
    </row>
    <row r="23" spans="1:9" x14ac:dyDescent="0.25">
      <c r="A23" s="15"/>
      <c r="B23" s="15"/>
      <c r="C23" s="19" t="s">
        <v>12</v>
      </c>
      <c r="D23" s="19" t="s">
        <v>13</v>
      </c>
      <c r="E23" s="13"/>
      <c r="H23" s="18" t="s">
        <v>12</v>
      </c>
      <c r="I23" s="18" t="s">
        <v>13</v>
      </c>
    </row>
    <row r="24" spans="1:9" x14ac:dyDescent="0.25">
      <c r="A24" s="14" t="s">
        <v>1</v>
      </c>
      <c r="B24" s="22" t="s">
        <v>3</v>
      </c>
      <c r="C24" s="39" t="s">
        <v>3</v>
      </c>
      <c r="D24" s="40" t="s">
        <v>3</v>
      </c>
      <c r="E24" s="13"/>
      <c r="F24" s="12" t="s">
        <v>1</v>
      </c>
      <c r="G24" s="20" t="s">
        <v>3</v>
      </c>
      <c r="H24" s="2" t="s">
        <v>3</v>
      </c>
      <c r="I24" s="4" t="s">
        <v>3</v>
      </c>
    </row>
    <row r="25" spans="1:9" x14ac:dyDescent="0.25">
      <c r="A25" s="15"/>
      <c r="B25" s="22" t="s">
        <v>14</v>
      </c>
      <c r="C25" s="87">
        <v>46112.077923999997</v>
      </c>
      <c r="D25" s="88">
        <v>839255.62000000046</v>
      </c>
      <c r="E25" s="13"/>
      <c r="G25" s="20" t="s">
        <v>14</v>
      </c>
      <c r="H25" s="41">
        <v>38364</v>
      </c>
      <c r="I25" s="8">
        <v>749303.0899999995</v>
      </c>
    </row>
    <row r="26" spans="1:9" ht="15.75" thickBot="1" x14ac:dyDescent="0.3">
      <c r="A26" s="15"/>
      <c r="B26" s="22" t="s">
        <v>16</v>
      </c>
      <c r="C26" s="50">
        <v>107148</v>
      </c>
      <c r="D26" s="51">
        <v>802574.40000000061</v>
      </c>
      <c r="E26" s="13"/>
      <c r="G26" s="20" t="s">
        <v>16</v>
      </c>
      <c r="H26" s="42">
        <v>108599</v>
      </c>
      <c r="I26" s="43">
        <v>866002.89</v>
      </c>
    </row>
    <row r="27" spans="1:9" ht="15.75" thickBot="1" x14ac:dyDescent="0.3">
      <c r="A27" s="15"/>
      <c r="B27" s="15"/>
      <c r="C27" s="23">
        <f>SUM(C25:C26)</f>
        <v>153260.07792399998</v>
      </c>
      <c r="D27" s="29">
        <f>SUM(D25:D26)</f>
        <v>1641830.0200000009</v>
      </c>
      <c r="E27" s="13"/>
      <c r="H27" s="27">
        <f>SUM(H25:H26)</f>
        <v>146963</v>
      </c>
      <c r="I27" s="28">
        <f>SUM(I25:I26)</f>
        <v>1615305.9799999995</v>
      </c>
    </row>
    <row r="28" spans="1:9" x14ac:dyDescent="0.25">
      <c r="A28" s="15"/>
      <c r="B28" s="15"/>
      <c r="C28" s="15"/>
      <c r="D28" s="15"/>
      <c r="E28" s="13"/>
    </row>
    <row r="29" spans="1:9" x14ac:dyDescent="0.25">
      <c r="A29" s="14" t="s">
        <v>2</v>
      </c>
      <c r="B29" s="22" t="s">
        <v>15</v>
      </c>
      <c r="C29" s="7">
        <v>695</v>
      </c>
      <c r="D29" s="8">
        <v>4731.9400000000005</v>
      </c>
      <c r="E29" s="13"/>
      <c r="F29" s="14" t="s">
        <v>2</v>
      </c>
      <c r="G29" s="20" t="s">
        <v>15</v>
      </c>
      <c r="H29" s="7">
        <v>13</v>
      </c>
      <c r="I29" s="8">
        <v>1061.22</v>
      </c>
    </row>
    <row r="30" spans="1:9" ht="15.75" thickBot="1" x14ac:dyDescent="0.3">
      <c r="A30" s="15"/>
      <c r="B30" s="22" t="s">
        <v>14</v>
      </c>
      <c r="C30" s="110">
        <v>4046.1884399999999</v>
      </c>
      <c r="D30" s="10">
        <v>103765.32</v>
      </c>
      <c r="E30" s="13"/>
      <c r="G30" s="20" t="s">
        <v>14</v>
      </c>
      <c r="H30" s="9">
        <v>11718</v>
      </c>
      <c r="I30" s="10">
        <v>336911.76</v>
      </c>
    </row>
    <row r="31" spans="1:9" ht="15.75" thickBot="1" x14ac:dyDescent="0.3">
      <c r="A31" s="15"/>
      <c r="B31" s="22"/>
      <c r="C31" s="23">
        <f>SUM(C29:C30)</f>
        <v>4741.1884399999999</v>
      </c>
      <c r="D31" s="29">
        <f>SUM(D29:D30)</f>
        <v>108497.26000000001</v>
      </c>
      <c r="E31" s="13"/>
      <c r="G31" s="20"/>
      <c r="H31" s="27">
        <f>SUM(H29:H30)</f>
        <v>11731</v>
      </c>
      <c r="I31" s="28">
        <f>SUM(I29:I30)</f>
        <v>337972.98</v>
      </c>
    </row>
    <row r="32" spans="1:9" ht="15.75" thickBot="1" x14ac:dyDescent="0.3">
      <c r="A32" s="15"/>
      <c r="B32" s="15"/>
      <c r="C32" s="15"/>
      <c r="D32" s="15"/>
      <c r="E32" s="13"/>
    </row>
    <row r="33" spans="1:9" ht="15.75" thickBot="1" x14ac:dyDescent="0.3">
      <c r="A33" s="14" t="s">
        <v>18</v>
      </c>
      <c r="B33" s="15"/>
      <c r="C33" s="46">
        <f>C27+C31</f>
        <v>158001.26636399998</v>
      </c>
      <c r="D33" s="47">
        <f>D27+D31</f>
        <v>1750327.280000001</v>
      </c>
      <c r="E33" s="13"/>
      <c r="F33" s="12" t="s">
        <v>18</v>
      </c>
      <c r="H33" s="44">
        <f>H27+H31</f>
        <v>158694</v>
      </c>
      <c r="I33" s="45">
        <f>I27+I31</f>
        <v>1953278.9599999995</v>
      </c>
    </row>
    <row r="34" spans="1:9" x14ac:dyDescent="0.25">
      <c r="A34" s="15"/>
      <c r="B34" s="15"/>
      <c r="C34" s="15"/>
      <c r="D34" s="15"/>
      <c r="E34" s="13"/>
    </row>
    <row r="35" spans="1:9" x14ac:dyDescent="0.25">
      <c r="A35" s="36"/>
      <c r="B35" s="36"/>
      <c r="C35" s="36"/>
      <c r="D35" s="36"/>
      <c r="E35" s="13"/>
      <c r="F35" s="13"/>
      <c r="G35" s="13"/>
      <c r="H35" s="13"/>
      <c r="I35" s="13"/>
    </row>
    <row r="36" spans="1:9" x14ac:dyDescent="0.25">
      <c r="A36" s="15"/>
      <c r="B36" s="15"/>
      <c r="C36" s="15"/>
      <c r="D36" s="15"/>
      <c r="E36" s="13"/>
    </row>
    <row r="37" spans="1:9" x14ac:dyDescent="0.25">
      <c r="A37" s="49" t="s">
        <v>20</v>
      </c>
      <c r="B37" s="15"/>
      <c r="C37" s="15"/>
      <c r="D37" s="15"/>
      <c r="E37" s="13"/>
      <c r="F37" s="48" t="s">
        <v>20</v>
      </c>
    </row>
    <row r="38" spans="1:9" x14ac:dyDescent="0.25">
      <c r="A38" s="15"/>
      <c r="B38" s="15"/>
      <c r="C38" s="19" t="s">
        <v>12</v>
      </c>
      <c r="D38" s="19" t="s">
        <v>13</v>
      </c>
      <c r="E38" s="13"/>
      <c r="H38" s="18" t="s">
        <v>12</v>
      </c>
      <c r="I38" s="18" t="s">
        <v>13</v>
      </c>
    </row>
    <row r="39" spans="1:9" x14ac:dyDescent="0.25">
      <c r="A39" s="14" t="s">
        <v>0</v>
      </c>
      <c r="B39" s="22" t="s">
        <v>15</v>
      </c>
      <c r="C39" s="106">
        <v>10460</v>
      </c>
      <c r="D39" s="107">
        <v>58117.52</v>
      </c>
      <c r="E39" s="13"/>
      <c r="F39" s="12" t="s">
        <v>0</v>
      </c>
      <c r="G39" s="20" t="s">
        <v>15</v>
      </c>
      <c r="H39" s="7">
        <v>12884</v>
      </c>
      <c r="I39" s="8">
        <v>80449.13</v>
      </c>
    </row>
    <row r="40" spans="1:9" ht="15.75" thickBot="1" x14ac:dyDescent="0.3">
      <c r="A40" s="15"/>
      <c r="B40" s="22" t="s">
        <v>14</v>
      </c>
      <c r="C40" s="108">
        <v>29856.473984</v>
      </c>
      <c r="D40" s="109">
        <v>549274.24000000011</v>
      </c>
      <c r="E40" s="13"/>
      <c r="G40" s="20" t="s">
        <v>14</v>
      </c>
      <c r="H40" s="7">
        <v>31045</v>
      </c>
      <c r="I40" s="8">
        <v>594947.88</v>
      </c>
    </row>
    <row r="41" spans="1:9" ht="15.75" thickBot="1" x14ac:dyDescent="0.3">
      <c r="A41" s="15"/>
      <c r="B41" s="15"/>
      <c r="C41" s="23">
        <f>SUM(C39:C40)</f>
        <v>40316.473983999997</v>
      </c>
      <c r="D41" s="29">
        <f>SUM(D39:D40)</f>
        <v>607391.76000000013</v>
      </c>
      <c r="E41" s="13"/>
      <c r="G41" s="20" t="s">
        <v>17</v>
      </c>
      <c r="H41" s="9">
        <v>690</v>
      </c>
      <c r="I41" s="10">
        <v>12938</v>
      </c>
    </row>
    <row r="42" spans="1:9" ht="15.75" thickBot="1" x14ac:dyDescent="0.3">
      <c r="A42" s="15"/>
      <c r="B42" s="15"/>
      <c r="C42" s="15" t="s">
        <v>21</v>
      </c>
      <c r="D42" s="15"/>
      <c r="E42" s="13"/>
      <c r="H42" s="27">
        <f>SUM(H39:H41)</f>
        <v>44619</v>
      </c>
      <c r="I42" s="28">
        <f>SUM(I39:I41)</f>
        <v>688335.01</v>
      </c>
    </row>
    <row r="43" spans="1:9" x14ac:dyDescent="0.25">
      <c r="A43" s="15"/>
      <c r="B43" s="15"/>
      <c r="C43" s="15"/>
      <c r="D43" s="15"/>
      <c r="E43" s="13"/>
    </row>
    <row r="44" spans="1:9" x14ac:dyDescent="0.25">
      <c r="A44" s="14" t="s">
        <v>1</v>
      </c>
      <c r="B44" s="22" t="s">
        <v>14</v>
      </c>
      <c r="C44" s="24">
        <v>112218.056172</v>
      </c>
      <c r="D44" s="88">
        <v>2015471.3799999987</v>
      </c>
      <c r="E44" s="13"/>
      <c r="F44" s="12" t="s">
        <v>1</v>
      </c>
      <c r="G44" s="20" t="s">
        <v>14</v>
      </c>
      <c r="H44" s="7">
        <v>101120</v>
      </c>
      <c r="I44" s="8">
        <v>1940830.97</v>
      </c>
    </row>
    <row r="45" spans="1:9" x14ac:dyDescent="0.25">
      <c r="A45" s="15"/>
      <c r="B45" s="22" t="s">
        <v>16</v>
      </c>
      <c r="C45" s="101">
        <v>145416</v>
      </c>
      <c r="D45" s="51">
        <v>1101667.28</v>
      </c>
      <c r="E45" s="13"/>
      <c r="G45" s="20" t="s">
        <v>16</v>
      </c>
      <c r="H45" s="50">
        <v>147478</v>
      </c>
      <c r="I45" s="51">
        <v>1176037.77</v>
      </c>
    </row>
    <row r="46" spans="1:9" ht="15.75" thickBot="1" x14ac:dyDescent="0.3">
      <c r="A46" s="15"/>
      <c r="B46" s="22" t="s">
        <v>15</v>
      </c>
      <c r="C46" s="116">
        <v>28067</v>
      </c>
      <c r="D46" s="92">
        <v>161664.66000000006</v>
      </c>
      <c r="E46" s="13"/>
      <c r="G46" s="20" t="s">
        <v>15</v>
      </c>
      <c r="H46" s="52">
        <v>33633</v>
      </c>
      <c r="I46" s="53">
        <v>221143.1</v>
      </c>
    </row>
    <row r="47" spans="1:9" ht="15.75" thickBot="1" x14ac:dyDescent="0.3">
      <c r="A47" s="15"/>
      <c r="B47" s="15"/>
      <c r="C47" s="23">
        <f>SUM(C44:C46)</f>
        <v>285701.05617200001</v>
      </c>
      <c r="D47" s="29">
        <f>SUM(D44:D46)</f>
        <v>3278803.3199999989</v>
      </c>
      <c r="E47" s="13"/>
      <c r="H47" s="27">
        <f>SUM(H44:H46)</f>
        <v>282231</v>
      </c>
      <c r="I47" s="28">
        <f>SUM(I44:I46)</f>
        <v>3338011.8400000003</v>
      </c>
    </row>
    <row r="48" spans="1:9" x14ac:dyDescent="0.25">
      <c r="A48" s="15"/>
      <c r="B48" s="15"/>
      <c r="C48" s="15"/>
      <c r="D48" s="15"/>
      <c r="E48" s="13"/>
    </row>
    <row r="49" spans="1:9" x14ac:dyDescent="0.25">
      <c r="A49" s="15"/>
      <c r="B49" s="15"/>
      <c r="C49" s="15"/>
      <c r="D49" s="15"/>
      <c r="E49" s="13"/>
    </row>
    <row r="50" spans="1:9" x14ac:dyDescent="0.25">
      <c r="A50" s="14" t="s">
        <v>2</v>
      </c>
      <c r="B50" s="22" t="s">
        <v>15</v>
      </c>
      <c r="C50" s="87">
        <v>26738.400000000005</v>
      </c>
      <c r="D50" s="88">
        <v>159728.16000000003</v>
      </c>
      <c r="E50" s="13"/>
      <c r="F50" s="12" t="s">
        <v>2</v>
      </c>
      <c r="G50" s="20" t="s">
        <v>15</v>
      </c>
      <c r="H50" s="7">
        <v>30901</v>
      </c>
      <c r="I50" s="8">
        <v>208704.57</v>
      </c>
    </row>
    <row r="51" spans="1:9" ht="15.75" thickBot="1" x14ac:dyDescent="0.3">
      <c r="A51" s="15"/>
      <c r="B51" s="22" t="s">
        <v>14</v>
      </c>
      <c r="C51" s="9">
        <v>36128.944656</v>
      </c>
      <c r="D51" s="10">
        <v>982897.91999999969</v>
      </c>
      <c r="E51" s="13"/>
      <c r="G51" s="20" t="s">
        <v>14</v>
      </c>
      <c r="H51" s="7">
        <v>26501</v>
      </c>
      <c r="I51" s="8">
        <v>756633.34</v>
      </c>
    </row>
    <row r="52" spans="1:9" ht="15.75" thickBot="1" x14ac:dyDescent="0.3">
      <c r="A52" s="15"/>
      <c r="B52" s="15"/>
      <c r="C52" s="23">
        <f>SUM(C50:C51)</f>
        <v>62867.344656000001</v>
      </c>
      <c r="D52" s="29">
        <f>SUM(D50:D51)</f>
        <v>1142626.0799999996</v>
      </c>
      <c r="E52" s="13"/>
      <c r="H52" s="27">
        <f>SUM(H50:H51)</f>
        <v>57402</v>
      </c>
      <c r="I52" s="28">
        <f>SUM(I50:I51)</f>
        <v>965337.90999999992</v>
      </c>
    </row>
    <row r="53" spans="1:9" ht="15.75" thickBot="1" x14ac:dyDescent="0.3">
      <c r="A53" s="15"/>
      <c r="B53" s="15"/>
      <c r="C53" s="15"/>
      <c r="D53" s="15"/>
      <c r="E53" s="13"/>
    </row>
    <row r="54" spans="1:9" ht="15.75" thickBot="1" x14ac:dyDescent="0.3">
      <c r="A54" s="14" t="s">
        <v>18</v>
      </c>
      <c r="B54" s="15"/>
      <c r="C54" s="56">
        <f>C41+C47+C52</f>
        <v>388884.87481199997</v>
      </c>
      <c r="D54" s="57">
        <f>D41+D47+D52</f>
        <v>5028821.1599999983</v>
      </c>
      <c r="E54" s="13"/>
      <c r="F54" s="12" t="s">
        <v>18</v>
      </c>
      <c r="H54" s="54">
        <f>H42+H47+H52</f>
        <v>384252</v>
      </c>
      <c r="I54" s="55">
        <f>I42+I47+I52</f>
        <v>4991684.7600000007</v>
      </c>
    </row>
    <row r="55" spans="1:9" x14ac:dyDescent="0.25">
      <c r="A55" s="14"/>
      <c r="B55" s="15"/>
      <c r="C55" s="15"/>
      <c r="D55" s="15"/>
      <c r="E55" s="13"/>
    </row>
    <row r="56" spans="1:9" x14ac:dyDescent="0.25">
      <c r="E56" s="13"/>
      <c r="F56" s="12"/>
    </row>
    <row r="57" spans="1:9" ht="15.75" thickBot="1" x14ac:dyDescent="0.3">
      <c r="A57" s="59"/>
      <c r="B57" s="36"/>
      <c r="C57" s="36"/>
      <c r="D57" s="36"/>
      <c r="E57" s="13"/>
      <c r="F57" s="58"/>
      <c r="G57" s="13"/>
      <c r="H57" s="13"/>
      <c r="I57" s="13"/>
    </row>
    <row r="58" spans="1:9" ht="15.75" thickBot="1" x14ac:dyDescent="0.3">
      <c r="A58" s="14" t="s">
        <v>22</v>
      </c>
      <c r="B58" s="15"/>
      <c r="C58" s="23">
        <f>C18+C33+C54</f>
        <v>783469.60126799997</v>
      </c>
      <c r="D58" s="29">
        <f>D18+D33+D54</f>
        <v>9736780.7300000004</v>
      </c>
      <c r="E58" s="13"/>
      <c r="F58" s="12" t="s">
        <v>22</v>
      </c>
      <c r="H58" s="27">
        <f>H18+H33+H54</f>
        <v>794403.17602422228</v>
      </c>
      <c r="I58" s="28">
        <f>I18+I33+I54</f>
        <v>10373389.010000002</v>
      </c>
    </row>
    <row r="59" spans="1:9" ht="15.75" thickBot="1" x14ac:dyDescent="0.3">
      <c r="C59" s="2"/>
      <c r="E59" s="13"/>
    </row>
    <row r="60" spans="1:9" ht="15.75" thickBot="1" x14ac:dyDescent="0.3">
      <c r="A60" s="60"/>
      <c r="B60" s="61" t="s">
        <v>12</v>
      </c>
      <c r="C60" s="62" t="s">
        <v>13</v>
      </c>
      <c r="E60" s="13"/>
    </row>
    <row r="61" spans="1:9" ht="15.75" thickBot="1" x14ac:dyDescent="0.3">
      <c r="A61" s="119" t="s">
        <v>744</v>
      </c>
      <c r="B61" s="120">
        <f>C58-H58</f>
        <v>-10933.574756222311</v>
      </c>
      <c r="C61" s="121">
        <f>D58-I58</f>
        <v>-636608.28000000119</v>
      </c>
      <c r="E61" s="13"/>
      <c r="F61" t="s">
        <v>23</v>
      </c>
      <c r="G61" s="7">
        <f>H39</f>
        <v>12884</v>
      </c>
      <c r="H61" s="8">
        <f>I39</f>
        <v>80449.13</v>
      </c>
    </row>
    <row r="62" spans="1:9" ht="15.75" thickBot="1" x14ac:dyDescent="0.3">
      <c r="A62" s="63"/>
      <c r="B62" s="64"/>
      <c r="C62" s="65"/>
      <c r="E62" s="13"/>
      <c r="F62" t="s">
        <v>24</v>
      </c>
      <c r="G62" s="7">
        <f>H8+H46</f>
        <v>50150</v>
      </c>
      <c r="H62" s="8">
        <f>I8+I46</f>
        <v>325776.82</v>
      </c>
    </row>
    <row r="63" spans="1:9" ht="15.75" thickBot="1" x14ac:dyDescent="0.3">
      <c r="B63" s="2"/>
      <c r="C63" s="4"/>
      <c r="E63" s="13"/>
      <c r="F63" t="s">
        <v>494</v>
      </c>
      <c r="G63" s="7">
        <f>H13+H29+H50</f>
        <v>73097</v>
      </c>
      <c r="H63" s="8">
        <f>I13+I29+I50</f>
        <v>461471.17000000004</v>
      </c>
    </row>
    <row r="64" spans="1:9" ht="15.75" thickBot="1" x14ac:dyDescent="0.3">
      <c r="A64" t="s">
        <v>23</v>
      </c>
      <c r="B64" s="7">
        <v>10460</v>
      </c>
      <c r="C64" s="8">
        <v>58165.5</v>
      </c>
      <c r="E64" s="13"/>
      <c r="F64" t="s">
        <v>25</v>
      </c>
      <c r="G64" s="66">
        <v>279679</v>
      </c>
      <c r="H64" s="67">
        <v>1524054.36</v>
      </c>
    </row>
    <row r="65" spans="1:9" ht="15.75" thickBot="1" x14ac:dyDescent="0.3">
      <c r="A65" t="s">
        <v>24</v>
      </c>
      <c r="B65" s="7">
        <v>43239</v>
      </c>
      <c r="C65" s="8">
        <v>256845.74</v>
      </c>
      <c r="E65" s="13"/>
      <c r="F65" t="s">
        <v>26</v>
      </c>
      <c r="G65" s="5">
        <f>SUM(G61:G64)</f>
        <v>415810</v>
      </c>
      <c r="H65" s="21">
        <f>SUM(H61:H64)</f>
        <v>2391751.4800000004</v>
      </c>
      <c r="I65" s="21">
        <f>H65/G65</f>
        <v>5.7520297251148369</v>
      </c>
    </row>
    <row r="66" spans="1:9" x14ac:dyDescent="0.25">
      <c r="A66" t="s">
        <v>494</v>
      </c>
      <c r="B66" s="7">
        <v>69135</v>
      </c>
      <c r="C66" s="8">
        <v>376745.77000000014</v>
      </c>
      <c r="E66" s="13"/>
    </row>
    <row r="67" spans="1:9" ht="15.75" thickBot="1" x14ac:dyDescent="0.3">
      <c r="A67" t="s">
        <v>25</v>
      </c>
      <c r="B67" s="42">
        <v>278728</v>
      </c>
      <c r="C67" s="105">
        <v>1388065.4400000002</v>
      </c>
      <c r="E67" s="13"/>
    </row>
    <row r="68" spans="1:9" ht="15.75" thickBot="1" x14ac:dyDescent="0.3">
      <c r="A68" t="s">
        <v>26</v>
      </c>
      <c r="B68" s="5">
        <f>SUM(B64:B67)</f>
        <v>401562</v>
      </c>
      <c r="C68" s="102">
        <f>SUM(C64:C67)</f>
        <v>2079822.4500000002</v>
      </c>
      <c r="D68" s="21">
        <f>C68/B68</f>
        <v>5.1793308380773082</v>
      </c>
      <c r="E68" s="13"/>
    </row>
    <row r="69" spans="1:9" x14ac:dyDescent="0.25">
      <c r="E69" s="13"/>
    </row>
    <row r="70" spans="1:9" x14ac:dyDescent="0.25">
      <c r="E70" s="13"/>
    </row>
    <row r="71" spans="1:9" x14ac:dyDescent="0.25">
      <c r="E71" s="13"/>
    </row>
    <row r="72" spans="1:9" x14ac:dyDescent="0.25">
      <c r="A72" s="69" t="s">
        <v>28</v>
      </c>
      <c r="B72" s="70"/>
      <c r="C72" s="70"/>
      <c r="E72" s="13"/>
      <c r="F72" s="69" t="s">
        <v>28</v>
      </c>
      <c r="G72" s="70"/>
      <c r="H72" s="70"/>
    </row>
    <row r="73" spans="1:9" x14ac:dyDescent="0.25">
      <c r="A73" s="69" t="s">
        <v>29</v>
      </c>
      <c r="B73" s="70"/>
      <c r="C73" s="70"/>
      <c r="E73" s="13"/>
      <c r="F73" s="69" t="s">
        <v>29</v>
      </c>
      <c r="G73" s="70"/>
      <c r="H73" s="70"/>
    </row>
    <row r="74" spans="1:9" x14ac:dyDescent="0.25">
      <c r="A74" s="69" t="s">
        <v>31</v>
      </c>
      <c r="B74" s="70"/>
      <c r="C74" s="70"/>
      <c r="E74" s="13"/>
      <c r="F74" s="69" t="s">
        <v>30</v>
      </c>
      <c r="G74" s="70"/>
      <c r="H74" s="70"/>
    </row>
    <row r="75" spans="1:9" x14ac:dyDescent="0.25">
      <c r="E75" s="13"/>
      <c r="F75" s="69" t="s">
        <v>31</v>
      </c>
      <c r="G75" s="70"/>
      <c r="H75" s="70"/>
    </row>
    <row r="76" spans="1:9" x14ac:dyDescent="0.25">
      <c r="A76" s="71"/>
      <c r="B76" s="72"/>
      <c r="C76" s="72"/>
      <c r="E76" s="13"/>
      <c r="F76" s="71"/>
      <c r="G76" s="72"/>
      <c r="H76" s="72"/>
    </row>
    <row r="77" spans="1:9" x14ac:dyDescent="0.25">
      <c r="A77" s="12" t="s">
        <v>32</v>
      </c>
      <c r="E77" s="13"/>
      <c r="F77" s="12" t="s">
        <v>32</v>
      </c>
    </row>
    <row r="78" spans="1:9" x14ac:dyDescent="0.25">
      <c r="A78" s="73" t="s">
        <v>742</v>
      </c>
      <c r="B78" s="73"/>
      <c r="C78" s="73"/>
      <c r="E78" s="13"/>
      <c r="F78" s="73" t="s">
        <v>33</v>
      </c>
      <c r="G78" s="73"/>
      <c r="H78" s="73"/>
    </row>
    <row r="79" spans="1:9" x14ac:dyDescent="0.25">
      <c r="E79" s="13"/>
    </row>
    <row r="80" spans="1:9" x14ac:dyDescent="0.25">
      <c r="A80" s="74" t="s">
        <v>34</v>
      </c>
      <c r="B80" s="74"/>
      <c r="C80" s="74"/>
      <c r="E80" s="13"/>
      <c r="F80" s="74" t="s">
        <v>34</v>
      </c>
      <c r="G80" s="74"/>
      <c r="H80" s="74"/>
    </row>
    <row r="81" spans="1:9" x14ac:dyDescent="0.25">
      <c r="A81" s="74" t="s">
        <v>35</v>
      </c>
      <c r="B81" s="74"/>
      <c r="C81" s="74"/>
      <c r="E81" s="13"/>
      <c r="F81" s="74" t="s">
        <v>615</v>
      </c>
      <c r="G81" s="74"/>
      <c r="H81" s="74"/>
    </row>
    <row r="82" spans="1:9" x14ac:dyDescent="0.25">
      <c r="A82" s="75" t="s">
        <v>36</v>
      </c>
      <c r="B82" s="75"/>
      <c r="C82" s="75" t="s">
        <v>20</v>
      </c>
      <c r="E82" s="13"/>
      <c r="F82" s="75" t="s">
        <v>36</v>
      </c>
      <c r="G82" s="75"/>
      <c r="H82" s="75" t="s">
        <v>20</v>
      </c>
    </row>
    <row r="83" spans="1:9" x14ac:dyDescent="0.25">
      <c r="A83" s="76" t="s">
        <v>37</v>
      </c>
      <c r="B83" s="76"/>
      <c r="C83" s="76" t="s">
        <v>19</v>
      </c>
      <c r="E83" s="13"/>
      <c r="F83" s="76" t="s">
        <v>37</v>
      </c>
      <c r="G83" s="76"/>
      <c r="H83" s="76" t="s">
        <v>19</v>
      </c>
      <c r="I83" s="74"/>
    </row>
    <row r="84" spans="1:9" x14ac:dyDescent="0.25">
      <c r="A84" s="76" t="s">
        <v>38</v>
      </c>
      <c r="B84" s="76"/>
      <c r="C84" s="76" t="s">
        <v>19</v>
      </c>
      <c r="E84" s="13"/>
      <c r="F84" s="76" t="s">
        <v>38</v>
      </c>
      <c r="G84" s="76"/>
      <c r="H84" s="76" t="s">
        <v>19</v>
      </c>
    </row>
    <row r="85" spans="1:9" x14ac:dyDescent="0.25">
      <c r="A85" s="76" t="s">
        <v>39</v>
      </c>
      <c r="B85" s="76"/>
      <c r="C85" s="76" t="s">
        <v>19</v>
      </c>
      <c r="E85" s="13"/>
      <c r="F85" s="76" t="s">
        <v>39</v>
      </c>
      <c r="G85" s="76"/>
      <c r="H85" s="76" t="s">
        <v>19</v>
      </c>
    </row>
    <row r="86" spans="1:9" x14ac:dyDescent="0.25">
      <c r="A86" s="76" t="s">
        <v>40</v>
      </c>
      <c r="B86" s="76"/>
      <c r="C86" s="76" t="s">
        <v>19</v>
      </c>
      <c r="E86" s="13"/>
      <c r="F86" s="76" t="s">
        <v>40</v>
      </c>
      <c r="G86" s="76"/>
      <c r="H86" s="76" t="s">
        <v>19</v>
      </c>
    </row>
    <row r="87" spans="1:9" x14ac:dyDescent="0.25">
      <c r="A87" s="117" t="s">
        <v>741</v>
      </c>
      <c r="B87" s="117"/>
      <c r="C87" s="117" t="s">
        <v>631</v>
      </c>
      <c r="E87" s="13"/>
    </row>
    <row r="88" spans="1:9" x14ac:dyDescent="0.25">
      <c r="E88" s="13"/>
    </row>
    <row r="89" spans="1:9" x14ac:dyDescent="0.25">
      <c r="A89" s="77" t="s">
        <v>41</v>
      </c>
      <c r="E89" s="13"/>
      <c r="F89" s="77" t="s">
        <v>41</v>
      </c>
    </row>
    <row r="90" spans="1:9" x14ac:dyDescent="0.25">
      <c r="A90" s="75" t="s">
        <v>42</v>
      </c>
      <c r="B90" s="75"/>
      <c r="C90" s="75" t="s">
        <v>20</v>
      </c>
      <c r="E90" s="13"/>
      <c r="F90" s="75" t="s">
        <v>42</v>
      </c>
      <c r="G90" s="75"/>
      <c r="H90" s="75" t="s">
        <v>20</v>
      </c>
    </row>
    <row r="91" spans="1:9" x14ac:dyDescent="0.25">
      <c r="A91" s="75" t="s">
        <v>43</v>
      </c>
      <c r="B91" s="75"/>
      <c r="C91" s="75" t="s">
        <v>20</v>
      </c>
      <c r="E91" s="13"/>
      <c r="F91" s="75" t="s">
        <v>43</v>
      </c>
      <c r="G91" s="75"/>
      <c r="H91" s="75" t="s">
        <v>20</v>
      </c>
    </row>
    <row r="92" spans="1:9" x14ac:dyDescent="0.25">
      <c r="A92" s="75" t="s">
        <v>44</v>
      </c>
      <c r="B92" s="75"/>
      <c r="C92" s="75" t="s">
        <v>20</v>
      </c>
      <c r="E92" s="13"/>
      <c r="F92" s="75" t="s">
        <v>44</v>
      </c>
      <c r="G92" s="75"/>
      <c r="H92" s="75" t="s">
        <v>20</v>
      </c>
    </row>
    <row r="93" spans="1:9" x14ac:dyDescent="0.25">
      <c r="A93" s="75" t="s">
        <v>45</v>
      </c>
      <c r="B93" s="75"/>
      <c r="C93" s="75" t="s">
        <v>20</v>
      </c>
      <c r="E93" s="13"/>
      <c r="F93" s="75" t="s">
        <v>45</v>
      </c>
      <c r="G93" s="75"/>
      <c r="H93" s="75" t="s">
        <v>20</v>
      </c>
    </row>
    <row r="157" spans="1:3" x14ac:dyDescent="0.25">
      <c r="A157" s="2"/>
      <c r="B157" s="2"/>
      <c r="C157" s="4"/>
    </row>
    <row r="158" spans="1:3" x14ac:dyDescent="0.25">
      <c r="A158" s="2"/>
      <c r="C158" s="4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P40"/>
  <sheetViews>
    <sheetView topLeftCell="A28" workbookViewId="0">
      <selection activeCell="E24" sqref="E24"/>
    </sheetView>
  </sheetViews>
  <sheetFormatPr defaultColWidth="8.85546875" defaultRowHeight="15" x14ac:dyDescent="0.25"/>
  <cols>
    <col min="1" max="1" width="25.28515625" bestFit="1" customWidth="1"/>
    <col min="2" max="2" width="7.42578125" bestFit="1" customWidth="1"/>
    <col min="3" max="3" width="34.28515625" bestFit="1" customWidth="1"/>
    <col min="4" max="4" width="7" bestFit="1" customWidth="1"/>
    <col min="5" max="6" width="10.7109375" bestFit="1" customWidth="1"/>
    <col min="7" max="7" width="21.7109375" bestFit="1" customWidth="1"/>
    <col min="8" max="8" width="7.42578125" style="2" bestFit="1" customWidth="1"/>
    <col min="9" max="9" width="5.28515625" bestFit="1" customWidth="1"/>
    <col min="10" max="10" width="10.140625" style="4" bestFit="1" customWidth="1"/>
    <col min="16" max="16" width="25.140625" style="2" customWidth="1"/>
  </cols>
  <sheetData>
    <row r="1" spans="1:16" ht="15.75" x14ac:dyDescent="0.25">
      <c r="A1" s="103" t="s">
        <v>576</v>
      </c>
    </row>
    <row r="3" spans="1:16" x14ac:dyDescent="0.25">
      <c r="A3" t="s">
        <v>200</v>
      </c>
      <c r="B3" t="s">
        <v>5</v>
      </c>
      <c r="C3" t="s">
        <v>201</v>
      </c>
      <c r="D3">
        <v>201507</v>
      </c>
      <c r="E3" s="1">
        <v>42181</v>
      </c>
      <c r="F3" s="1">
        <v>42213</v>
      </c>
      <c r="G3" t="s">
        <v>202</v>
      </c>
      <c r="H3" s="81">
        <v>35696</v>
      </c>
      <c r="I3" t="s">
        <v>6</v>
      </c>
      <c r="J3" s="3">
        <v>2136.16</v>
      </c>
      <c r="P3"/>
    </row>
    <row r="4" spans="1:16" x14ac:dyDescent="0.25">
      <c r="A4" t="s">
        <v>200</v>
      </c>
      <c r="B4" t="s">
        <v>5</v>
      </c>
      <c r="C4" t="s">
        <v>201</v>
      </c>
      <c r="D4">
        <v>201508</v>
      </c>
      <c r="E4" s="1">
        <v>42213</v>
      </c>
      <c r="F4" s="1">
        <v>42242</v>
      </c>
      <c r="G4" t="s">
        <v>202</v>
      </c>
      <c r="H4" s="81">
        <v>32762</v>
      </c>
      <c r="I4" t="s">
        <v>6</v>
      </c>
      <c r="J4" s="3">
        <v>1963.14</v>
      </c>
      <c r="P4"/>
    </row>
    <row r="5" spans="1:16" x14ac:dyDescent="0.25">
      <c r="A5" t="s">
        <v>200</v>
      </c>
      <c r="B5" t="s">
        <v>5</v>
      </c>
      <c r="C5" t="s">
        <v>201</v>
      </c>
      <c r="D5">
        <v>201509</v>
      </c>
      <c r="E5" s="1">
        <v>42242</v>
      </c>
      <c r="F5" s="1">
        <v>42272</v>
      </c>
      <c r="G5" t="s">
        <v>202</v>
      </c>
      <c r="H5" s="81">
        <v>33910</v>
      </c>
      <c r="I5" t="s">
        <v>6</v>
      </c>
      <c r="J5" s="3">
        <v>2023.76</v>
      </c>
      <c r="P5"/>
    </row>
    <row r="6" spans="1:16" x14ac:dyDescent="0.25">
      <c r="A6" t="s">
        <v>200</v>
      </c>
      <c r="B6" t="s">
        <v>5</v>
      </c>
      <c r="C6" t="s">
        <v>201</v>
      </c>
      <c r="D6">
        <v>201510</v>
      </c>
      <c r="E6" s="1">
        <v>42272</v>
      </c>
      <c r="F6" s="1">
        <v>42303</v>
      </c>
      <c r="G6" t="s">
        <v>202</v>
      </c>
      <c r="H6" s="81">
        <v>35935</v>
      </c>
      <c r="I6" t="s">
        <v>6</v>
      </c>
      <c r="J6" s="3">
        <v>2146.0500000000002</v>
      </c>
      <c r="P6"/>
    </row>
    <row r="7" spans="1:16" x14ac:dyDescent="0.25">
      <c r="A7" t="s">
        <v>200</v>
      </c>
      <c r="B7" t="s">
        <v>5</v>
      </c>
      <c r="C7" t="s">
        <v>201</v>
      </c>
      <c r="D7">
        <v>201511</v>
      </c>
      <c r="E7" s="1">
        <v>42303</v>
      </c>
      <c r="F7" s="1">
        <v>42332</v>
      </c>
      <c r="G7" t="s">
        <v>202</v>
      </c>
      <c r="H7" s="81">
        <v>34630</v>
      </c>
      <c r="I7" t="s">
        <v>6</v>
      </c>
      <c r="J7" s="3">
        <v>2074.3200000000002</v>
      </c>
      <c r="P7"/>
    </row>
    <row r="8" spans="1:16" x14ac:dyDescent="0.25">
      <c r="A8" t="s">
        <v>200</v>
      </c>
      <c r="B8" t="s">
        <v>5</v>
      </c>
      <c r="C8" t="s">
        <v>201</v>
      </c>
      <c r="D8">
        <v>201512</v>
      </c>
      <c r="E8" s="1">
        <v>42332</v>
      </c>
      <c r="F8" s="1">
        <v>42366</v>
      </c>
      <c r="G8" t="s">
        <v>202</v>
      </c>
      <c r="H8" s="81">
        <v>40627</v>
      </c>
      <c r="I8" t="s">
        <v>6</v>
      </c>
      <c r="J8" s="3">
        <v>2573.19</v>
      </c>
      <c r="P8"/>
    </row>
    <row r="9" spans="1:16" x14ac:dyDescent="0.25">
      <c r="A9" t="s">
        <v>200</v>
      </c>
      <c r="B9" t="s">
        <v>5</v>
      </c>
      <c r="C9" t="s">
        <v>201</v>
      </c>
      <c r="D9">
        <v>201601</v>
      </c>
      <c r="E9" s="1">
        <v>42366</v>
      </c>
      <c r="F9" s="1">
        <v>42396</v>
      </c>
      <c r="G9" t="s">
        <v>202</v>
      </c>
      <c r="H9" s="81">
        <v>38202</v>
      </c>
      <c r="I9" t="s">
        <v>6</v>
      </c>
      <c r="J9" s="3">
        <v>2443.71</v>
      </c>
      <c r="P9"/>
    </row>
    <row r="10" spans="1:16" x14ac:dyDescent="0.25">
      <c r="A10" t="s">
        <v>200</v>
      </c>
      <c r="B10" t="s">
        <v>5</v>
      </c>
      <c r="C10" t="s">
        <v>201</v>
      </c>
      <c r="D10">
        <v>201602</v>
      </c>
      <c r="E10" s="1">
        <v>42396</v>
      </c>
      <c r="F10" s="1">
        <v>42425</v>
      </c>
      <c r="G10" t="s">
        <v>202</v>
      </c>
      <c r="H10" s="81">
        <v>37869</v>
      </c>
      <c r="I10" t="s">
        <v>6</v>
      </c>
      <c r="J10" s="3">
        <v>2366.8200000000002</v>
      </c>
      <c r="P10"/>
    </row>
    <row r="11" spans="1:16" x14ac:dyDescent="0.25">
      <c r="A11" t="s">
        <v>200</v>
      </c>
      <c r="B11" t="s">
        <v>5</v>
      </c>
      <c r="C11" t="s">
        <v>201</v>
      </c>
      <c r="D11">
        <v>201603</v>
      </c>
      <c r="E11" s="1">
        <v>42425</v>
      </c>
      <c r="F11" s="1">
        <v>42458</v>
      </c>
      <c r="G11" t="s">
        <v>202</v>
      </c>
      <c r="H11" s="81">
        <v>41066</v>
      </c>
      <c r="I11" t="s">
        <v>6</v>
      </c>
      <c r="J11" s="3">
        <v>2570.42</v>
      </c>
      <c r="P11"/>
    </row>
    <row r="12" spans="1:16" x14ac:dyDescent="0.25">
      <c r="A12" t="s">
        <v>200</v>
      </c>
      <c r="B12" t="s">
        <v>5</v>
      </c>
      <c r="C12" t="s">
        <v>201</v>
      </c>
      <c r="D12">
        <v>201604</v>
      </c>
      <c r="E12" s="1">
        <v>42458</v>
      </c>
      <c r="F12" s="1">
        <v>42487</v>
      </c>
      <c r="G12" t="s">
        <v>202</v>
      </c>
      <c r="H12" s="81">
        <v>35623</v>
      </c>
      <c r="I12" t="s">
        <v>6</v>
      </c>
      <c r="J12" s="3">
        <v>2186.87</v>
      </c>
      <c r="P12"/>
    </row>
    <row r="13" spans="1:16" x14ac:dyDescent="0.25">
      <c r="A13" t="s">
        <v>200</v>
      </c>
      <c r="B13" t="s">
        <v>5</v>
      </c>
      <c r="C13" t="s">
        <v>201</v>
      </c>
      <c r="D13">
        <v>201605</v>
      </c>
      <c r="E13" s="1">
        <v>42487</v>
      </c>
      <c r="F13" s="1">
        <v>42516</v>
      </c>
      <c r="G13" t="s">
        <v>202</v>
      </c>
      <c r="H13" s="81">
        <v>34455</v>
      </c>
      <c r="I13" t="s">
        <v>6</v>
      </c>
      <c r="J13" s="3">
        <v>2153.8200000000002</v>
      </c>
      <c r="P13"/>
    </row>
    <row r="14" spans="1:16" x14ac:dyDescent="0.25">
      <c r="A14" t="s">
        <v>200</v>
      </c>
      <c r="B14" t="s">
        <v>5</v>
      </c>
      <c r="C14" t="s">
        <v>201</v>
      </c>
      <c r="D14">
        <v>201606</v>
      </c>
      <c r="E14" s="1">
        <v>42516</v>
      </c>
      <c r="F14" s="1">
        <v>42548</v>
      </c>
      <c r="G14" t="s">
        <v>202</v>
      </c>
      <c r="H14" s="81">
        <v>36714</v>
      </c>
      <c r="I14" t="s">
        <v>6</v>
      </c>
      <c r="J14" s="3">
        <v>2200.96</v>
      </c>
      <c r="P14"/>
    </row>
    <row r="15" spans="1:16" x14ac:dyDescent="0.25">
      <c r="A15" t="s">
        <v>171</v>
      </c>
      <c r="B15" t="s">
        <v>5</v>
      </c>
      <c r="C15" t="s">
        <v>172</v>
      </c>
      <c r="D15">
        <v>201507</v>
      </c>
      <c r="E15" s="1">
        <v>42181</v>
      </c>
      <c r="F15" s="1">
        <v>42213</v>
      </c>
      <c r="G15" t="s">
        <v>172</v>
      </c>
      <c r="H15" s="81">
        <v>9150</v>
      </c>
      <c r="I15" t="s">
        <v>6</v>
      </c>
      <c r="J15" s="3">
        <v>547.55999999999995</v>
      </c>
    </row>
    <row r="16" spans="1:16" x14ac:dyDescent="0.25">
      <c r="A16" t="s">
        <v>171</v>
      </c>
      <c r="B16" t="s">
        <v>5</v>
      </c>
      <c r="C16" t="s">
        <v>172</v>
      </c>
      <c r="D16">
        <v>201508</v>
      </c>
      <c r="E16" s="1">
        <v>42213</v>
      </c>
      <c r="F16" s="1">
        <v>42242</v>
      </c>
      <c r="G16" t="s">
        <v>172</v>
      </c>
      <c r="H16" s="81">
        <v>8235</v>
      </c>
      <c r="I16" t="s">
        <v>6</v>
      </c>
      <c r="J16" s="3">
        <v>493.45</v>
      </c>
    </row>
    <row r="17" spans="1:10" x14ac:dyDescent="0.25">
      <c r="A17" t="s">
        <v>171</v>
      </c>
      <c r="B17" t="s">
        <v>5</v>
      </c>
      <c r="C17" t="s">
        <v>172</v>
      </c>
      <c r="D17">
        <v>201509</v>
      </c>
      <c r="E17" s="1">
        <v>42242</v>
      </c>
      <c r="F17" s="1">
        <v>42272</v>
      </c>
      <c r="G17" t="s">
        <v>172</v>
      </c>
      <c r="H17" s="81">
        <v>8452</v>
      </c>
      <c r="I17" t="s">
        <v>6</v>
      </c>
      <c r="J17" s="3">
        <v>504.42</v>
      </c>
    </row>
    <row r="18" spans="1:10" x14ac:dyDescent="0.25">
      <c r="A18" t="s">
        <v>171</v>
      </c>
      <c r="B18" t="s">
        <v>5</v>
      </c>
      <c r="C18" t="s">
        <v>172</v>
      </c>
      <c r="D18">
        <v>201510</v>
      </c>
      <c r="E18" s="1">
        <v>42272</v>
      </c>
      <c r="F18" s="1">
        <v>42303</v>
      </c>
      <c r="G18" t="s">
        <v>172</v>
      </c>
      <c r="H18" s="81">
        <v>8690</v>
      </c>
      <c r="I18" t="s">
        <v>6</v>
      </c>
      <c r="J18" s="3">
        <v>518.97</v>
      </c>
    </row>
    <row r="19" spans="1:10" x14ac:dyDescent="0.25">
      <c r="A19" t="s">
        <v>171</v>
      </c>
      <c r="B19" t="s">
        <v>5</v>
      </c>
      <c r="C19" t="s">
        <v>172</v>
      </c>
      <c r="D19">
        <v>201511</v>
      </c>
      <c r="E19" s="1">
        <v>42303</v>
      </c>
      <c r="F19" s="1">
        <v>42332</v>
      </c>
      <c r="G19" t="s">
        <v>172</v>
      </c>
      <c r="H19" s="81">
        <v>8008</v>
      </c>
      <c r="I19" t="s">
        <v>6</v>
      </c>
      <c r="J19" s="3">
        <v>479.68</v>
      </c>
    </row>
    <row r="20" spans="1:10" x14ac:dyDescent="0.25">
      <c r="A20" t="s">
        <v>171</v>
      </c>
      <c r="B20" t="s">
        <v>5</v>
      </c>
      <c r="C20" t="s">
        <v>172</v>
      </c>
      <c r="D20">
        <v>201512</v>
      </c>
      <c r="E20" s="1">
        <v>42332</v>
      </c>
      <c r="F20" s="1">
        <v>42366</v>
      </c>
      <c r="G20" t="s">
        <v>172</v>
      </c>
      <c r="H20" s="81">
        <v>4097</v>
      </c>
      <c r="I20" t="s">
        <v>6</v>
      </c>
      <c r="J20" s="3">
        <v>259.49</v>
      </c>
    </row>
    <row r="21" spans="1:10" x14ac:dyDescent="0.25">
      <c r="A21" t="s">
        <v>171</v>
      </c>
      <c r="B21" t="s">
        <v>5</v>
      </c>
      <c r="C21" t="s">
        <v>172</v>
      </c>
      <c r="D21">
        <v>201601</v>
      </c>
      <c r="E21" s="1">
        <v>42366</v>
      </c>
      <c r="F21" s="1">
        <v>42396</v>
      </c>
      <c r="G21" t="s">
        <v>172</v>
      </c>
      <c r="H21" s="81">
        <v>15392</v>
      </c>
      <c r="I21" t="s">
        <v>6</v>
      </c>
      <c r="J21" s="3">
        <v>984.6</v>
      </c>
    </row>
    <row r="22" spans="1:10" x14ac:dyDescent="0.25">
      <c r="A22" t="s">
        <v>171</v>
      </c>
      <c r="B22" t="s">
        <v>5</v>
      </c>
      <c r="C22" t="s">
        <v>172</v>
      </c>
      <c r="D22">
        <v>201602</v>
      </c>
      <c r="E22" s="1">
        <v>42396</v>
      </c>
      <c r="F22" s="1">
        <v>42425</v>
      </c>
      <c r="G22" t="s">
        <v>172</v>
      </c>
      <c r="H22" s="81">
        <v>2080</v>
      </c>
      <c r="I22" t="s">
        <v>6</v>
      </c>
      <c r="J22" s="3">
        <v>130</v>
      </c>
    </row>
    <row r="23" spans="1:10" x14ac:dyDescent="0.25">
      <c r="A23" t="s">
        <v>171</v>
      </c>
      <c r="B23" t="s">
        <v>5</v>
      </c>
      <c r="C23" t="s">
        <v>172</v>
      </c>
      <c r="D23">
        <v>201603</v>
      </c>
      <c r="E23" s="1">
        <v>42425</v>
      </c>
      <c r="F23" s="1">
        <v>42458</v>
      </c>
      <c r="G23" t="s">
        <v>172</v>
      </c>
      <c r="H23" s="81">
        <v>2417</v>
      </c>
      <c r="I23" t="s">
        <v>6</v>
      </c>
      <c r="J23" s="3">
        <v>151.29</v>
      </c>
    </row>
    <row r="24" spans="1:10" x14ac:dyDescent="0.25">
      <c r="A24" t="s">
        <v>171</v>
      </c>
      <c r="B24" t="s">
        <v>5</v>
      </c>
      <c r="C24" t="s">
        <v>172</v>
      </c>
      <c r="D24">
        <v>201604</v>
      </c>
      <c r="E24" s="1">
        <v>42458</v>
      </c>
      <c r="F24" s="1">
        <v>42487</v>
      </c>
      <c r="G24" t="s">
        <v>172</v>
      </c>
      <c r="H24" s="81">
        <v>2125</v>
      </c>
      <c r="I24" t="s">
        <v>6</v>
      </c>
      <c r="J24" s="3">
        <v>130.44999999999999</v>
      </c>
    </row>
    <row r="25" spans="1:10" x14ac:dyDescent="0.25">
      <c r="A25" t="s">
        <v>171</v>
      </c>
      <c r="B25" t="s">
        <v>5</v>
      </c>
      <c r="C25" t="s">
        <v>172</v>
      </c>
      <c r="D25">
        <v>201605</v>
      </c>
      <c r="E25" s="1">
        <v>42487</v>
      </c>
      <c r="F25" s="1">
        <v>42516</v>
      </c>
      <c r="G25" t="s">
        <v>172</v>
      </c>
      <c r="H25" s="81">
        <v>2110</v>
      </c>
      <c r="I25" t="s">
        <v>6</v>
      </c>
      <c r="J25" s="3">
        <v>131.9</v>
      </c>
    </row>
    <row r="26" spans="1:10" x14ac:dyDescent="0.25">
      <c r="A26" t="s">
        <v>171</v>
      </c>
      <c r="B26" t="s">
        <v>5</v>
      </c>
      <c r="C26" t="s">
        <v>172</v>
      </c>
      <c r="D26">
        <v>201606</v>
      </c>
      <c r="E26" s="1">
        <v>42516</v>
      </c>
      <c r="F26" s="1">
        <v>42548</v>
      </c>
      <c r="G26" t="s">
        <v>172</v>
      </c>
      <c r="H26" s="81">
        <v>2627</v>
      </c>
      <c r="I26" t="s">
        <v>6</v>
      </c>
      <c r="J26" s="3">
        <v>157.49</v>
      </c>
    </row>
    <row r="27" spans="1:10" x14ac:dyDescent="0.25">
      <c r="A27" t="s">
        <v>171</v>
      </c>
      <c r="B27" t="s">
        <v>5</v>
      </c>
      <c r="C27" t="s">
        <v>173</v>
      </c>
      <c r="D27">
        <v>201507</v>
      </c>
      <c r="E27" s="1">
        <v>42181</v>
      </c>
      <c r="F27" s="1">
        <v>42213</v>
      </c>
      <c r="G27" t="s">
        <v>173</v>
      </c>
      <c r="H27" s="81">
        <v>10449</v>
      </c>
      <c r="I27" t="s">
        <v>6</v>
      </c>
      <c r="J27" s="3">
        <v>625.29999999999995</v>
      </c>
    </row>
    <row r="28" spans="1:10" x14ac:dyDescent="0.25">
      <c r="A28" t="s">
        <v>171</v>
      </c>
      <c r="B28" t="s">
        <v>5</v>
      </c>
      <c r="C28" t="s">
        <v>173</v>
      </c>
      <c r="D28">
        <v>201508</v>
      </c>
      <c r="E28" s="1">
        <v>42213</v>
      </c>
      <c r="F28" s="1">
        <v>42242</v>
      </c>
      <c r="G28" t="s">
        <v>173</v>
      </c>
      <c r="H28" s="81">
        <v>9569</v>
      </c>
      <c r="I28" t="s">
        <v>6</v>
      </c>
      <c r="J28" s="3">
        <v>573.39</v>
      </c>
    </row>
    <row r="29" spans="1:10" x14ac:dyDescent="0.25">
      <c r="A29" t="s">
        <v>171</v>
      </c>
      <c r="B29" t="s">
        <v>5</v>
      </c>
      <c r="C29" t="s">
        <v>173</v>
      </c>
      <c r="D29">
        <v>201509</v>
      </c>
      <c r="E29" s="1">
        <v>42242</v>
      </c>
      <c r="F29" s="1">
        <v>42272</v>
      </c>
      <c r="G29" t="s">
        <v>173</v>
      </c>
      <c r="H29" s="81">
        <v>10072</v>
      </c>
      <c r="I29" t="s">
        <v>6</v>
      </c>
      <c r="J29" s="3">
        <v>601.1</v>
      </c>
    </row>
    <row r="30" spans="1:10" x14ac:dyDescent="0.25">
      <c r="A30" t="s">
        <v>171</v>
      </c>
      <c r="B30" t="s">
        <v>5</v>
      </c>
      <c r="C30" t="s">
        <v>173</v>
      </c>
      <c r="D30">
        <v>201510</v>
      </c>
      <c r="E30" s="1">
        <v>42272</v>
      </c>
      <c r="F30" s="1">
        <v>42303</v>
      </c>
      <c r="G30" t="s">
        <v>173</v>
      </c>
      <c r="H30" s="81">
        <v>10467</v>
      </c>
      <c r="I30" t="s">
        <v>6</v>
      </c>
      <c r="J30" s="3">
        <v>625.09</v>
      </c>
    </row>
    <row r="31" spans="1:10" x14ac:dyDescent="0.25">
      <c r="A31" t="s">
        <v>171</v>
      </c>
      <c r="B31" t="s">
        <v>5</v>
      </c>
      <c r="C31" t="s">
        <v>173</v>
      </c>
      <c r="D31">
        <v>201511</v>
      </c>
      <c r="E31" s="1">
        <v>42303</v>
      </c>
      <c r="F31" s="1">
        <v>42332</v>
      </c>
      <c r="G31" t="s">
        <v>173</v>
      </c>
      <c r="H31" s="81">
        <v>9826</v>
      </c>
      <c r="I31" t="s">
        <v>6</v>
      </c>
      <c r="J31" s="3">
        <v>588.57000000000005</v>
      </c>
    </row>
    <row r="32" spans="1:10" x14ac:dyDescent="0.25">
      <c r="A32" t="s">
        <v>171</v>
      </c>
      <c r="B32" t="s">
        <v>5</v>
      </c>
      <c r="C32" t="s">
        <v>173</v>
      </c>
      <c r="D32">
        <v>201512</v>
      </c>
      <c r="E32" s="1">
        <v>42332</v>
      </c>
      <c r="F32" s="1">
        <v>42366</v>
      </c>
      <c r="G32" t="s">
        <v>173</v>
      </c>
      <c r="H32" s="81">
        <v>4714</v>
      </c>
      <c r="I32" t="s">
        <v>6</v>
      </c>
      <c r="J32" s="3">
        <v>298.57</v>
      </c>
    </row>
    <row r="33" spans="1:10" x14ac:dyDescent="0.25">
      <c r="A33" t="s">
        <v>171</v>
      </c>
      <c r="B33" t="s">
        <v>5</v>
      </c>
      <c r="C33" t="s">
        <v>173</v>
      </c>
      <c r="D33">
        <v>201601</v>
      </c>
      <c r="E33" s="1">
        <v>42366</v>
      </c>
      <c r="F33" s="1">
        <v>42396</v>
      </c>
      <c r="G33" t="s">
        <v>173</v>
      </c>
      <c r="H33" s="81">
        <v>15800</v>
      </c>
      <c r="I33" t="s">
        <v>6</v>
      </c>
      <c r="J33" s="3">
        <v>1010.7</v>
      </c>
    </row>
    <row r="34" spans="1:10" x14ac:dyDescent="0.25">
      <c r="A34" t="s">
        <v>171</v>
      </c>
      <c r="B34" t="s">
        <v>5</v>
      </c>
      <c r="C34" t="s">
        <v>173</v>
      </c>
      <c r="D34">
        <v>201602</v>
      </c>
      <c r="E34" s="1">
        <v>42396</v>
      </c>
      <c r="F34" s="1">
        <v>42425</v>
      </c>
      <c r="G34" t="s">
        <v>173</v>
      </c>
      <c r="H34" s="81">
        <v>2458</v>
      </c>
      <c r="I34" t="s">
        <v>6</v>
      </c>
      <c r="J34" s="3">
        <v>153.63</v>
      </c>
    </row>
    <row r="35" spans="1:10" x14ac:dyDescent="0.25">
      <c r="A35" t="s">
        <v>171</v>
      </c>
      <c r="B35" t="s">
        <v>5</v>
      </c>
      <c r="C35" t="s">
        <v>173</v>
      </c>
      <c r="D35">
        <v>201603</v>
      </c>
      <c r="E35" s="1">
        <v>42425</v>
      </c>
      <c r="F35" s="1">
        <v>42458</v>
      </c>
      <c r="G35" t="s">
        <v>173</v>
      </c>
      <c r="H35" s="81">
        <v>2808</v>
      </c>
      <c r="I35" t="s">
        <v>6</v>
      </c>
      <c r="J35" s="3">
        <v>175.76</v>
      </c>
    </row>
    <row r="36" spans="1:10" x14ac:dyDescent="0.25">
      <c r="A36" t="s">
        <v>171</v>
      </c>
      <c r="B36" t="s">
        <v>5</v>
      </c>
      <c r="C36" t="s">
        <v>173</v>
      </c>
      <c r="D36">
        <v>201604</v>
      </c>
      <c r="E36" s="1">
        <v>42458</v>
      </c>
      <c r="F36" s="1">
        <v>42487</v>
      </c>
      <c r="G36" t="s">
        <v>173</v>
      </c>
      <c r="H36" s="81">
        <v>2472</v>
      </c>
      <c r="I36" t="s">
        <v>6</v>
      </c>
      <c r="J36" s="3">
        <v>151.75</v>
      </c>
    </row>
    <row r="37" spans="1:10" x14ac:dyDescent="0.25">
      <c r="A37" t="s">
        <v>171</v>
      </c>
      <c r="B37" t="s">
        <v>5</v>
      </c>
      <c r="C37" t="s">
        <v>173</v>
      </c>
      <c r="D37">
        <v>201605</v>
      </c>
      <c r="E37" s="1">
        <v>42487</v>
      </c>
      <c r="F37" s="1">
        <v>42516</v>
      </c>
      <c r="G37" t="s">
        <v>173</v>
      </c>
      <c r="H37" s="81">
        <v>2479</v>
      </c>
      <c r="I37" t="s">
        <v>6</v>
      </c>
      <c r="J37" s="3">
        <v>154.97</v>
      </c>
    </row>
    <row r="38" spans="1:10" ht="15.75" thickBot="1" x14ac:dyDescent="0.3">
      <c r="A38" t="s">
        <v>171</v>
      </c>
      <c r="B38" t="s">
        <v>5</v>
      </c>
      <c r="C38" t="s">
        <v>173</v>
      </c>
      <c r="D38">
        <v>201606</v>
      </c>
      <c r="E38" s="1">
        <v>42516</v>
      </c>
      <c r="F38" s="1">
        <v>42548</v>
      </c>
      <c r="G38" t="s">
        <v>173</v>
      </c>
      <c r="H38" s="81">
        <v>3065</v>
      </c>
      <c r="I38" t="s">
        <v>6</v>
      </c>
      <c r="J38" s="3">
        <v>183.74</v>
      </c>
    </row>
    <row r="39" spans="1:10" ht="15.75" thickBot="1" x14ac:dyDescent="0.3">
      <c r="H39" s="27">
        <f>SUM(H3:H38)</f>
        <v>595051</v>
      </c>
      <c r="I39" t="s">
        <v>6</v>
      </c>
      <c r="J39" s="28">
        <f>SUM(J3:J38)</f>
        <v>36471.089999999997</v>
      </c>
    </row>
    <row r="40" spans="1:10" ht="15.75" thickBot="1" x14ac:dyDescent="0.3">
      <c r="H40" s="27">
        <f>595051*3412/1000000</f>
        <v>2030.314012</v>
      </c>
      <c r="I40" t="s">
        <v>12</v>
      </c>
    </row>
  </sheetData>
  <sortState xmlns:xlrd2="http://schemas.microsoft.com/office/spreadsheetml/2017/richdata2" ref="A2:J37">
    <sortCondition ref="A2:A37"/>
  </sortState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238"/>
  <sheetViews>
    <sheetView workbookViewId="0">
      <selection activeCell="H30" sqref="H30"/>
    </sheetView>
  </sheetViews>
  <sheetFormatPr defaultColWidth="8.85546875" defaultRowHeight="15" x14ac:dyDescent="0.25"/>
  <cols>
    <col min="1" max="1" width="20.42578125" customWidth="1"/>
    <col min="2" max="2" width="14.42578125" bestFit="1" customWidth="1"/>
    <col min="3" max="3" width="25" bestFit="1" customWidth="1"/>
    <col min="4" max="4" width="7" bestFit="1" customWidth="1"/>
    <col min="5" max="6" width="10.7109375" bestFit="1" customWidth="1"/>
    <col min="7" max="7" width="29.42578125" bestFit="1" customWidth="1"/>
    <col min="8" max="8" width="9.85546875" customWidth="1"/>
    <col min="9" max="9" width="5.28515625" bestFit="1" customWidth="1"/>
    <col min="10" max="10" width="11.140625" bestFit="1" customWidth="1"/>
    <col min="16" max="16" width="12.85546875" customWidth="1"/>
    <col min="17" max="17" width="12.7109375" customWidth="1"/>
    <col min="18" max="18" width="13.140625" customWidth="1"/>
    <col min="19" max="19" width="13.28515625" customWidth="1"/>
  </cols>
  <sheetData>
    <row r="1" spans="1:10" ht="15.75" x14ac:dyDescent="0.25">
      <c r="A1" s="103" t="s">
        <v>577</v>
      </c>
    </row>
    <row r="3" spans="1:10" x14ac:dyDescent="0.25">
      <c r="A3" t="s">
        <v>238</v>
      </c>
      <c r="B3" t="s">
        <v>5</v>
      </c>
      <c r="C3">
        <v>7636227501</v>
      </c>
      <c r="D3">
        <v>201507</v>
      </c>
      <c r="E3" s="1">
        <v>42181</v>
      </c>
      <c r="F3" s="1">
        <v>42213</v>
      </c>
      <c r="G3" t="s">
        <v>239</v>
      </c>
      <c r="H3" s="2">
        <v>142200</v>
      </c>
      <c r="I3" t="s">
        <v>6</v>
      </c>
      <c r="J3" s="4">
        <v>8848.34</v>
      </c>
    </row>
    <row r="4" spans="1:10" x14ac:dyDescent="0.25">
      <c r="A4" t="s">
        <v>238</v>
      </c>
      <c r="B4" t="s">
        <v>5</v>
      </c>
      <c r="C4">
        <v>7636227501</v>
      </c>
      <c r="D4">
        <v>201508</v>
      </c>
      <c r="E4" s="1">
        <v>42213</v>
      </c>
      <c r="F4" s="1">
        <v>42242</v>
      </c>
      <c r="G4" t="s">
        <v>239</v>
      </c>
      <c r="H4" s="2">
        <v>130200</v>
      </c>
      <c r="I4" t="s">
        <v>6</v>
      </c>
      <c r="J4" s="4">
        <v>8138.92</v>
      </c>
    </row>
    <row r="5" spans="1:10" x14ac:dyDescent="0.25">
      <c r="A5" t="s">
        <v>238</v>
      </c>
      <c r="B5" t="s">
        <v>5</v>
      </c>
      <c r="C5">
        <v>7636227501</v>
      </c>
      <c r="D5">
        <v>201509</v>
      </c>
      <c r="E5" s="1">
        <v>42242</v>
      </c>
      <c r="F5" s="1">
        <v>42272</v>
      </c>
      <c r="G5" t="s">
        <v>239</v>
      </c>
      <c r="H5" s="2">
        <v>129600</v>
      </c>
      <c r="I5" t="s">
        <v>6</v>
      </c>
      <c r="J5" s="4">
        <v>8433.75</v>
      </c>
    </row>
    <row r="6" spans="1:10" x14ac:dyDescent="0.25">
      <c r="A6" t="s">
        <v>238</v>
      </c>
      <c r="B6" t="s">
        <v>5</v>
      </c>
      <c r="C6">
        <v>7636227501</v>
      </c>
      <c r="D6">
        <v>201510</v>
      </c>
      <c r="E6" s="1">
        <v>42272</v>
      </c>
      <c r="F6" s="1">
        <v>42303</v>
      </c>
      <c r="G6" t="s">
        <v>239</v>
      </c>
      <c r="H6" s="2">
        <v>77400</v>
      </c>
      <c r="I6" t="s">
        <v>6</v>
      </c>
      <c r="J6" s="4">
        <v>6085.2</v>
      </c>
    </row>
    <row r="7" spans="1:10" x14ac:dyDescent="0.25">
      <c r="A7" t="s">
        <v>238</v>
      </c>
      <c r="B7" t="s">
        <v>5</v>
      </c>
      <c r="C7">
        <v>7636227501</v>
      </c>
      <c r="D7">
        <v>201511</v>
      </c>
      <c r="E7" s="1">
        <v>42303</v>
      </c>
      <c r="F7" s="1">
        <v>42332</v>
      </c>
      <c r="G7" t="s">
        <v>239</v>
      </c>
      <c r="H7" s="2">
        <v>65400</v>
      </c>
      <c r="I7" t="s">
        <v>6</v>
      </c>
      <c r="J7" s="4">
        <v>5397.06</v>
      </c>
    </row>
    <row r="8" spans="1:10" x14ac:dyDescent="0.25">
      <c r="A8" t="s">
        <v>238</v>
      </c>
      <c r="B8" t="s">
        <v>5</v>
      </c>
      <c r="C8">
        <v>7636227501</v>
      </c>
      <c r="D8">
        <v>201512</v>
      </c>
      <c r="E8" s="1">
        <v>42332</v>
      </c>
      <c r="F8" s="1">
        <v>42366</v>
      </c>
      <c r="G8" t="s">
        <v>239</v>
      </c>
      <c r="H8" s="2">
        <v>75000</v>
      </c>
      <c r="I8" t="s">
        <v>6</v>
      </c>
      <c r="J8" s="4">
        <v>6256.94</v>
      </c>
    </row>
    <row r="9" spans="1:10" x14ac:dyDescent="0.25">
      <c r="A9" t="s">
        <v>238</v>
      </c>
      <c r="B9" t="s">
        <v>5</v>
      </c>
      <c r="C9">
        <v>7636227501</v>
      </c>
      <c r="D9">
        <v>201601</v>
      </c>
      <c r="E9" s="1">
        <v>42366</v>
      </c>
      <c r="F9" s="1">
        <v>42396</v>
      </c>
      <c r="G9" t="s">
        <v>239</v>
      </c>
      <c r="H9" s="2">
        <v>66600</v>
      </c>
      <c r="I9" t="s">
        <v>6</v>
      </c>
      <c r="J9" s="4">
        <v>5530.91</v>
      </c>
    </row>
    <row r="10" spans="1:10" x14ac:dyDescent="0.25">
      <c r="A10" t="s">
        <v>238</v>
      </c>
      <c r="B10" t="s">
        <v>5</v>
      </c>
      <c r="C10">
        <v>7636227501</v>
      </c>
      <c r="D10">
        <v>201602</v>
      </c>
      <c r="E10" s="1">
        <v>42396</v>
      </c>
      <c r="F10" s="1">
        <v>42425</v>
      </c>
      <c r="G10" t="s">
        <v>239</v>
      </c>
      <c r="H10" s="2">
        <v>66000</v>
      </c>
      <c r="I10" t="s">
        <v>6</v>
      </c>
      <c r="J10" s="4">
        <v>5413.81</v>
      </c>
    </row>
    <row r="11" spans="1:10" x14ac:dyDescent="0.25">
      <c r="A11" t="s">
        <v>238</v>
      </c>
      <c r="B11" t="s">
        <v>5</v>
      </c>
      <c r="C11">
        <v>7636227501</v>
      </c>
      <c r="D11">
        <v>201603</v>
      </c>
      <c r="E11" s="1">
        <v>42425</v>
      </c>
      <c r="F11" s="1">
        <v>42458</v>
      </c>
      <c r="G11" t="s">
        <v>239</v>
      </c>
      <c r="H11" s="2">
        <v>70200</v>
      </c>
      <c r="I11" t="s">
        <v>6</v>
      </c>
      <c r="J11" s="4">
        <v>5954.37</v>
      </c>
    </row>
    <row r="12" spans="1:10" x14ac:dyDescent="0.25">
      <c r="A12" t="s">
        <v>238</v>
      </c>
      <c r="B12" t="s">
        <v>5</v>
      </c>
      <c r="C12">
        <v>7636227501</v>
      </c>
      <c r="D12">
        <v>201604</v>
      </c>
      <c r="E12" s="1">
        <v>42458</v>
      </c>
      <c r="F12" s="1">
        <v>42487</v>
      </c>
      <c r="G12" t="s">
        <v>239</v>
      </c>
      <c r="H12" s="2">
        <v>46800</v>
      </c>
      <c r="I12" t="s">
        <v>6</v>
      </c>
      <c r="J12" s="4">
        <v>4620.38</v>
      </c>
    </row>
    <row r="13" spans="1:10" x14ac:dyDescent="0.25">
      <c r="A13" t="s">
        <v>238</v>
      </c>
      <c r="B13" t="s">
        <v>5</v>
      </c>
      <c r="C13">
        <v>7636227501</v>
      </c>
      <c r="D13">
        <v>201605</v>
      </c>
      <c r="E13" s="1">
        <v>42487</v>
      </c>
      <c r="F13" s="1">
        <v>42516</v>
      </c>
      <c r="G13" t="s">
        <v>239</v>
      </c>
      <c r="H13" s="2">
        <v>57600</v>
      </c>
      <c r="I13" t="s">
        <v>6</v>
      </c>
      <c r="J13" s="4">
        <v>5114.66</v>
      </c>
    </row>
    <row r="14" spans="1:10" x14ac:dyDescent="0.25">
      <c r="A14" t="s">
        <v>238</v>
      </c>
      <c r="B14" t="s">
        <v>5</v>
      </c>
      <c r="C14">
        <v>7636227501</v>
      </c>
      <c r="D14">
        <v>201606</v>
      </c>
      <c r="E14" s="1">
        <v>42516</v>
      </c>
      <c r="F14" s="1">
        <v>42548</v>
      </c>
      <c r="G14" t="s">
        <v>239</v>
      </c>
      <c r="H14" s="2">
        <v>103800</v>
      </c>
      <c r="I14" t="s">
        <v>6</v>
      </c>
      <c r="J14" s="4">
        <v>7476.41</v>
      </c>
    </row>
    <row r="15" spans="1:10" x14ac:dyDescent="0.25">
      <c r="A15" t="s">
        <v>247</v>
      </c>
      <c r="B15" t="s">
        <v>5</v>
      </c>
      <c r="C15">
        <v>5306062141</v>
      </c>
      <c r="D15">
        <v>201507</v>
      </c>
      <c r="E15" s="1">
        <v>42181</v>
      </c>
      <c r="F15" s="1">
        <v>42213</v>
      </c>
      <c r="G15" t="s">
        <v>633</v>
      </c>
      <c r="H15" s="2">
        <v>806400</v>
      </c>
      <c r="I15" t="s">
        <v>6</v>
      </c>
      <c r="J15" s="4">
        <v>48257.52</v>
      </c>
    </row>
    <row r="16" spans="1:10" x14ac:dyDescent="0.25">
      <c r="A16" t="s">
        <v>247</v>
      </c>
      <c r="B16" t="s">
        <v>5</v>
      </c>
      <c r="C16">
        <v>5306062141</v>
      </c>
      <c r="D16">
        <v>201508</v>
      </c>
      <c r="E16" s="1">
        <v>42213</v>
      </c>
      <c r="F16" s="1">
        <v>42242</v>
      </c>
      <c r="G16" t="s">
        <v>633</v>
      </c>
      <c r="H16" s="2">
        <v>747600</v>
      </c>
      <c r="I16" t="s">
        <v>6</v>
      </c>
      <c r="J16" s="4">
        <v>44797.1</v>
      </c>
    </row>
    <row r="17" spans="1:11" x14ac:dyDescent="0.25">
      <c r="A17" t="s">
        <v>247</v>
      </c>
      <c r="B17" t="s">
        <v>5</v>
      </c>
      <c r="C17">
        <v>5306062141</v>
      </c>
      <c r="D17">
        <v>201509</v>
      </c>
      <c r="E17" s="1">
        <v>42242</v>
      </c>
      <c r="F17" s="1">
        <v>42272</v>
      </c>
      <c r="G17" t="s">
        <v>633</v>
      </c>
      <c r="H17" s="2">
        <v>771750</v>
      </c>
      <c r="I17" t="s">
        <v>6</v>
      </c>
      <c r="J17" s="4">
        <v>46058.33</v>
      </c>
    </row>
    <row r="18" spans="1:11" x14ac:dyDescent="0.25">
      <c r="A18" t="s">
        <v>247</v>
      </c>
      <c r="B18" t="s">
        <v>5</v>
      </c>
      <c r="C18">
        <v>5306062141</v>
      </c>
      <c r="D18">
        <v>201510</v>
      </c>
      <c r="E18" s="1">
        <v>42272</v>
      </c>
      <c r="F18" s="1">
        <v>42303</v>
      </c>
      <c r="G18" t="s">
        <v>633</v>
      </c>
      <c r="H18" s="2">
        <v>728350</v>
      </c>
      <c r="I18" t="s">
        <v>6</v>
      </c>
      <c r="J18" s="4">
        <v>43497.39</v>
      </c>
    </row>
    <row r="19" spans="1:11" x14ac:dyDescent="0.25">
      <c r="A19" t="s">
        <v>247</v>
      </c>
      <c r="B19" t="s">
        <v>5</v>
      </c>
      <c r="C19">
        <v>5306062141</v>
      </c>
      <c r="D19">
        <v>201511</v>
      </c>
      <c r="E19" s="1">
        <v>42303</v>
      </c>
      <c r="F19" s="1">
        <v>42332</v>
      </c>
      <c r="G19" t="s">
        <v>633</v>
      </c>
      <c r="H19" s="2">
        <v>675850</v>
      </c>
      <c r="I19" t="s">
        <v>6</v>
      </c>
      <c r="J19" s="4">
        <v>40483.07</v>
      </c>
    </row>
    <row r="20" spans="1:11" x14ac:dyDescent="0.25">
      <c r="A20" t="s">
        <v>247</v>
      </c>
      <c r="B20" t="s">
        <v>5</v>
      </c>
      <c r="C20">
        <v>5306062141</v>
      </c>
      <c r="D20">
        <v>201512</v>
      </c>
      <c r="E20" s="1">
        <v>42332</v>
      </c>
      <c r="F20" s="1">
        <v>42366</v>
      </c>
      <c r="G20" t="s">
        <v>633</v>
      </c>
      <c r="H20" s="2">
        <v>680750</v>
      </c>
      <c r="I20" t="s">
        <v>6</v>
      </c>
      <c r="J20" s="4">
        <v>43116.67</v>
      </c>
    </row>
    <row r="21" spans="1:11" x14ac:dyDescent="0.25">
      <c r="A21" t="s">
        <v>247</v>
      </c>
      <c r="B21" t="s">
        <v>5</v>
      </c>
      <c r="C21">
        <v>5306062141</v>
      </c>
      <c r="D21">
        <v>201601</v>
      </c>
      <c r="E21" s="1">
        <v>42366</v>
      </c>
      <c r="F21" s="1">
        <v>42396</v>
      </c>
      <c r="G21" t="s">
        <v>633</v>
      </c>
      <c r="H21" s="2">
        <v>583450</v>
      </c>
      <c r="I21" t="s">
        <v>6</v>
      </c>
      <c r="J21" s="4">
        <v>37322.17</v>
      </c>
    </row>
    <row r="22" spans="1:11" x14ac:dyDescent="0.25">
      <c r="A22" t="s">
        <v>247</v>
      </c>
      <c r="B22" t="s">
        <v>5</v>
      </c>
      <c r="C22">
        <v>5306062141</v>
      </c>
      <c r="D22">
        <v>201602</v>
      </c>
      <c r="E22" s="1">
        <v>42396</v>
      </c>
      <c r="F22" s="1">
        <v>42425</v>
      </c>
      <c r="G22" t="s">
        <v>633</v>
      </c>
      <c r="H22" s="2">
        <v>617400</v>
      </c>
      <c r="I22" t="s">
        <v>6</v>
      </c>
      <c r="J22" s="4">
        <v>38587.64</v>
      </c>
    </row>
    <row r="23" spans="1:11" x14ac:dyDescent="0.25">
      <c r="A23" t="s">
        <v>247</v>
      </c>
      <c r="B23" t="s">
        <v>5</v>
      </c>
      <c r="C23">
        <v>5306062141</v>
      </c>
      <c r="D23">
        <v>201603</v>
      </c>
      <c r="E23" s="1">
        <v>42425</v>
      </c>
      <c r="F23" s="1">
        <v>42458</v>
      </c>
      <c r="G23" t="s">
        <v>633</v>
      </c>
      <c r="H23" s="2">
        <v>700000</v>
      </c>
      <c r="I23" t="s">
        <v>6</v>
      </c>
      <c r="J23" s="4">
        <v>43814.74</v>
      </c>
    </row>
    <row r="24" spans="1:11" x14ac:dyDescent="0.25">
      <c r="A24" t="s">
        <v>247</v>
      </c>
      <c r="B24" t="s">
        <v>5</v>
      </c>
      <c r="C24">
        <v>5306062141</v>
      </c>
      <c r="D24">
        <v>201604</v>
      </c>
      <c r="E24" s="1">
        <v>42458</v>
      </c>
      <c r="F24" s="1">
        <v>42487</v>
      </c>
      <c r="G24" t="s">
        <v>633</v>
      </c>
      <c r="H24" s="2">
        <v>656250</v>
      </c>
      <c r="I24" t="s">
        <v>6</v>
      </c>
      <c r="J24" s="4">
        <v>40286.76</v>
      </c>
    </row>
    <row r="25" spans="1:11" x14ac:dyDescent="0.25">
      <c r="A25" t="s">
        <v>247</v>
      </c>
      <c r="B25" t="s">
        <v>5</v>
      </c>
      <c r="C25">
        <v>5306062141</v>
      </c>
      <c r="D25">
        <v>201605</v>
      </c>
      <c r="E25" s="1">
        <v>42487</v>
      </c>
      <c r="F25" s="1">
        <v>42516</v>
      </c>
      <c r="G25" t="s">
        <v>633</v>
      </c>
      <c r="H25" s="2">
        <v>642600</v>
      </c>
      <c r="I25" t="s">
        <v>6</v>
      </c>
      <c r="J25" s="4">
        <v>40169.68</v>
      </c>
    </row>
    <row r="26" spans="1:11" x14ac:dyDescent="0.25">
      <c r="A26" t="s">
        <v>247</v>
      </c>
      <c r="B26" t="s">
        <v>5</v>
      </c>
      <c r="C26">
        <v>5306062141</v>
      </c>
      <c r="D26">
        <v>201606</v>
      </c>
      <c r="E26" s="1">
        <v>42516</v>
      </c>
      <c r="F26" s="1">
        <v>42548</v>
      </c>
      <c r="G26" t="s">
        <v>633</v>
      </c>
      <c r="H26" s="2">
        <v>820400</v>
      </c>
      <c r="I26" t="s">
        <v>6</v>
      </c>
      <c r="J26" s="4">
        <v>49182.1</v>
      </c>
    </row>
    <row r="27" spans="1:11" x14ac:dyDescent="0.25">
      <c r="H27" s="7">
        <f>SUM(H3:H26)</f>
        <v>9461600</v>
      </c>
      <c r="I27" t="s">
        <v>6</v>
      </c>
      <c r="J27" s="8">
        <f>SUM(J3:J26)</f>
        <v>592843.92000000004</v>
      </c>
    </row>
    <row r="28" spans="1:11" x14ac:dyDescent="0.25">
      <c r="H28" s="113">
        <v>-116117</v>
      </c>
      <c r="I28" t="s">
        <v>6</v>
      </c>
      <c r="J28" s="122">
        <v>-7098.59</v>
      </c>
      <c r="K28" s="12" t="s">
        <v>248</v>
      </c>
    </row>
    <row r="29" spans="1:11" ht="15.75" thickBot="1" x14ac:dyDescent="0.3">
      <c r="H29" s="94">
        <v>-595051</v>
      </c>
      <c r="I29" t="s">
        <v>6</v>
      </c>
      <c r="J29" s="123">
        <v>-36471.089999999997</v>
      </c>
      <c r="K29" s="12" t="s">
        <v>249</v>
      </c>
    </row>
    <row r="30" spans="1:11" ht="15.75" thickBot="1" x14ac:dyDescent="0.3">
      <c r="H30" s="27">
        <f>SUM(H27:H29)</f>
        <v>8750432</v>
      </c>
      <c r="I30" t="s">
        <v>6</v>
      </c>
      <c r="J30" s="28">
        <f>SUM(J27:J29)</f>
        <v>549274.24000000011</v>
      </c>
      <c r="K30" t="s">
        <v>250</v>
      </c>
    </row>
    <row r="31" spans="1:11" ht="15.75" thickBot="1" x14ac:dyDescent="0.3">
      <c r="H31" s="27">
        <f>8750432*3412/1000000</f>
        <v>29856.473984</v>
      </c>
      <c r="I31" t="s">
        <v>12</v>
      </c>
    </row>
    <row r="33" spans="1:15" x14ac:dyDescent="0.25">
      <c r="A33" t="s">
        <v>117</v>
      </c>
      <c r="B33" t="s">
        <v>5</v>
      </c>
      <c r="C33" t="s">
        <v>118</v>
      </c>
      <c r="D33">
        <v>201507</v>
      </c>
      <c r="E33" s="1">
        <v>42181</v>
      </c>
      <c r="F33" s="1">
        <v>42213</v>
      </c>
      <c r="G33" t="s">
        <v>119</v>
      </c>
      <c r="H33" s="2">
        <v>12819</v>
      </c>
      <c r="I33" t="s">
        <v>6</v>
      </c>
      <c r="J33" s="4">
        <v>767.13</v>
      </c>
      <c r="K33" t="s">
        <v>105</v>
      </c>
    </row>
    <row r="34" spans="1:15" x14ac:dyDescent="0.25">
      <c r="A34" t="s">
        <v>117</v>
      </c>
      <c r="B34" t="s">
        <v>5</v>
      </c>
      <c r="C34" t="s">
        <v>118</v>
      </c>
      <c r="D34">
        <v>201508</v>
      </c>
      <c r="E34" s="1">
        <v>42213</v>
      </c>
      <c r="F34" s="1">
        <v>42242</v>
      </c>
      <c r="G34" t="s">
        <v>119</v>
      </c>
      <c r="H34" s="2">
        <v>11652</v>
      </c>
      <c r="I34" t="s">
        <v>6</v>
      </c>
      <c r="J34" s="4">
        <v>698.2</v>
      </c>
      <c r="K34" t="s">
        <v>105</v>
      </c>
    </row>
    <row r="35" spans="1:15" x14ac:dyDescent="0.25">
      <c r="A35" t="s">
        <v>117</v>
      </c>
      <c r="B35" t="s">
        <v>5</v>
      </c>
      <c r="C35" t="s">
        <v>118</v>
      </c>
      <c r="D35">
        <v>201509</v>
      </c>
      <c r="E35" s="1">
        <v>42242</v>
      </c>
      <c r="F35" s="1">
        <v>42272</v>
      </c>
      <c r="G35" t="s">
        <v>119</v>
      </c>
      <c r="H35" s="2">
        <v>11111</v>
      </c>
      <c r="I35" t="s">
        <v>6</v>
      </c>
      <c r="J35" s="4">
        <v>663.11</v>
      </c>
      <c r="K35" t="s">
        <v>105</v>
      </c>
    </row>
    <row r="36" spans="1:15" x14ac:dyDescent="0.25">
      <c r="A36" t="s">
        <v>117</v>
      </c>
      <c r="B36" t="s">
        <v>5</v>
      </c>
      <c r="C36" t="s">
        <v>118</v>
      </c>
      <c r="D36">
        <v>201510</v>
      </c>
      <c r="E36" s="1">
        <v>42272</v>
      </c>
      <c r="F36" s="1">
        <v>42303</v>
      </c>
      <c r="G36" t="s">
        <v>119</v>
      </c>
      <c r="H36" s="2">
        <v>10731</v>
      </c>
      <c r="I36" t="s">
        <v>6</v>
      </c>
      <c r="J36" s="4">
        <v>640.86</v>
      </c>
      <c r="K36" t="s">
        <v>105</v>
      </c>
    </row>
    <row r="37" spans="1:15" x14ac:dyDescent="0.25">
      <c r="A37" t="s">
        <v>117</v>
      </c>
      <c r="B37" t="s">
        <v>5</v>
      </c>
      <c r="C37" t="s">
        <v>118</v>
      </c>
      <c r="D37">
        <v>201511</v>
      </c>
      <c r="E37" s="1">
        <v>42303</v>
      </c>
      <c r="F37" s="1">
        <v>42332</v>
      </c>
      <c r="G37" t="s">
        <v>119</v>
      </c>
      <c r="H37" s="2">
        <v>10240</v>
      </c>
      <c r="I37" t="s">
        <v>6</v>
      </c>
      <c r="J37" s="4">
        <v>613.37</v>
      </c>
      <c r="K37" t="s">
        <v>105</v>
      </c>
    </row>
    <row r="38" spans="1:15" x14ac:dyDescent="0.25">
      <c r="A38" t="s">
        <v>117</v>
      </c>
      <c r="B38" t="s">
        <v>5</v>
      </c>
      <c r="C38" t="s">
        <v>118</v>
      </c>
      <c r="D38">
        <v>201512</v>
      </c>
      <c r="E38" s="1">
        <v>42332</v>
      </c>
      <c r="F38" s="1">
        <v>42366</v>
      </c>
      <c r="G38" t="s">
        <v>119</v>
      </c>
      <c r="H38" s="2">
        <v>11280</v>
      </c>
      <c r="I38" t="s">
        <v>6</v>
      </c>
      <c r="J38" s="4">
        <v>714.44</v>
      </c>
      <c r="K38" t="s">
        <v>105</v>
      </c>
    </row>
    <row r="39" spans="1:15" x14ac:dyDescent="0.25">
      <c r="A39" t="s">
        <v>117</v>
      </c>
      <c r="B39" t="s">
        <v>5</v>
      </c>
      <c r="C39" t="s">
        <v>118</v>
      </c>
      <c r="D39">
        <v>201601</v>
      </c>
      <c r="E39" s="1">
        <v>42366</v>
      </c>
      <c r="F39" s="1">
        <v>42396</v>
      </c>
      <c r="G39" t="s">
        <v>119</v>
      </c>
      <c r="H39" s="2">
        <v>9700</v>
      </c>
      <c r="I39" t="s">
        <v>6</v>
      </c>
      <c r="J39" s="4">
        <v>620.49</v>
      </c>
      <c r="K39" t="s">
        <v>105</v>
      </c>
    </row>
    <row r="40" spans="1:15" x14ac:dyDescent="0.25">
      <c r="A40" t="s">
        <v>117</v>
      </c>
      <c r="B40" t="s">
        <v>5</v>
      </c>
      <c r="C40" t="s">
        <v>118</v>
      </c>
      <c r="D40">
        <v>201602</v>
      </c>
      <c r="E40" s="1">
        <v>42396</v>
      </c>
      <c r="F40" s="1">
        <v>42425</v>
      </c>
      <c r="G40" t="s">
        <v>119</v>
      </c>
      <c r="H40" s="2">
        <v>7441</v>
      </c>
      <c r="I40" t="s">
        <v>6</v>
      </c>
      <c r="J40" s="4">
        <v>465.06</v>
      </c>
      <c r="K40" t="s">
        <v>105</v>
      </c>
    </row>
    <row r="41" spans="1:15" x14ac:dyDescent="0.25">
      <c r="A41" t="s">
        <v>117</v>
      </c>
      <c r="B41" t="s">
        <v>5</v>
      </c>
      <c r="C41" t="s">
        <v>118</v>
      </c>
      <c r="D41">
        <v>201603</v>
      </c>
      <c r="E41" s="1">
        <v>42425</v>
      </c>
      <c r="F41" s="1">
        <v>42458</v>
      </c>
      <c r="G41" t="s">
        <v>119</v>
      </c>
      <c r="H41" s="2">
        <v>7767</v>
      </c>
      <c r="I41" t="s">
        <v>6</v>
      </c>
      <c r="J41" s="4">
        <v>486.16</v>
      </c>
      <c r="K41" t="s">
        <v>105</v>
      </c>
    </row>
    <row r="42" spans="1:15" x14ac:dyDescent="0.25">
      <c r="A42" t="s">
        <v>117</v>
      </c>
      <c r="B42" t="s">
        <v>5</v>
      </c>
      <c r="C42" t="s">
        <v>118</v>
      </c>
      <c r="D42">
        <v>201604</v>
      </c>
      <c r="E42" s="1">
        <v>42458</v>
      </c>
      <c r="F42" s="1">
        <v>42487</v>
      </c>
      <c r="G42" t="s">
        <v>119</v>
      </c>
      <c r="H42" s="2">
        <v>7084</v>
      </c>
      <c r="I42" t="s">
        <v>6</v>
      </c>
      <c r="J42" s="4">
        <v>434.88</v>
      </c>
      <c r="K42" t="s">
        <v>105</v>
      </c>
    </row>
    <row r="43" spans="1:15" x14ac:dyDescent="0.25">
      <c r="A43" t="s">
        <v>117</v>
      </c>
      <c r="B43" t="s">
        <v>5</v>
      </c>
      <c r="C43" t="s">
        <v>118</v>
      </c>
      <c r="D43">
        <v>201605</v>
      </c>
      <c r="E43" s="1">
        <v>42487</v>
      </c>
      <c r="F43" s="1">
        <v>42516</v>
      </c>
      <c r="G43" t="s">
        <v>119</v>
      </c>
      <c r="H43" s="2">
        <v>7106</v>
      </c>
      <c r="I43" t="s">
        <v>6</v>
      </c>
      <c r="J43" s="4">
        <v>444.2</v>
      </c>
      <c r="K43" t="s">
        <v>105</v>
      </c>
      <c r="O43" t="s">
        <v>3</v>
      </c>
    </row>
    <row r="44" spans="1:15" ht="15.75" thickBot="1" x14ac:dyDescent="0.3">
      <c r="A44" t="s">
        <v>117</v>
      </c>
      <c r="B44" t="s">
        <v>5</v>
      </c>
      <c r="C44" t="s">
        <v>118</v>
      </c>
      <c r="D44">
        <v>201606</v>
      </c>
      <c r="E44" s="1">
        <v>42516</v>
      </c>
      <c r="F44" s="1">
        <v>42548</v>
      </c>
      <c r="G44" t="s">
        <v>119</v>
      </c>
      <c r="H44" s="2">
        <v>9186</v>
      </c>
      <c r="I44" t="s">
        <v>6</v>
      </c>
      <c r="J44" s="4">
        <v>550.69000000000005</v>
      </c>
      <c r="K44" t="s">
        <v>105</v>
      </c>
    </row>
    <row r="45" spans="1:15" ht="15.75" thickBot="1" x14ac:dyDescent="0.3">
      <c r="H45" s="80">
        <f>SUM(H33:H44)</f>
        <v>116117</v>
      </c>
      <c r="J45" s="79">
        <f>SUM(J33:J44)</f>
        <v>7098.59</v>
      </c>
      <c r="K45" s="12" t="s">
        <v>120</v>
      </c>
    </row>
    <row r="48" spans="1:15" x14ac:dyDescent="0.25">
      <c r="A48" t="s">
        <v>238</v>
      </c>
      <c r="B48" t="s">
        <v>49</v>
      </c>
      <c r="C48">
        <v>3046823104</v>
      </c>
      <c r="D48">
        <v>201507</v>
      </c>
      <c r="E48" s="1">
        <v>42186</v>
      </c>
      <c r="F48" s="1">
        <v>42216</v>
      </c>
      <c r="G48" t="s">
        <v>240</v>
      </c>
      <c r="H48" s="2">
        <v>0</v>
      </c>
      <c r="I48" t="s">
        <v>51</v>
      </c>
      <c r="J48" s="3">
        <v>100</v>
      </c>
    </row>
    <row r="49" spans="1:10" x14ac:dyDescent="0.25">
      <c r="A49" t="s">
        <v>238</v>
      </c>
      <c r="B49" t="s">
        <v>49</v>
      </c>
      <c r="C49">
        <v>3046823104</v>
      </c>
      <c r="D49">
        <v>201508</v>
      </c>
      <c r="E49" s="1">
        <v>42217</v>
      </c>
      <c r="F49" s="1">
        <v>42247</v>
      </c>
      <c r="G49" t="s">
        <v>240</v>
      </c>
      <c r="H49" s="2">
        <v>0</v>
      </c>
      <c r="I49" t="s">
        <v>51</v>
      </c>
      <c r="J49" s="3">
        <v>100</v>
      </c>
    </row>
    <row r="50" spans="1:10" x14ac:dyDescent="0.25">
      <c r="A50" t="s">
        <v>238</v>
      </c>
      <c r="B50" t="s">
        <v>49</v>
      </c>
      <c r="C50">
        <v>3046823104</v>
      </c>
      <c r="D50">
        <v>201509</v>
      </c>
      <c r="E50" s="1">
        <v>42248</v>
      </c>
      <c r="F50" s="1">
        <v>42277</v>
      </c>
      <c r="G50" t="s">
        <v>240</v>
      </c>
      <c r="H50" s="2">
        <v>0</v>
      </c>
      <c r="I50" t="s">
        <v>51</v>
      </c>
      <c r="J50" s="3">
        <v>100</v>
      </c>
    </row>
    <row r="51" spans="1:10" x14ac:dyDescent="0.25">
      <c r="A51" t="s">
        <v>238</v>
      </c>
      <c r="B51" t="s">
        <v>49</v>
      </c>
      <c r="C51">
        <v>3046823104</v>
      </c>
      <c r="D51">
        <v>201510</v>
      </c>
      <c r="E51" s="1">
        <v>42278</v>
      </c>
      <c r="F51" s="1">
        <v>42308</v>
      </c>
      <c r="G51" t="s">
        <v>240</v>
      </c>
      <c r="H51" s="2">
        <v>65</v>
      </c>
      <c r="I51" t="s">
        <v>51</v>
      </c>
      <c r="J51" s="3">
        <v>410.55</v>
      </c>
    </row>
    <row r="52" spans="1:10" x14ac:dyDescent="0.25">
      <c r="A52" t="s">
        <v>238</v>
      </c>
      <c r="B52" t="s">
        <v>49</v>
      </c>
      <c r="C52">
        <v>3046823104</v>
      </c>
      <c r="D52">
        <v>201511</v>
      </c>
      <c r="E52" s="1">
        <v>42309</v>
      </c>
      <c r="F52" s="1">
        <v>42338</v>
      </c>
      <c r="G52" t="s">
        <v>240</v>
      </c>
      <c r="H52" s="2">
        <v>329</v>
      </c>
      <c r="I52" t="s">
        <v>51</v>
      </c>
      <c r="J52" s="3">
        <v>1674</v>
      </c>
    </row>
    <row r="53" spans="1:10" x14ac:dyDescent="0.25">
      <c r="A53" t="s">
        <v>238</v>
      </c>
      <c r="B53" t="s">
        <v>49</v>
      </c>
      <c r="C53">
        <v>3046823104</v>
      </c>
      <c r="D53">
        <v>201512</v>
      </c>
      <c r="E53" s="1">
        <v>42339</v>
      </c>
      <c r="F53" s="1">
        <v>42369</v>
      </c>
      <c r="G53" t="s">
        <v>240</v>
      </c>
      <c r="H53" s="2">
        <v>484</v>
      </c>
      <c r="I53" t="s">
        <v>51</v>
      </c>
      <c r="J53" s="3">
        <v>2421.85</v>
      </c>
    </row>
    <row r="54" spans="1:10" x14ac:dyDescent="0.25">
      <c r="A54" t="s">
        <v>238</v>
      </c>
      <c r="B54" t="s">
        <v>49</v>
      </c>
      <c r="C54">
        <v>3046823104</v>
      </c>
      <c r="D54">
        <v>201601</v>
      </c>
      <c r="E54" s="1">
        <v>42370</v>
      </c>
      <c r="F54" s="1">
        <v>42400</v>
      </c>
      <c r="G54" t="s">
        <v>240</v>
      </c>
      <c r="H54" s="2">
        <v>1600</v>
      </c>
      <c r="I54" t="s">
        <v>51</v>
      </c>
      <c r="J54" s="3">
        <v>7773.88</v>
      </c>
    </row>
    <row r="55" spans="1:10" x14ac:dyDescent="0.25">
      <c r="A55" t="s">
        <v>238</v>
      </c>
      <c r="B55" t="s">
        <v>49</v>
      </c>
      <c r="C55">
        <v>3046823104</v>
      </c>
      <c r="D55">
        <v>201602</v>
      </c>
      <c r="E55" s="1">
        <v>42401</v>
      </c>
      <c r="F55" s="1">
        <v>42429</v>
      </c>
      <c r="G55" t="s">
        <v>240</v>
      </c>
      <c r="H55" s="2">
        <v>911</v>
      </c>
      <c r="I55" t="s">
        <v>51</v>
      </c>
      <c r="J55" s="3">
        <v>4467.8999999999996</v>
      </c>
    </row>
    <row r="56" spans="1:10" x14ac:dyDescent="0.25">
      <c r="A56" t="s">
        <v>238</v>
      </c>
      <c r="B56" t="s">
        <v>49</v>
      </c>
      <c r="C56">
        <v>3046823104</v>
      </c>
      <c r="D56">
        <v>201603</v>
      </c>
      <c r="E56" s="1">
        <v>42430</v>
      </c>
      <c r="F56" s="1">
        <v>42460</v>
      </c>
      <c r="G56" t="s">
        <v>240</v>
      </c>
      <c r="H56" s="2">
        <v>395</v>
      </c>
      <c r="I56" t="s">
        <v>51</v>
      </c>
      <c r="J56" s="3">
        <v>1994.92</v>
      </c>
    </row>
    <row r="57" spans="1:10" x14ac:dyDescent="0.25">
      <c r="A57" t="s">
        <v>238</v>
      </c>
      <c r="B57" t="s">
        <v>49</v>
      </c>
      <c r="C57">
        <v>3046823104</v>
      </c>
      <c r="D57">
        <v>201604</v>
      </c>
      <c r="E57" s="1">
        <v>42461</v>
      </c>
      <c r="F57" s="1">
        <v>42490</v>
      </c>
      <c r="G57" t="s">
        <v>240</v>
      </c>
      <c r="H57" s="2">
        <v>197</v>
      </c>
      <c r="I57" t="s">
        <v>51</v>
      </c>
      <c r="J57" s="3">
        <v>1044.29</v>
      </c>
    </row>
    <row r="58" spans="1:10" x14ac:dyDescent="0.25">
      <c r="A58" t="s">
        <v>238</v>
      </c>
      <c r="B58" t="s">
        <v>49</v>
      </c>
      <c r="C58">
        <v>3046823104</v>
      </c>
      <c r="D58">
        <v>201605</v>
      </c>
      <c r="E58" s="1">
        <v>42491</v>
      </c>
      <c r="F58" s="1">
        <v>42521</v>
      </c>
      <c r="G58" t="s">
        <v>240</v>
      </c>
      <c r="H58" s="2">
        <v>0</v>
      </c>
      <c r="I58" t="s">
        <v>51</v>
      </c>
      <c r="J58" s="3">
        <v>100</v>
      </c>
    </row>
    <row r="59" spans="1:10" x14ac:dyDescent="0.25">
      <c r="A59" t="s">
        <v>238</v>
      </c>
      <c r="B59" t="s">
        <v>49</v>
      </c>
      <c r="C59">
        <v>3046823104</v>
      </c>
      <c r="D59">
        <v>201606</v>
      </c>
      <c r="E59" s="1">
        <v>42522</v>
      </c>
      <c r="F59" s="1">
        <v>42551</v>
      </c>
      <c r="G59" t="s">
        <v>240</v>
      </c>
      <c r="H59" s="2">
        <v>0</v>
      </c>
      <c r="I59" t="s">
        <v>51</v>
      </c>
      <c r="J59" s="3">
        <v>100</v>
      </c>
    </row>
    <row r="60" spans="1:10" x14ac:dyDescent="0.25">
      <c r="A60" t="s">
        <v>241</v>
      </c>
      <c r="B60" t="s">
        <v>49</v>
      </c>
      <c r="C60">
        <v>3554001804</v>
      </c>
      <c r="D60">
        <v>201507</v>
      </c>
      <c r="E60" s="1">
        <v>42186</v>
      </c>
      <c r="F60" s="1">
        <v>42216</v>
      </c>
      <c r="G60" t="s">
        <v>242</v>
      </c>
      <c r="H60" s="2">
        <v>272</v>
      </c>
      <c r="I60" t="s">
        <v>51</v>
      </c>
      <c r="J60" s="3">
        <v>1381.81</v>
      </c>
    </row>
    <row r="61" spans="1:10" x14ac:dyDescent="0.25">
      <c r="A61" t="s">
        <v>241</v>
      </c>
      <c r="B61" t="s">
        <v>49</v>
      </c>
      <c r="C61">
        <v>3554001804</v>
      </c>
      <c r="D61">
        <v>201508</v>
      </c>
      <c r="E61" s="1">
        <v>42217</v>
      </c>
      <c r="F61" s="1">
        <v>42247</v>
      </c>
      <c r="G61" t="s">
        <v>242</v>
      </c>
      <c r="H61" s="2">
        <v>300</v>
      </c>
      <c r="I61" t="s">
        <v>51</v>
      </c>
      <c r="J61" s="3">
        <v>1760</v>
      </c>
    </row>
    <row r="62" spans="1:10" x14ac:dyDescent="0.25">
      <c r="A62" t="s">
        <v>241</v>
      </c>
      <c r="B62" t="s">
        <v>49</v>
      </c>
      <c r="C62">
        <v>3554001804</v>
      </c>
      <c r="D62">
        <v>201509</v>
      </c>
      <c r="E62" s="1">
        <v>42248</v>
      </c>
      <c r="F62" s="1">
        <v>42277</v>
      </c>
      <c r="G62" t="s">
        <v>242</v>
      </c>
      <c r="H62" s="2">
        <v>310</v>
      </c>
      <c r="I62" t="s">
        <v>51</v>
      </c>
      <c r="J62" s="3">
        <v>1805.32</v>
      </c>
    </row>
    <row r="63" spans="1:10" x14ac:dyDescent="0.25">
      <c r="A63" t="s">
        <v>241</v>
      </c>
      <c r="B63" t="s">
        <v>49</v>
      </c>
      <c r="C63">
        <v>3554001804</v>
      </c>
      <c r="D63">
        <v>201510</v>
      </c>
      <c r="E63" s="1">
        <v>42278</v>
      </c>
      <c r="F63" s="1">
        <v>42308</v>
      </c>
      <c r="G63" t="s">
        <v>242</v>
      </c>
      <c r="H63" s="2">
        <v>485</v>
      </c>
      <c r="I63" t="s">
        <v>51</v>
      </c>
      <c r="J63" s="3">
        <v>2919.81</v>
      </c>
    </row>
    <row r="64" spans="1:10" x14ac:dyDescent="0.25">
      <c r="A64" t="s">
        <v>241</v>
      </c>
      <c r="B64" t="s">
        <v>49</v>
      </c>
      <c r="C64">
        <v>3554001804</v>
      </c>
      <c r="D64">
        <v>201511</v>
      </c>
      <c r="E64" s="1">
        <v>42309</v>
      </c>
      <c r="F64" s="1">
        <v>42338</v>
      </c>
      <c r="G64" t="s">
        <v>242</v>
      </c>
      <c r="H64" s="2">
        <v>591</v>
      </c>
      <c r="I64" t="s">
        <v>51</v>
      </c>
      <c r="J64" s="3">
        <v>3496.66</v>
      </c>
    </row>
    <row r="65" spans="1:10" x14ac:dyDescent="0.25">
      <c r="A65" t="s">
        <v>241</v>
      </c>
      <c r="B65" t="s">
        <v>49</v>
      </c>
      <c r="C65">
        <v>3554001804</v>
      </c>
      <c r="D65">
        <v>201512</v>
      </c>
      <c r="E65" s="1">
        <v>42339</v>
      </c>
      <c r="F65" s="1">
        <v>42369</v>
      </c>
      <c r="G65" t="s">
        <v>242</v>
      </c>
      <c r="H65" s="2">
        <v>784</v>
      </c>
      <c r="I65" t="s">
        <v>51</v>
      </c>
      <c r="J65" s="3">
        <v>4593.54</v>
      </c>
    </row>
    <row r="66" spans="1:10" x14ac:dyDescent="0.25">
      <c r="A66" t="s">
        <v>241</v>
      </c>
      <c r="B66" t="s">
        <v>49</v>
      </c>
      <c r="C66">
        <v>3554001804</v>
      </c>
      <c r="D66">
        <v>201601</v>
      </c>
      <c r="E66" s="1">
        <v>42370</v>
      </c>
      <c r="F66" s="1">
        <v>42400</v>
      </c>
      <c r="G66" t="s">
        <v>242</v>
      </c>
      <c r="H66" s="2">
        <v>1018</v>
      </c>
      <c r="I66" t="s">
        <v>51</v>
      </c>
      <c r="J66" s="3">
        <v>5887.93</v>
      </c>
    </row>
    <row r="67" spans="1:10" x14ac:dyDescent="0.25">
      <c r="A67" t="s">
        <v>241</v>
      </c>
      <c r="B67" t="s">
        <v>49</v>
      </c>
      <c r="C67">
        <v>3554001804</v>
      </c>
      <c r="D67">
        <v>201602</v>
      </c>
      <c r="E67" s="1">
        <v>42401</v>
      </c>
      <c r="F67" s="1">
        <v>42429</v>
      </c>
      <c r="G67" t="s">
        <v>242</v>
      </c>
      <c r="H67" s="2">
        <v>942</v>
      </c>
      <c r="I67" t="s">
        <v>51</v>
      </c>
      <c r="J67" s="3">
        <v>5637.77</v>
      </c>
    </row>
    <row r="68" spans="1:10" x14ac:dyDescent="0.25">
      <c r="A68" t="s">
        <v>241</v>
      </c>
      <c r="B68" t="s">
        <v>49</v>
      </c>
      <c r="C68">
        <v>3554001804</v>
      </c>
      <c r="D68">
        <v>201603</v>
      </c>
      <c r="E68" s="1">
        <v>42430</v>
      </c>
      <c r="F68" s="1">
        <v>42460</v>
      </c>
      <c r="G68" t="s">
        <v>242</v>
      </c>
      <c r="H68" s="2">
        <v>443</v>
      </c>
      <c r="I68" t="s">
        <v>51</v>
      </c>
      <c r="J68" s="3">
        <v>2572.6799999999998</v>
      </c>
    </row>
    <row r="69" spans="1:10" x14ac:dyDescent="0.25">
      <c r="A69" t="s">
        <v>241</v>
      </c>
      <c r="B69" t="s">
        <v>49</v>
      </c>
      <c r="C69">
        <v>3554001804</v>
      </c>
      <c r="D69">
        <v>201604</v>
      </c>
      <c r="E69" s="1">
        <v>42461</v>
      </c>
      <c r="F69" s="1">
        <v>42490</v>
      </c>
      <c r="G69" t="s">
        <v>242</v>
      </c>
      <c r="H69" s="2">
        <v>525</v>
      </c>
      <c r="I69" t="s">
        <v>51</v>
      </c>
      <c r="J69" s="3">
        <v>3005.79</v>
      </c>
    </row>
    <row r="70" spans="1:10" x14ac:dyDescent="0.25">
      <c r="A70" t="s">
        <v>241</v>
      </c>
      <c r="B70" t="s">
        <v>49</v>
      </c>
      <c r="C70">
        <v>3554001804</v>
      </c>
      <c r="D70">
        <v>201605</v>
      </c>
      <c r="E70" s="1">
        <v>42491</v>
      </c>
      <c r="F70" s="1">
        <v>42521</v>
      </c>
      <c r="G70" t="s">
        <v>242</v>
      </c>
      <c r="H70" s="2">
        <v>438</v>
      </c>
      <c r="I70" t="s">
        <v>51</v>
      </c>
      <c r="J70" s="3">
        <v>2650.5</v>
      </c>
    </row>
    <row r="71" spans="1:10" ht="15.75" thickBot="1" x14ac:dyDescent="0.3">
      <c r="A71" t="s">
        <v>241</v>
      </c>
      <c r="B71" t="s">
        <v>49</v>
      </c>
      <c r="C71">
        <v>3554001804</v>
      </c>
      <c r="D71">
        <v>201606</v>
      </c>
      <c r="E71" s="1">
        <v>42522</v>
      </c>
      <c r="F71" s="1">
        <v>42551</v>
      </c>
      <c r="G71" t="s">
        <v>242</v>
      </c>
      <c r="H71" s="2">
        <v>371</v>
      </c>
      <c r="I71" t="s">
        <v>51</v>
      </c>
      <c r="J71" s="3">
        <v>2118.3200000000002</v>
      </c>
    </row>
    <row r="72" spans="1:10" ht="15.75" thickBot="1" x14ac:dyDescent="0.3">
      <c r="H72" s="27">
        <f>SUM(H48:H71)</f>
        <v>10460</v>
      </c>
      <c r="I72" t="s">
        <v>51</v>
      </c>
      <c r="J72" s="28">
        <f>SUM(J48:J71)</f>
        <v>58117.52</v>
      </c>
    </row>
    <row r="75" spans="1:10" x14ac:dyDescent="0.25">
      <c r="A75" t="s">
        <v>238</v>
      </c>
      <c r="B75" t="s">
        <v>59</v>
      </c>
      <c r="C75" s="83" t="s">
        <v>243</v>
      </c>
      <c r="D75">
        <v>201507</v>
      </c>
      <c r="E75" s="1">
        <v>42181</v>
      </c>
      <c r="F75" s="1">
        <v>42214</v>
      </c>
      <c r="G75" t="s">
        <v>244</v>
      </c>
      <c r="H75" s="2">
        <v>10</v>
      </c>
      <c r="I75" t="s">
        <v>47</v>
      </c>
      <c r="J75" s="3">
        <v>132.69999999999999</v>
      </c>
    </row>
    <row r="76" spans="1:10" x14ac:dyDescent="0.25">
      <c r="A76" t="s">
        <v>238</v>
      </c>
      <c r="B76" t="s">
        <v>59</v>
      </c>
      <c r="C76" s="83" t="s">
        <v>243</v>
      </c>
      <c r="D76">
        <v>201508</v>
      </c>
      <c r="E76" s="1">
        <v>42214</v>
      </c>
      <c r="F76" s="1">
        <v>42237</v>
      </c>
      <c r="G76" t="s">
        <v>244</v>
      </c>
      <c r="H76" s="2">
        <v>15</v>
      </c>
      <c r="I76" t="s">
        <v>47</v>
      </c>
      <c r="J76" s="3">
        <v>199.05</v>
      </c>
    </row>
    <row r="77" spans="1:10" x14ac:dyDescent="0.25">
      <c r="A77" t="s">
        <v>238</v>
      </c>
      <c r="B77" t="s">
        <v>59</v>
      </c>
      <c r="C77" s="83" t="s">
        <v>243</v>
      </c>
      <c r="D77">
        <v>201509</v>
      </c>
      <c r="E77" s="1">
        <v>42237</v>
      </c>
      <c r="F77" s="1">
        <v>42279</v>
      </c>
      <c r="G77" t="s">
        <v>244</v>
      </c>
      <c r="H77" s="2">
        <v>16</v>
      </c>
      <c r="I77" t="s">
        <v>47</v>
      </c>
      <c r="J77" s="3">
        <v>212.32</v>
      </c>
    </row>
    <row r="78" spans="1:10" x14ac:dyDescent="0.25">
      <c r="A78" t="s">
        <v>238</v>
      </c>
      <c r="B78" t="s">
        <v>59</v>
      </c>
      <c r="C78" s="83" t="s">
        <v>243</v>
      </c>
      <c r="D78">
        <v>201510</v>
      </c>
      <c r="E78" s="1">
        <v>42279</v>
      </c>
      <c r="F78" s="1">
        <v>42303</v>
      </c>
      <c r="G78" t="s">
        <v>244</v>
      </c>
      <c r="H78" s="2">
        <v>14</v>
      </c>
      <c r="I78" t="s">
        <v>47</v>
      </c>
      <c r="J78" s="3">
        <v>185.78</v>
      </c>
    </row>
    <row r="79" spans="1:10" x14ac:dyDescent="0.25">
      <c r="A79" t="s">
        <v>238</v>
      </c>
      <c r="B79" t="s">
        <v>59</v>
      </c>
      <c r="C79" s="83" t="s">
        <v>243</v>
      </c>
      <c r="D79">
        <v>201511</v>
      </c>
      <c r="E79" s="1">
        <v>42303</v>
      </c>
      <c r="F79" s="1">
        <v>42338</v>
      </c>
      <c r="G79" t="s">
        <v>244</v>
      </c>
      <c r="H79" s="2">
        <v>11</v>
      </c>
      <c r="I79" t="s">
        <v>47</v>
      </c>
      <c r="J79" s="3">
        <v>145.97</v>
      </c>
    </row>
    <row r="80" spans="1:10" x14ac:dyDescent="0.25">
      <c r="A80" t="s">
        <v>238</v>
      </c>
      <c r="B80" t="s">
        <v>59</v>
      </c>
      <c r="C80" s="83" t="s">
        <v>243</v>
      </c>
      <c r="D80">
        <v>201512</v>
      </c>
      <c r="E80" s="1">
        <v>42338</v>
      </c>
      <c r="F80" s="1">
        <v>42368</v>
      </c>
      <c r="G80" t="s">
        <v>244</v>
      </c>
      <c r="H80" s="2">
        <v>12</v>
      </c>
      <c r="I80" t="s">
        <v>47</v>
      </c>
      <c r="J80" s="3">
        <v>159.24</v>
      </c>
    </row>
    <row r="81" spans="1:10" x14ac:dyDescent="0.25">
      <c r="A81" t="s">
        <v>238</v>
      </c>
      <c r="B81" t="s">
        <v>59</v>
      </c>
      <c r="C81" s="83" t="s">
        <v>243</v>
      </c>
      <c r="D81">
        <v>201601</v>
      </c>
      <c r="E81" s="1">
        <v>42368</v>
      </c>
      <c r="F81" s="1">
        <v>42396</v>
      </c>
      <c r="G81" t="s">
        <v>244</v>
      </c>
      <c r="H81" s="2">
        <v>1</v>
      </c>
      <c r="I81" t="s">
        <v>47</v>
      </c>
      <c r="J81" s="3">
        <v>13.27</v>
      </c>
    </row>
    <row r="82" spans="1:10" x14ac:dyDescent="0.25">
      <c r="A82" t="s">
        <v>238</v>
      </c>
      <c r="B82" t="s">
        <v>59</v>
      </c>
      <c r="C82" s="83" t="s">
        <v>243</v>
      </c>
      <c r="D82">
        <v>201602</v>
      </c>
      <c r="E82" s="1">
        <v>42396</v>
      </c>
      <c r="F82" s="1">
        <v>42432</v>
      </c>
      <c r="G82" t="s">
        <v>244</v>
      </c>
      <c r="H82" s="2">
        <v>2</v>
      </c>
      <c r="I82" t="s">
        <v>47</v>
      </c>
      <c r="J82" s="3">
        <v>26.54</v>
      </c>
    </row>
    <row r="83" spans="1:10" x14ac:dyDescent="0.25">
      <c r="A83" t="s">
        <v>238</v>
      </c>
      <c r="B83" t="s">
        <v>59</v>
      </c>
      <c r="C83" s="83" t="s">
        <v>243</v>
      </c>
      <c r="D83">
        <v>201603</v>
      </c>
      <c r="E83" s="1">
        <v>42432</v>
      </c>
      <c r="F83" s="1">
        <v>42451</v>
      </c>
      <c r="G83" t="s">
        <v>244</v>
      </c>
      <c r="H83" s="2">
        <v>18</v>
      </c>
      <c r="I83" t="s">
        <v>47</v>
      </c>
      <c r="J83" s="3">
        <v>238.86</v>
      </c>
    </row>
    <row r="84" spans="1:10" x14ac:dyDescent="0.25">
      <c r="A84" t="s">
        <v>238</v>
      </c>
      <c r="B84" t="s">
        <v>59</v>
      </c>
      <c r="C84" s="83" t="s">
        <v>243</v>
      </c>
      <c r="D84">
        <v>201604</v>
      </c>
      <c r="E84" s="1">
        <v>42451</v>
      </c>
      <c r="F84" s="1">
        <v>42481</v>
      </c>
      <c r="G84" t="s">
        <v>244</v>
      </c>
      <c r="H84" s="2">
        <v>16</v>
      </c>
      <c r="I84" t="s">
        <v>47</v>
      </c>
      <c r="J84" s="3">
        <v>212.32</v>
      </c>
    </row>
    <row r="85" spans="1:10" x14ac:dyDescent="0.25">
      <c r="A85" t="s">
        <v>238</v>
      </c>
      <c r="B85" t="s">
        <v>59</v>
      </c>
      <c r="C85" s="83" t="s">
        <v>243</v>
      </c>
      <c r="D85">
        <v>201605</v>
      </c>
      <c r="E85" s="1">
        <v>42481</v>
      </c>
      <c r="F85" s="1">
        <v>42514</v>
      </c>
      <c r="G85" t="s">
        <v>244</v>
      </c>
      <c r="H85" s="2">
        <v>19</v>
      </c>
      <c r="I85" t="s">
        <v>47</v>
      </c>
      <c r="J85" s="3">
        <v>252.13</v>
      </c>
    </row>
    <row r="86" spans="1:10" x14ac:dyDescent="0.25">
      <c r="A86" t="s">
        <v>238</v>
      </c>
      <c r="B86" t="s">
        <v>59</v>
      </c>
      <c r="C86" s="83" t="s">
        <v>243</v>
      </c>
      <c r="D86">
        <v>201606</v>
      </c>
      <c r="E86" s="1">
        <v>42514</v>
      </c>
      <c r="F86" s="1">
        <v>42538</v>
      </c>
      <c r="G86" t="s">
        <v>244</v>
      </c>
      <c r="H86" s="81">
        <v>-44</v>
      </c>
      <c r="I86" t="s">
        <v>47</v>
      </c>
      <c r="J86" s="3">
        <v>-583.88</v>
      </c>
    </row>
    <row r="87" spans="1:10" x14ac:dyDescent="0.25">
      <c r="A87" t="s">
        <v>241</v>
      </c>
      <c r="B87" t="s">
        <v>59</v>
      </c>
      <c r="C87" s="84">
        <v>2074011074546</v>
      </c>
      <c r="D87">
        <v>201507</v>
      </c>
      <c r="E87" s="1">
        <v>42181</v>
      </c>
      <c r="F87" s="1">
        <v>42214</v>
      </c>
      <c r="G87" t="s">
        <v>245</v>
      </c>
      <c r="H87" s="2">
        <v>298</v>
      </c>
      <c r="I87" t="s">
        <v>47</v>
      </c>
      <c r="J87" s="3">
        <v>3954.46</v>
      </c>
    </row>
    <row r="88" spans="1:10" x14ac:dyDescent="0.25">
      <c r="A88" t="s">
        <v>241</v>
      </c>
      <c r="B88" t="s">
        <v>59</v>
      </c>
      <c r="C88" s="78">
        <v>2074011074546</v>
      </c>
      <c r="D88">
        <v>201508</v>
      </c>
      <c r="E88" s="1">
        <v>42214</v>
      </c>
      <c r="F88" s="1">
        <v>42237</v>
      </c>
      <c r="G88" t="s">
        <v>245</v>
      </c>
      <c r="H88" s="2">
        <v>222</v>
      </c>
      <c r="I88" t="s">
        <v>47</v>
      </c>
      <c r="J88" s="3">
        <v>2945.94</v>
      </c>
    </row>
    <row r="89" spans="1:10" x14ac:dyDescent="0.25">
      <c r="A89" t="s">
        <v>241</v>
      </c>
      <c r="B89" t="s">
        <v>59</v>
      </c>
      <c r="C89" s="78">
        <v>2074011074546</v>
      </c>
      <c r="D89">
        <v>201509</v>
      </c>
      <c r="E89" s="1">
        <v>42237</v>
      </c>
      <c r="F89" s="1">
        <v>42272</v>
      </c>
      <c r="G89" t="s">
        <v>245</v>
      </c>
      <c r="H89" s="2">
        <v>339</v>
      </c>
      <c r="I89" t="s">
        <v>47</v>
      </c>
      <c r="J89" s="3">
        <v>4498.53</v>
      </c>
    </row>
    <row r="90" spans="1:10" x14ac:dyDescent="0.25">
      <c r="A90" t="s">
        <v>241</v>
      </c>
      <c r="B90" t="s">
        <v>59</v>
      </c>
      <c r="C90" s="78">
        <v>2074011074546</v>
      </c>
      <c r="D90">
        <v>201510</v>
      </c>
      <c r="E90" s="1">
        <v>42272</v>
      </c>
      <c r="F90" s="1">
        <v>42303</v>
      </c>
      <c r="G90" t="s">
        <v>245</v>
      </c>
      <c r="H90" s="2">
        <v>245</v>
      </c>
      <c r="I90" t="s">
        <v>47</v>
      </c>
      <c r="J90" s="3">
        <v>3251.15</v>
      </c>
    </row>
    <row r="91" spans="1:10" x14ac:dyDescent="0.25">
      <c r="A91" t="s">
        <v>241</v>
      </c>
      <c r="B91" t="s">
        <v>59</v>
      </c>
      <c r="C91" s="78">
        <v>2074011074546</v>
      </c>
      <c r="D91">
        <v>201511</v>
      </c>
      <c r="E91" s="1">
        <v>42303</v>
      </c>
      <c r="F91" s="1">
        <v>42338</v>
      </c>
      <c r="G91" t="s">
        <v>245</v>
      </c>
      <c r="H91" s="2">
        <v>227</v>
      </c>
      <c r="I91" t="s">
        <v>47</v>
      </c>
      <c r="J91" s="3">
        <v>3012.29</v>
      </c>
    </row>
    <row r="92" spans="1:10" x14ac:dyDescent="0.25">
      <c r="A92" t="s">
        <v>241</v>
      </c>
      <c r="B92" t="s">
        <v>59</v>
      </c>
      <c r="C92" s="78">
        <v>2074011074546</v>
      </c>
      <c r="D92">
        <v>201512</v>
      </c>
      <c r="E92" s="1">
        <v>42338</v>
      </c>
      <c r="F92" s="1">
        <v>42367</v>
      </c>
      <c r="G92" t="s">
        <v>245</v>
      </c>
      <c r="H92" s="2">
        <v>136</v>
      </c>
      <c r="I92" t="s">
        <v>47</v>
      </c>
      <c r="J92" s="3">
        <v>1804.72</v>
      </c>
    </row>
    <row r="93" spans="1:10" x14ac:dyDescent="0.25">
      <c r="A93" t="s">
        <v>241</v>
      </c>
      <c r="B93" t="s">
        <v>59</v>
      </c>
      <c r="C93" s="78">
        <v>2074011074546</v>
      </c>
      <c r="D93">
        <v>201601</v>
      </c>
      <c r="E93" s="1">
        <v>42367</v>
      </c>
      <c r="F93" s="1">
        <v>42396</v>
      </c>
      <c r="G93" t="s">
        <v>245</v>
      </c>
      <c r="H93" s="2">
        <v>49</v>
      </c>
      <c r="I93" t="s">
        <v>47</v>
      </c>
      <c r="J93" s="3">
        <v>650.23</v>
      </c>
    </row>
    <row r="94" spans="1:10" x14ac:dyDescent="0.25">
      <c r="A94" t="s">
        <v>241</v>
      </c>
      <c r="B94" t="s">
        <v>59</v>
      </c>
      <c r="C94" s="78">
        <v>2074011074546</v>
      </c>
      <c r="D94">
        <v>201602</v>
      </c>
      <c r="E94" s="1">
        <v>42396</v>
      </c>
      <c r="F94" s="1">
        <v>42424</v>
      </c>
      <c r="G94" t="s">
        <v>245</v>
      </c>
      <c r="H94" s="2">
        <v>129</v>
      </c>
      <c r="I94" t="s">
        <v>47</v>
      </c>
      <c r="J94" s="3">
        <v>1711.83</v>
      </c>
    </row>
    <row r="95" spans="1:10" x14ac:dyDescent="0.25">
      <c r="A95" t="s">
        <v>241</v>
      </c>
      <c r="B95" t="s">
        <v>59</v>
      </c>
      <c r="C95" s="78">
        <v>2074011074546</v>
      </c>
      <c r="D95">
        <v>201603</v>
      </c>
      <c r="E95" s="1">
        <v>42424</v>
      </c>
      <c r="F95" s="1">
        <v>42451</v>
      </c>
      <c r="G95" t="s">
        <v>245</v>
      </c>
      <c r="H95" s="2">
        <v>153</v>
      </c>
      <c r="I95" t="s">
        <v>47</v>
      </c>
      <c r="J95" s="3">
        <v>2030.31</v>
      </c>
    </row>
    <row r="96" spans="1:10" x14ac:dyDescent="0.25">
      <c r="A96" t="s">
        <v>241</v>
      </c>
      <c r="B96" t="s">
        <v>59</v>
      </c>
      <c r="C96" s="78">
        <v>2074011074546</v>
      </c>
      <c r="D96">
        <v>201604</v>
      </c>
      <c r="E96" s="1">
        <v>42451</v>
      </c>
      <c r="F96" s="1">
        <v>42481</v>
      </c>
      <c r="G96" t="s">
        <v>245</v>
      </c>
      <c r="H96" s="2">
        <v>226</v>
      </c>
      <c r="I96" t="s">
        <v>47</v>
      </c>
      <c r="J96" s="3">
        <v>2999.02</v>
      </c>
    </row>
    <row r="97" spans="1:10" x14ac:dyDescent="0.25">
      <c r="A97" t="s">
        <v>241</v>
      </c>
      <c r="B97" t="s">
        <v>59</v>
      </c>
      <c r="C97" s="78">
        <v>2074011074546</v>
      </c>
      <c r="D97">
        <v>201605</v>
      </c>
      <c r="E97" s="1">
        <v>42481</v>
      </c>
      <c r="F97" s="1">
        <v>42514</v>
      </c>
      <c r="G97" t="s">
        <v>245</v>
      </c>
      <c r="H97" s="2">
        <v>227</v>
      </c>
      <c r="I97" t="s">
        <v>47</v>
      </c>
      <c r="J97" s="3">
        <v>3012.29</v>
      </c>
    </row>
    <row r="98" spans="1:10" x14ac:dyDescent="0.25">
      <c r="A98" t="s">
        <v>241</v>
      </c>
      <c r="B98" t="s">
        <v>59</v>
      </c>
      <c r="C98" s="78">
        <v>2074011074546</v>
      </c>
      <c r="D98">
        <v>201606</v>
      </c>
      <c r="E98" s="1">
        <v>42514</v>
      </c>
      <c r="F98" s="1">
        <v>42545</v>
      </c>
      <c r="G98" t="s">
        <v>245</v>
      </c>
      <c r="H98" s="2">
        <v>289</v>
      </c>
      <c r="I98" t="s">
        <v>47</v>
      </c>
      <c r="J98" s="3">
        <v>3835.03</v>
      </c>
    </row>
    <row r="99" spans="1:10" x14ac:dyDescent="0.25">
      <c r="A99" t="s">
        <v>117</v>
      </c>
      <c r="B99" t="s">
        <v>59</v>
      </c>
      <c r="C99" s="78">
        <v>925871020446</v>
      </c>
      <c r="D99">
        <v>201507</v>
      </c>
      <c r="E99" s="1">
        <v>42180</v>
      </c>
      <c r="F99" s="1">
        <v>42214</v>
      </c>
      <c r="G99" t="s">
        <v>246</v>
      </c>
      <c r="H99" s="2">
        <v>342</v>
      </c>
      <c r="I99" t="s">
        <v>47</v>
      </c>
      <c r="J99" s="3">
        <v>4538.34</v>
      </c>
    </row>
    <row r="100" spans="1:10" x14ac:dyDescent="0.25">
      <c r="A100" t="s">
        <v>117</v>
      </c>
      <c r="B100" t="s">
        <v>59</v>
      </c>
      <c r="C100" s="78">
        <v>925871020446</v>
      </c>
      <c r="D100">
        <v>201508</v>
      </c>
      <c r="E100" s="1">
        <v>42214</v>
      </c>
      <c r="F100" s="1">
        <v>42242</v>
      </c>
      <c r="G100" t="s">
        <v>246</v>
      </c>
      <c r="H100" s="2">
        <v>324</v>
      </c>
      <c r="I100" t="s">
        <v>47</v>
      </c>
      <c r="J100" s="3">
        <v>4299.4799999999996</v>
      </c>
    </row>
    <row r="101" spans="1:10" x14ac:dyDescent="0.25">
      <c r="A101" t="s">
        <v>117</v>
      </c>
      <c r="B101" t="s">
        <v>59</v>
      </c>
      <c r="C101" s="78">
        <v>925871020446</v>
      </c>
      <c r="D101">
        <v>201509</v>
      </c>
      <c r="E101" s="1">
        <v>42242</v>
      </c>
      <c r="F101" s="1">
        <v>42272</v>
      </c>
      <c r="G101" t="s">
        <v>246</v>
      </c>
      <c r="H101" s="2">
        <v>337</v>
      </c>
      <c r="I101" t="s">
        <v>47</v>
      </c>
      <c r="J101" s="3">
        <v>4471.99</v>
      </c>
    </row>
    <row r="102" spans="1:10" x14ac:dyDescent="0.25">
      <c r="A102" t="s">
        <v>117</v>
      </c>
      <c r="B102" t="s">
        <v>59</v>
      </c>
      <c r="C102" s="78">
        <v>925871020446</v>
      </c>
      <c r="D102">
        <v>201510</v>
      </c>
      <c r="E102" s="1">
        <v>42272</v>
      </c>
      <c r="F102" s="1">
        <v>42299</v>
      </c>
      <c r="G102" t="s">
        <v>246</v>
      </c>
      <c r="H102" s="2">
        <v>281</v>
      </c>
      <c r="I102" t="s">
        <v>47</v>
      </c>
      <c r="J102" s="3">
        <v>3728.87</v>
      </c>
    </row>
    <row r="103" spans="1:10" x14ac:dyDescent="0.25">
      <c r="A103" t="s">
        <v>117</v>
      </c>
      <c r="B103" t="s">
        <v>59</v>
      </c>
      <c r="C103" s="78">
        <v>925871020446</v>
      </c>
      <c r="D103">
        <v>201511</v>
      </c>
      <c r="E103" s="1">
        <v>42299</v>
      </c>
      <c r="F103" s="1">
        <v>42328</v>
      </c>
      <c r="G103" t="s">
        <v>246</v>
      </c>
      <c r="H103" s="2">
        <v>357</v>
      </c>
      <c r="I103" t="s">
        <v>47</v>
      </c>
      <c r="J103" s="3">
        <v>4737.3900000000003</v>
      </c>
    </row>
    <row r="104" spans="1:10" x14ac:dyDescent="0.25">
      <c r="A104" t="s">
        <v>117</v>
      </c>
      <c r="B104" t="s">
        <v>59</v>
      </c>
      <c r="C104" s="78">
        <v>925871020446</v>
      </c>
      <c r="D104">
        <v>201512</v>
      </c>
      <c r="E104" s="1">
        <v>42328</v>
      </c>
      <c r="F104" s="1">
        <v>42375</v>
      </c>
      <c r="G104" t="s">
        <v>246</v>
      </c>
      <c r="H104" s="2">
        <v>181</v>
      </c>
      <c r="I104" t="s">
        <v>47</v>
      </c>
      <c r="J104" s="3">
        <v>2401.87</v>
      </c>
    </row>
    <row r="105" spans="1:10" x14ac:dyDescent="0.25">
      <c r="A105" t="s">
        <v>117</v>
      </c>
      <c r="B105" t="s">
        <v>59</v>
      </c>
      <c r="C105" s="78">
        <v>925871020446</v>
      </c>
      <c r="D105">
        <v>201601</v>
      </c>
      <c r="E105" s="1">
        <v>42375</v>
      </c>
      <c r="F105" s="1">
        <v>42391</v>
      </c>
      <c r="G105" t="s">
        <v>246</v>
      </c>
      <c r="H105" s="2">
        <v>43</v>
      </c>
      <c r="I105" t="s">
        <v>47</v>
      </c>
      <c r="J105" s="3">
        <v>570.61</v>
      </c>
    </row>
    <row r="106" spans="1:10" x14ac:dyDescent="0.25">
      <c r="A106" t="s">
        <v>117</v>
      </c>
      <c r="B106" t="s">
        <v>59</v>
      </c>
      <c r="C106" s="78">
        <v>925871020446</v>
      </c>
      <c r="D106">
        <v>201602</v>
      </c>
      <c r="E106" s="1">
        <v>42391</v>
      </c>
      <c r="F106" s="1">
        <v>42429</v>
      </c>
      <c r="G106" t="s">
        <v>246</v>
      </c>
      <c r="H106" s="2">
        <v>135</v>
      </c>
      <c r="I106" t="s">
        <v>47</v>
      </c>
      <c r="J106" s="3">
        <v>1791.45</v>
      </c>
    </row>
    <row r="107" spans="1:10" x14ac:dyDescent="0.25">
      <c r="A107" t="s">
        <v>117</v>
      </c>
      <c r="B107" t="s">
        <v>59</v>
      </c>
      <c r="C107" s="78">
        <v>925871020446</v>
      </c>
      <c r="D107">
        <v>201603</v>
      </c>
      <c r="E107" s="1">
        <v>42429</v>
      </c>
      <c r="F107" s="1">
        <v>42446</v>
      </c>
      <c r="G107" t="s">
        <v>246</v>
      </c>
      <c r="H107" s="2">
        <v>174</v>
      </c>
      <c r="I107" t="s">
        <v>47</v>
      </c>
      <c r="J107" s="3">
        <v>2308.98</v>
      </c>
    </row>
    <row r="108" spans="1:10" x14ac:dyDescent="0.25">
      <c r="A108" t="s">
        <v>117</v>
      </c>
      <c r="B108" t="s">
        <v>59</v>
      </c>
      <c r="C108" s="78">
        <v>925871020446</v>
      </c>
      <c r="D108">
        <v>201604</v>
      </c>
      <c r="E108" s="1">
        <v>42446</v>
      </c>
      <c r="F108" s="1">
        <v>42478</v>
      </c>
      <c r="G108" t="s">
        <v>246</v>
      </c>
      <c r="H108" s="2">
        <v>263</v>
      </c>
      <c r="I108" t="s">
        <v>47</v>
      </c>
      <c r="J108" s="3">
        <v>3490.01</v>
      </c>
    </row>
    <row r="109" spans="1:10" x14ac:dyDescent="0.25">
      <c r="A109" t="s">
        <v>117</v>
      </c>
      <c r="B109" t="s">
        <v>59</v>
      </c>
      <c r="C109" s="78">
        <v>925871020446</v>
      </c>
      <c r="D109">
        <v>201605</v>
      </c>
      <c r="E109" s="1">
        <v>42478</v>
      </c>
      <c r="F109" s="1">
        <v>42510</v>
      </c>
      <c r="G109" t="s">
        <v>246</v>
      </c>
      <c r="H109" s="2">
        <v>424</v>
      </c>
      <c r="I109" t="s">
        <v>47</v>
      </c>
      <c r="J109" s="3">
        <v>5626.48</v>
      </c>
    </row>
    <row r="110" spans="1:10" ht="15.75" thickBot="1" x14ac:dyDescent="0.3">
      <c r="A110" t="s">
        <v>117</v>
      </c>
      <c r="B110" t="s">
        <v>59</v>
      </c>
      <c r="C110" s="78">
        <v>925871020446</v>
      </c>
      <c r="D110">
        <v>201606</v>
      </c>
      <c r="E110" s="1">
        <v>42510</v>
      </c>
      <c r="F110" s="1">
        <v>42538</v>
      </c>
      <c r="G110" t="s">
        <v>246</v>
      </c>
      <c r="H110" s="2">
        <v>421</v>
      </c>
      <c r="I110" t="s">
        <v>47</v>
      </c>
      <c r="J110" s="3">
        <v>5586.67</v>
      </c>
    </row>
    <row r="111" spans="1:10" ht="15.75" thickBot="1" x14ac:dyDescent="0.3">
      <c r="H111" s="27">
        <f>SUM(H75:H110)</f>
        <v>5912</v>
      </c>
      <c r="I111" t="s">
        <v>47</v>
      </c>
      <c r="J111" s="28">
        <f>SUM(J75:J110)</f>
        <v>78452.239999999991</v>
      </c>
    </row>
    <row r="127" spans="5:6" x14ac:dyDescent="0.25">
      <c r="E127" s="1"/>
      <c r="F127" s="1"/>
    </row>
    <row r="152" spans="5:10" x14ac:dyDescent="0.25">
      <c r="E152" s="1"/>
      <c r="F152" s="1"/>
      <c r="H152" s="2"/>
      <c r="J152" s="3"/>
    </row>
    <row r="153" spans="5:10" x14ac:dyDescent="0.25">
      <c r="E153" s="1"/>
      <c r="F153" s="1"/>
      <c r="H153" s="2"/>
      <c r="J153" s="3"/>
    </row>
    <row r="193" spans="5:10" x14ac:dyDescent="0.25">
      <c r="E193" s="1"/>
      <c r="F193" s="1"/>
      <c r="H193" s="2"/>
      <c r="J193" s="3"/>
    </row>
    <row r="237" spans="8:8" x14ac:dyDescent="0.25">
      <c r="H237" s="2"/>
    </row>
    <row r="238" spans="8:8" x14ac:dyDescent="0.25">
      <c r="H238" s="2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945"/>
  <sheetViews>
    <sheetView topLeftCell="A28" workbookViewId="0">
      <selection activeCell="E14" sqref="E3:E14"/>
    </sheetView>
  </sheetViews>
  <sheetFormatPr defaultColWidth="8.85546875" defaultRowHeight="15" x14ac:dyDescent="0.25"/>
  <cols>
    <col min="1" max="1" width="25" bestFit="1" customWidth="1"/>
    <col min="2" max="2" width="14.42578125" bestFit="1" customWidth="1"/>
    <col min="3" max="3" width="34.42578125" style="82" bestFit="1" customWidth="1"/>
    <col min="4" max="4" width="7" bestFit="1" customWidth="1"/>
    <col min="5" max="6" width="10.7109375" bestFit="1" customWidth="1"/>
    <col min="7" max="7" width="38.140625" bestFit="1" customWidth="1"/>
    <col min="8" max="8" width="10.85546875" style="2" bestFit="1" customWidth="1"/>
    <col min="9" max="9" width="7.85546875" bestFit="1" customWidth="1"/>
    <col min="10" max="10" width="13.42578125" style="4" bestFit="1" customWidth="1"/>
    <col min="11" max="11" width="7" bestFit="1" customWidth="1"/>
    <col min="12" max="13" width="21" customWidth="1"/>
    <col min="14" max="14" width="36.42578125" customWidth="1"/>
    <col min="15" max="15" width="10.7109375" bestFit="1" customWidth="1"/>
    <col min="16" max="16" width="11.85546875" customWidth="1"/>
    <col min="17" max="17" width="11.85546875" bestFit="1" customWidth="1"/>
    <col min="19" max="19" width="34.42578125" bestFit="1" customWidth="1"/>
    <col min="20" max="20" width="10.7109375" bestFit="1" customWidth="1"/>
    <col min="24" max="25" width="10.7109375" bestFit="1" customWidth="1"/>
    <col min="27" max="27" width="9.85546875" bestFit="1" customWidth="1"/>
  </cols>
  <sheetData>
    <row r="1" spans="1:10" ht="15.75" x14ac:dyDescent="0.25">
      <c r="A1" s="103" t="s">
        <v>578</v>
      </c>
      <c r="B1" s="103" t="s">
        <v>578</v>
      </c>
    </row>
    <row r="2" spans="1:10" ht="15.75" x14ac:dyDescent="0.25">
      <c r="A2" s="103"/>
    </row>
    <row r="3" spans="1:10" x14ac:dyDescent="0.25">
      <c r="A3" t="s">
        <v>121</v>
      </c>
      <c r="B3" t="s">
        <v>5</v>
      </c>
      <c r="C3" s="82" t="s">
        <v>133</v>
      </c>
      <c r="D3">
        <v>201507</v>
      </c>
      <c r="E3" s="1">
        <v>42185</v>
      </c>
      <c r="F3" s="1">
        <v>42216</v>
      </c>
      <c r="G3" t="s">
        <v>133</v>
      </c>
      <c r="H3" s="81">
        <v>59831</v>
      </c>
      <c r="I3" t="s">
        <v>6</v>
      </c>
      <c r="J3" s="3">
        <v>3509.57</v>
      </c>
    </row>
    <row r="4" spans="1:10" x14ac:dyDescent="0.25">
      <c r="A4" t="s">
        <v>121</v>
      </c>
      <c r="B4" t="s">
        <v>5</v>
      </c>
      <c r="C4" s="82" t="s">
        <v>133</v>
      </c>
      <c r="D4">
        <v>201508</v>
      </c>
      <c r="E4" s="1">
        <v>42216</v>
      </c>
      <c r="F4" s="1">
        <v>42243</v>
      </c>
      <c r="G4" t="s">
        <v>133</v>
      </c>
      <c r="H4" s="81">
        <v>57661</v>
      </c>
      <c r="I4" t="s">
        <v>6</v>
      </c>
      <c r="J4" s="3">
        <v>3496.51</v>
      </c>
    </row>
    <row r="5" spans="1:10" x14ac:dyDescent="0.25">
      <c r="A5" t="s">
        <v>121</v>
      </c>
      <c r="B5" t="s">
        <v>5</v>
      </c>
      <c r="C5" s="82" t="s">
        <v>133</v>
      </c>
      <c r="D5">
        <v>201509</v>
      </c>
      <c r="E5" s="1">
        <v>42243</v>
      </c>
      <c r="F5" s="1">
        <v>42276</v>
      </c>
      <c r="G5" t="s">
        <v>133</v>
      </c>
      <c r="H5" s="81">
        <v>166666</v>
      </c>
      <c r="I5" t="s">
        <v>6</v>
      </c>
      <c r="J5" s="3">
        <v>9750.77</v>
      </c>
    </row>
    <row r="6" spans="1:10" x14ac:dyDescent="0.25">
      <c r="A6" t="s">
        <v>121</v>
      </c>
      <c r="B6" t="s">
        <v>5</v>
      </c>
      <c r="C6" s="82" t="s">
        <v>133</v>
      </c>
      <c r="D6">
        <v>201510</v>
      </c>
      <c r="E6" s="1">
        <v>42276</v>
      </c>
      <c r="F6" s="1">
        <v>42305</v>
      </c>
      <c r="G6" t="s">
        <v>133</v>
      </c>
      <c r="H6" s="81">
        <v>95112</v>
      </c>
      <c r="I6" t="s">
        <v>6</v>
      </c>
      <c r="J6" s="3">
        <v>5687.21</v>
      </c>
    </row>
    <row r="7" spans="1:10" x14ac:dyDescent="0.25">
      <c r="A7" t="s">
        <v>121</v>
      </c>
      <c r="B7" t="s">
        <v>5</v>
      </c>
      <c r="C7" s="82" t="s">
        <v>133</v>
      </c>
      <c r="D7">
        <v>201511</v>
      </c>
      <c r="E7" s="1">
        <v>42305</v>
      </c>
      <c r="F7" s="1">
        <v>42339</v>
      </c>
      <c r="G7" t="s">
        <v>133</v>
      </c>
      <c r="H7" s="81">
        <v>167510</v>
      </c>
      <c r="I7" t="s">
        <v>6</v>
      </c>
      <c r="J7" s="3">
        <v>10131.85</v>
      </c>
    </row>
    <row r="8" spans="1:10" x14ac:dyDescent="0.25">
      <c r="A8" t="s">
        <v>121</v>
      </c>
      <c r="B8" t="s">
        <v>5</v>
      </c>
      <c r="C8" s="82" t="s">
        <v>133</v>
      </c>
      <c r="D8">
        <v>201512</v>
      </c>
      <c r="E8" s="1">
        <v>42339</v>
      </c>
      <c r="F8" s="1">
        <v>42369</v>
      </c>
      <c r="G8" t="s">
        <v>133</v>
      </c>
      <c r="H8" s="81">
        <v>143285</v>
      </c>
      <c r="I8" t="s">
        <v>6</v>
      </c>
      <c r="J8" s="3">
        <v>9051.64</v>
      </c>
    </row>
    <row r="9" spans="1:10" x14ac:dyDescent="0.25">
      <c r="A9" t="s">
        <v>121</v>
      </c>
      <c r="B9" t="s">
        <v>5</v>
      </c>
      <c r="C9" s="82" t="s">
        <v>133</v>
      </c>
      <c r="D9">
        <v>201601</v>
      </c>
      <c r="E9" s="1">
        <v>42369</v>
      </c>
      <c r="F9" s="1">
        <v>42401</v>
      </c>
      <c r="G9" t="s">
        <v>133</v>
      </c>
      <c r="H9" s="81">
        <v>151102</v>
      </c>
      <c r="I9" t="s">
        <v>6</v>
      </c>
      <c r="J9" s="3">
        <v>9452.4699999999993</v>
      </c>
    </row>
    <row r="10" spans="1:10" x14ac:dyDescent="0.25">
      <c r="A10" t="s">
        <v>121</v>
      </c>
      <c r="B10" t="s">
        <v>5</v>
      </c>
      <c r="C10" s="82" t="s">
        <v>133</v>
      </c>
      <c r="D10">
        <v>201602</v>
      </c>
      <c r="E10" s="1">
        <v>42401</v>
      </c>
      <c r="F10" s="1">
        <v>42430</v>
      </c>
      <c r="G10" t="s">
        <v>133</v>
      </c>
      <c r="H10" s="81">
        <v>85629</v>
      </c>
      <c r="I10" t="s">
        <v>6</v>
      </c>
      <c r="J10" s="3">
        <v>5225.82</v>
      </c>
    </row>
    <row r="11" spans="1:10" x14ac:dyDescent="0.25">
      <c r="A11" t="s">
        <v>121</v>
      </c>
      <c r="B11" t="s">
        <v>5</v>
      </c>
      <c r="C11" s="82" t="s">
        <v>133</v>
      </c>
      <c r="D11">
        <v>201603</v>
      </c>
      <c r="E11" s="1">
        <v>42430</v>
      </c>
      <c r="F11" s="1">
        <v>42460</v>
      </c>
      <c r="G11" t="s">
        <v>133</v>
      </c>
      <c r="H11" s="81">
        <v>127326</v>
      </c>
      <c r="I11" t="s">
        <v>6</v>
      </c>
      <c r="J11" s="3">
        <v>7991.7</v>
      </c>
    </row>
    <row r="12" spans="1:10" x14ac:dyDescent="0.25">
      <c r="A12" t="s">
        <v>121</v>
      </c>
      <c r="B12" t="s">
        <v>5</v>
      </c>
      <c r="C12" s="82" t="s">
        <v>133</v>
      </c>
      <c r="D12">
        <v>201604</v>
      </c>
      <c r="E12" s="1">
        <v>42460</v>
      </c>
      <c r="F12" s="1">
        <v>42489</v>
      </c>
      <c r="G12" t="s">
        <v>133</v>
      </c>
      <c r="H12" s="81">
        <v>115680</v>
      </c>
      <c r="I12" t="s">
        <v>6</v>
      </c>
      <c r="J12" s="3">
        <v>6969.72</v>
      </c>
    </row>
    <row r="13" spans="1:10" x14ac:dyDescent="0.25">
      <c r="A13" t="s">
        <v>121</v>
      </c>
      <c r="B13" t="s">
        <v>5</v>
      </c>
      <c r="C13" s="82" t="s">
        <v>133</v>
      </c>
      <c r="D13">
        <v>201605</v>
      </c>
      <c r="E13" s="1">
        <v>42489</v>
      </c>
      <c r="F13" s="1">
        <v>42521</v>
      </c>
      <c r="G13" t="s">
        <v>133</v>
      </c>
      <c r="H13" s="81">
        <v>27870</v>
      </c>
      <c r="I13" t="s">
        <v>6</v>
      </c>
      <c r="J13" s="3">
        <v>1733.49</v>
      </c>
    </row>
    <row r="14" spans="1:10" x14ac:dyDescent="0.25">
      <c r="A14" t="s">
        <v>121</v>
      </c>
      <c r="B14" t="s">
        <v>5</v>
      </c>
      <c r="C14" s="82" t="s">
        <v>133</v>
      </c>
      <c r="D14">
        <v>201606</v>
      </c>
      <c r="E14" s="1">
        <v>42521</v>
      </c>
      <c r="F14" s="1">
        <v>42550</v>
      </c>
      <c r="G14" t="s">
        <v>133</v>
      </c>
      <c r="H14" s="81">
        <v>75603</v>
      </c>
      <c r="I14" t="s">
        <v>6</v>
      </c>
      <c r="J14" s="3">
        <v>4538.6000000000004</v>
      </c>
    </row>
    <row r="15" spans="1:10" x14ac:dyDescent="0.25">
      <c r="A15" t="s">
        <v>125</v>
      </c>
      <c r="B15" t="s">
        <v>5</v>
      </c>
      <c r="C15" s="82">
        <v>3912747502</v>
      </c>
      <c r="D15">
        <v>201507</v>
      </c>
      <c r="E15" s="1">
        <v>42185</v>
      </c>
      <c r="F15" s="1">
        <v>42219</v>
      </c>
      <c r="G15" t="s">
        <v>635</v>
      </c>
      <c r="H15" s="81">
        <v>6508</v>
      </c>
      <c r="I15" t="s">
        <v>6</v>
      </c>
      <c r="J15" s="3">
        <v>536.61</v>
      </c>
    </row>
    <row r="16" spans="1:10" x14ac:dyDescent="0.25">
      <c r="A16" t="s">
        <v>125</v>
      </c>
      <c r="B16" t="s">
        <v>5</v>
      </c>
      <c r="C16" s="82">
        <v>3912747502</v>
      </c>
      <c r="D16">
        <v>201508</v>
      </c>
      <c r="E16" s="1">
        <v>42219</v>
      </c>
      <c r="F16" s="1">
        <v>42244</v>
      </c>
      <c r="G16" t="s">
        <v>635</v>
      </c>
      <c r="H16" s="81">
        <v>4334</v>
      </c>
      <c r="I16" t="s">
        <v>6</v>
      </c>
      <c r="J16" s="3">
        <v>367.52</v>
      </c>
    </row>
    <row r="17" spans="1:10" x14ac:dyDescent="0.25">
      <c r="A17" t="s">
        <v>125</v>
      </c>
      <c r="B17" t="s">
        <v>5</v>
      </c>
      <c r="C17" s="82">
        <v>3912747502</v>
      </c>
      <c r="D17">
        <v>201509</v>
      </c>
      <c r="E17" s="1">
        <v>42244</v>
      </c>
      <c r="F17" s="1">
        <v>42276</v>
      </c>
      <c r="G17" t="s">
        <v>635</v>
      </c>
      <c r="H17" s="81">
        <v>5079</v>
      </c>
      <c r="I17" t="s">
        <v>6</v>
      </c>
      <c r="J17" s="3">
        <v>428.59</v>
      </c>
    </row>
    <row r="18" spans="1:10" x14ac:dyDescent="0.25">
      <c r="A18" t="s">
        <v>125</v>
      </c>
      <c r="B18" t="s">
        <v>5</v>
      </c>
      <c r="C18" s="82">
        <v>3912747502</v>
      </c>
      <c r="D18">
        <v>201510</v>
      </c>
      <c r="E18" s="1">
        <v>42276</v>
      </c>
      <c r="F18" s="1">
        <v>42305</v>
      </c>
      <c r="G18" t="s">
        <v>635</v>
      </c>
      <c r="H18" s="81">
        <v>3534</v>
      </c>
      <c r="I18" t="s">
        <v>6</v>
      </c>
      <c r="J18" s="3">
        <v>313.39</v>
      </c>
    </row>
    <row r="19" spans="1:10" x14ac:dyDescent="0.25">
      <c r="A19" t="s">
        <v>125</v>
      </c>
      <c r="B19" t="s">
        <v>5</v>
      </c>
      <c r="C19" s="82">
        <v>3912747502</v>
      </c>
      <c r="D19">
        <v>201511</v>
      </c>
      <c r="E19" s="1">
        <v>42305</v>
      </c>
      <c r="F19" s="1">
        <v>42340</v>
      </c>
      <c r="G19" t="s">
        <v>635</v>
      </c>
      <c r="H19" s="81">
        <v>4190</v>
      </c>
      <c r="I19" t="s">
        <v>6</v>
      </c>
      <c r="J19" s="3">
        <v>358.82</v>
      </c>
    </row>
    <row r="20" spans="1:10" x14ac:dyDescent="0.25">
      <c r="A20" t="s">
        <v>125</v>
      </c>
      <c r="B20" t="s">
        <v>5</v>
      </c>
      <c r="C20" s="82">
        <v>3912747502</v>
      </c>
      <c r="D20">
        <v>201512</v>
      </c>
      <c r="E20" s="1">
        <v>42340</v>
      </c>
      <c r="F20" s="1">
        <v>42369</v>
      </c>
      <c r="G20" t="s">
        <v>635</v>
      </c>
      <c r="H20" s="81">
        <v>2976</v>
      </c>
      <c r="I20" t="s">
        <v>6</v>
      </c>
      <c r="J20" s="3">
        <v>274.29000000000002</v>
      </c>
    </row>
    <row r="21" spans="1:10" x14ac:dyDescent="0.25">
      <c r="A21" t="s">
        <v>125</v>
      </c>
      <c r="B21" t="s">
        <v>5</v>
      </c>
      <c r="C21" s="82">
        <v>3912747502</v>
      </c>
      <c r="D21">
        <v>201601</v>
      </c>
      <c r="E21" s="1">
        <v>42369</v>
      </c>
      <c r="F21" s="1">
        <v>42403</v>
      </c>
      <c r="G21" t="s">
        <v>635</v>
      </c>
      <c r="H21" s="81">
        <v>3603</v>
      </c>
      <c r="I21" t="s">
        <v>6</v>
      </c>
      <c r="J21" s="3">
        <v>317.70999999999998</v>
      </c>
    </row>
    <row r="22" spans="1:10" x14ac:dyDescent="0.25">
      <c r="A22" t="s">
        <v>125</v>
      </c>
      <c r="B22" t="s">
        <v>5</v>
      </c>
      <c r="C22" s="82">
        <v>3912747502</v>
      </c>
      <c r="D22">
        <v>201602</v>
      </c>
      <c r="E22" s="1">
        <v>42403</v>
      </c>
      <c r="F22" s="1">
        <v>42430</v>
      </c>
      <c r="G22" t="s">
        <v>635</v>
      </c>
      <c r="H22" s="81">
        <v>3005</v>
      </c>
      <c r="I22" t="s">
        <v>6</v>
      </c>
      <c r="J22" s="3">
        <v>276.36</v>
      </c>
    </row>
    <row r="23" spans="1:10" x14ac:dyDescent="0.25">
      <c r="A23" t="s">
        <v>125</v>
      </c>
      <c r="B23" t="s">
        <v>5</v>
      </c>
      <c r="C23" s="82">
        <v>3912747502</v>
      </c>
      <c r="D23">
        <v>201603</v>
      </c>
      <c r="E23" s="1">
        <v>42430</v>
      </c>
      <c r="F23" s="1">
        <v>42461</v>
      </c>
      <c r="G23" t="s">
        <v>635</v>
      </c>
      <c r="H23" s="81">
        <v>3499</v>
      </c>
      <c r="I23" t="s">
        <v>6</v>
      </c>
      <c r="J23" s="3">
        <v>310.54000000000002</v>
      </c>
    </row>
    <row r="24" spans="1:10" x14ac:dyDescent="0.25">
      <c r="A24" t="s">
        <v>125</v>
      </c>
      <c r="B24" t="s">
        <v>5</v>
      </c>
      <c r="C24" s="82">
        <v>3912747502</v>
      </c>
      <c r="D24">
        <v>201604</v>
      </c>
      <c r="E24" s="1">
        <v>42461</v>
      </c>
      <c r="F24" s="1">
        <v>42493</v>
      </c>
      <c r="G24" t="s">
        <v>635</v>
      </c>
      <c r="H24" s="81">
        <v>3667</v>
      </c>
      <c r="I24" t="s">
        <v>6</v>
      </c>
      <c r="J24" s="3">
        <v>323.51</v>
      </c>
    </row>
    <row r="25" spans="1:10" x14ac:dyDescent="0.25">
      <c r="A25" t="s">
        <v>125</v>
      </c>
      <c r="B25" t="s">
        <v>5</v>
      </c>
      <c r="C25" s="82">
        <v>3912747502</v>
      </c>
      <c r="D25">
        <v>201605</v>
      </c>
      <c r="E25" s="1">
        <v>42493</v>
      </c>
      <c r="F25" s="1">
        <v>42521</v>
      </c>
      <c r="G25" t="s">
        <v>635</v>
      </c>
      <c r="H25" s="81">
        <v>3473</v>
      </c>
      <c r="I25" t="s">
        <v>6</v>
      </c>
      <c r="J25" s="3">
        <v>312.23</v>
      </c>
    </row>
    <row r="26" spans="1:10" x14ac:dyDescent="0.25">
      <c r="A26" t="s">
        <v>125</v>
      </c>
      <c r="B26" t="s">
        <v>5</v>
      </c>
      <c r="C26" s="82">
        <v>3912747502</v>
      </c>
      <c r="D26">
        <v>201606</v>
      </c>
      <c r="E26" s="1">
        <v>42521</v>
      </c>
      <c r="F26" s="1">
        <v>42549</v>
      </c>
      <c r="G26" t="s">
        <v>635</v>
      </c>
      <c r="H26" s="81">
        <v>4459</v>
      </c>
      <c r="I26" t="s">
        <v>6</v>
      </c>
      <c r="J26" s="3">
        <v>385.29</v>
      </c>
    </row>
    <row r="27" spans="1:10" x14ac:dyDescent="0.25">
      <c r="A27" t="s">
        <v>156</v>
      </c>
      <c r="B27" t="s">
        <v>5</v>
      </c>
      <c r="C27" s="82" t="s">
        <v>157</v>
      </c>
      <c r="D27">
        <v>201507</v>
      </c>
      <c r="E27" s="1">
        <v>42185</v>
      </c>
      <c r="F27" s="1">
        <v>42216</v>
      </c>
      <c r="G27" t="s">
        <v>158</v>
      </c>
      <c r="H27" s="81">
        <v>13516</v>
      </c>
      <c r="I27" t="s">
        <v>6</v>
      </c>
      <c r="J27" s="3">
        <v>792.82</v>
      </c>
    </row>
    <row r="28" spans="1:10" x14ac:dyDescent="0.25">
      <c r="A28" t="s">
        <v>156</v>
      </c>
      <c r="B28" t="s">
        <v>5</v>
      </c>
      <c r="C28" s="82" t="s">
        <v>157</v>
      </c>
      <c r="D28">
        <v>201508</v>
      </c>
      <c r="E28" s="1">
        <v>42216</v>
      </c>
      <c r="F28" s="1">
        <v>42243</v>
      </c>
      <c r="G28" t="s">
        <v>158</v>
      </c>
      <c r="H28" s="81">
        <v>9594</v>
      </c>
      <c r="I28" t="s">
        <v>6</v>
      </c>
      <c r="J28" s="3">
        <v>581.77</v>
      </c>
    </row>
    <row r="29" spans="1:10" x14ac:dyDescent="0.25">
      <c r="A29" t="s">
        <v>156</v>
      </c>
      <c r="B29" t="s">
        <v>5</v>
      </c>
      <c r="C29" s="82" t="s">
        <v>157</v>
      </c>
      <c r="D29">
        <v>201509</v>
      </c>
      <c r="E29" s="1">
        <v>42243</v>
      </c>
      <c r="F29" s="1">
        <v>42276</v>
      </c>
      <c r="G29" t="s">
        <v>158</v>
      </c>
      <c r="H29" s="81">
        <v>12100</v>
      </c>
      <c r="I29" t="s">
        <v>6</v>
      </c>
      <c r="J29" s="3">
        <v>707.91</v>
      </c>
    </row>
    <row r="30" spans="1:10" x14ac:dyDescent="0.25">
      <c r="A30" t="s">
        <v>156</v>
      </c>
      <c r="B30" t="s">
        <v>5</v>
      </c>
      <c r="C30" s="82" t="s">
        <v>157</v>
      </c>
      <c r="D30">
        <v>201510</v>
      </c>
      <c r="E30" s="1">
        <v>42276</v>
      </c>
      <c r="F30" s="1">
        <v>42305</v>
      </c>
      <c r="G30" t="s">
        <v>158</v>
      </c>
      <c r="H30" s="81">
        <v>9857</v>
      </c>
      <c r="I30" t="s">
        <v>6</v>
      </c>
      <c r="J30" s="3">
        <v>589.4</v>
      </c>
    </row>
    <row r="31" spans="1:10" x14ac:dyDescent="0.25">
      <c r="A31" t="s">
        <v>156</v>
      </c>
      <c r="B31" t="s">
        <v>5</v>
      </c>
      <c r="C31" s="82" t="s">
        <v>157</v>
      </c>
      <c r="D31">
        <v>201511</v>
      </c>
      <c r="E31" s="1">
        <v>42305</v>
      </c>
      <c r="F31" s="1">
        <v>42339</v>
      </c>
      <c r="G31" t="s">
        <v>158</v>
      </c>
      <c r="H31" s="81">
        <v>12444</v>
      </c>
      <c r="I31" t="s">
        <v>6</v>
      </c>
      <c r="J31" s="3">
        <v>752.68</v>
      </c>
    </row>
    <row r="32" spans="1:10" x14ac:dyDescent="0.25">
      <c r="A32" t="s">
        <v>156</v>
      </c>
      <c r="B32" t="s">
        <v>5</v>
      </c>
      <c r="C32" s="82" t="s">
        <v>157</v>
      </c>
      <c r="D32">
        <v>201512</v>
      </c>
      <c r="E32" s="1">
        <v>42339</v>
      </c>
      <c r="F32" s="1">
        <v>42369</v>
      </c>
      <c r="G32" t="s">
        <v>158</v>
      </c>
      <c r="H32" s="81">
        <v>12677</v>
      </c>
      <c r="I32" t="s">
        <v>6</v>
      </c>
      <c r="J32" s="3">
        <v>800.84</v>
      </c>
    </row>
    <row r="33" spans="1:10" x14ac:dyDescent="0.25">
      <c r="A33" t="s">
        <v>156</v>
      </c>
      <c r="B33" t="s">
        <v>5</v>
      </c>
      <c r="C33" s="82" t="s">
        <v>157</v>
      </c>
      <c r="D33">
        <v>201601</v>
      </c>
      <c r="E33" s="1">
        <v>42369</v>
      </c>
      <c r="F33" s="1">
        <v>42401</v>
      </c>
      <c r="G33" t="s">
        <v>158</v>
      </c>
      <c r="H33" s="81">
        <v>21650</v>
      </c>
      <c r="I33" t="s">
        <v>6</v>
      </c>
      <c r="J33" s="3">
        <v>1354.36</v>
      </c>
    </row>
    <row r="34" spans="1:10" x14ac:dyDescent="0.25">
      <c r="A34" t="s">
        <v>156</v>
      </c>
      <c r="B34" t="s">
        <v>5</v>
      </c>
      <c r="C34" s="82" t="s">
        <v>157</v>
      </c>
      <c r="D34">
        <v>201602</v>
      </c>
      <c r="E34" s="1">
        <v>42401</v>
      </c>
      <c r="F34" s="1">
        <v>42430</v>
      </c>
      <c r="G34" t="s">
        <v>158</v>
      </c>
      <c r="H34" s="81">
        <v>18919</v>
      </c>
      <c r="I34" t="s">
        <v>6</v>
      </c>
      <c r="J34" s="3">
        <v>1154.5999999999999</v>
      </c>
    </row>
    <row r="35" spans="1:10" x14ac:dyDescent="0.25">
      <c r="A35" t="s">
        <v>156</v>
      </c>
      <c r="B35" t="s">
        <v>5</v>
      </c>
      <c r="C35" s="82" t="s">
        <v>157</v>
      </c>
      <c r="D35">
        <v>201603</v>
      </c>
      <c r="E35" s="1">
        <v>42430</v>
      </c>
      <c r="F35" s="1">
        <v>42460</v>
      </c>
      <c r="G35" t="s">
        <v>158</v>
      </c>
      <c r="H35" s="81">
        <v>12835</v>
      </c>
      <c r="I35" t="s">
        <v>6</v>
      </c>
      <c r="J35" s="3">
        <v>823.99</v>
      </c>
    </row>
    <row r="36" spans="1:10" x14ac:dyDescent="0.25">
      <c r="A36" t="s">
        <v>156</v>
      </c>
      <c r="B36" t="s">
        <v>5</v>
      </c>
      <c r="C36" s="82" t="s">
        <v>157</v>
      </c>
      <c r="D36">
        <v>201604</v>
      </c>
      <c r="E36" s="1">
        <v>42460</v>
      </c>
      <c r="F36" s="1">
        <v>42489</v>
      </c>
      <c r="G36" t="s">
        <v>158</v>
      </c>
      <c r="H36" s="81">
        <v>11648</v>
      </c>
      <c r="I36" t="s">
        <v>6</v>
      </c>
      <c r="J36" s="3">
        <v>701.79</v>
      </c>
    </row>
    <row r="37" spans="1:10" x14ac:dyDescent="0.25">
      <c r="A37" t="s">
        <v>156</v>
      </c>
      <c r="B37" t="s">
        <v>5</v>
      </c>
      <c r="C37" s="82" t="s">
        <v>157</v>
      </c>
      <c r="D37">
        <v>201605</v>
      </c>
      <c r="E37" s="1">
        <v>42489</v>
      </c>
      <c r="F37" s="1">
        <v>42521</v>
      </c>
      <c r="G37" t="s">
        <v>158</v>
      </c>
      <c r="H37" s="81">
        <v>11507</v>
      </c>
      <c r="I37" t="s">
        <v>6</v>
      </c>
      <c r="J37" s="3">
        <v>715.72</v>
      </c>
    </row>
    <row r="38" spans="1:10" x14ac:dyDescent="0.25">
      <c r="A38" t="s">
        <v>156</v>
      </c>
      <c r="B38" t="s">
        <v>5</v>
      </c>
      <c r="C38" s="82" t="s">
        <v>157</v>
      </c>
      <c r="D38">
        <v>201606</v>
      </c>
      <c r="E38" s="1">
        <v>42521</v>
      </c>
      <c r="F38" s="1">
        <v>42550</v>
      </c>
      <c r="G38" t="s">
        <v>158</v>
      </c>
      <c r="H38" s="81">
        <v>12333</v>
      </c>
      <c r="I38" t="s">
        <v>6</v>
      </c>
      <c r="J38" s="3">
        <v>740.38</v>
      </c>
    </row>
    <row r="39" spans="1:10" x14ac:dyDescent="0.25">
      <c r="A39" t="s">
        <v>134</v>
      </c>
      <c r="B39" t="s">
        <v>5</v>
      </c>
      <c r="C39" s="82" t="s">
        <v>135</v>
      </c>
      <c r="D39">
        <v>201507</v>
      </c>
      <c r="E39" s="1">
        <v>42185</v>
      </c>
      <c r="F39" s="1">
        <v>42216</v>
      </c>
      <c r="G39" t="s">
        <v>135</v>
      </c>
      <c r="H39" s="81">
        <v>55113</v>
      </c>
      <c r="I39" t="s">
        <v>6</v>
      </c>
      <c r="J39" s="3">
        <v>3232.82</v>
      </c>
    </row>
    <row r="40" spans="1:10" x14ac:dyDescent="0.25">
      <c r="A40" t="s">
        <v>134</v>
      </c>
      <c r="B40" t="s">
        <v>5</v>
      </c>
      <c r="C40" s="82" t="s">
        <v>135</v>
      </c>
      <c r="D40">
        <v>201508</v>
      </c>
      <c r="E40" s="1">
        <v>42216</v>
      </c>
      <c r="F40" s="1">
        <v>42243</v>
      </c>
      <c r="G40" t="s">
        <v>135</v>
      </c>
      <c r="H40" s="81">
        <v>52462</v>
      </c>
      <c r="I40" t="s">
        <v>6</v>
      </c>
      <c r="J40" s="3">
        <v>3181.25</v>
      </c>
    </row>
    <row r="41" spans="1:10" x14ac:dyDescent="0.25">
      <c r="A41" t="s">
        <v>134</v>
      </c>
      <c r="B41" t="s">
        <v>5</v>
      </c>
      <c r="C41" s="82" t="s">
        <v>135</v>
      </c>
      <c r="D41">
        <v>201509</v>
      </c>
      <c r="E41" s="1">
        <v>42243</v>
      </c>
      <c r="F41" s="1">
        <v>42276</v>
      </c>
      <c r="G41" t="s">
        <v>135</v>
      </c>
      <c r="H41" s="81">
        <v>57087</v>
      </c>
      <c r="I41" t="s">
        <v>6</v>
      </c>
      <c r="J41" s="3">
        <v>3339.87</v>
      </c>
    </row>
    <row r="42" spans="1:10" x14ac:dyDescent="0.25">
      <c r="A42" t="s">
        <v>134</v>
      </c>
      <c r="B42" t="s">
        <v>5</v>
      </c>
      <c r="C42" s="82" t="s">
        <v>135</v>
      </c>
      <c r="D42">
        <v>201510</v>
      </c>
      <c r="E42" s="1">
        <v>42276</v>
      </c>
      <c r="F42" s="1">
        <v>42305</v>
      </c>
      <c r="G42" t="s">
        <v>135</v>
      </c>
      <c r="H42" s="81">
        <v>60031</v>
      </c>
      <c r="I42" t="s">
        <v>6</v>
      </c>
      <c r="J42" s="3">
        <v>3589.55</v>
      </c>
    </row>
    <row r="43" spans="1:10" x14ac:dyDescent="0.25">
      <c r="A43" t="s">
        <v>134</v>
      </c>
      <c r="B43" t="s">
        <v>5</v>
      </c>
      <c r="C43" s="82" t="s">
        <v>135</v>
      </c>
      <c r="D43">
        <v>201511</v>
      </c>
      <c r="E43" s="1">
        <v>42305</v>
      </c>
      <c r="F43" s="1">
        <v>42339</v>
      </c>
      <c r="G43" t="s">
        <v>135</v>
      </c>
      <c r="H43" s="81">
        <v>78991</v>
      </c>
      <c r="I43" t="s">
        <v>6</v>
      </c>
      <c r="J43" s="3">
        <v>4777.78</v>
      </c>
    </row>
    <row r="44" spans="1:10" x14ac:dyDescent="0.25">
      <c r="A44" t="s">
        <v>134</v>
      </c>
      <c r="B44" t="s">
        <v>5</v>
      </c>
      <c r="C44" s="82" t="s">
        <v>135</v>
      </c>
      <c r="D44">
        <v>201512</v>
      </c>
      <c r="E44" s="1">
        <v>42339</v>
      </c>
      <c r="F44" s="1">
        <v>42369</v>
      </c>
      <c r="G44" t="s">
        <v>135</v>
      </c>
      <c r="H44" s="81">
        <v>67971</v>
      </c>
      <c r="I44" t="s">
        <v>6</v>
      </c>
      <c r="J44" s="3">
        <v>4293.88</v>
      </c>
    </row>
    <row r="45" spans="1:10" x14ac:dyDescent="0.25">
      <c r="A45" t="s">
        <v>134</v>
      </c>
      <c r="B45" t="s">
        <v>5</v>
      </c>
      <c r="C45" s="82" t="s">
        <v>135</v>
      </c>
      <c r="D45">
        <v>201601</v>
      </c>
      <c r="E45" s="1">
        <v>42369</v>
      </c>
      <c r="F45" s="1">
        <v>42401</v>
      </c>
      <c r="G45" t="s">
        <v>135</v>
      </c>
      <c r="H45" s="81">
        <v>70890</v>
      </c>
      <c r="I45" t="s">
        <v>6</v>
      </c>
      <c r="J45" s="3">
        <v>4434.66</v>
      </c>
    </row>
    <row r="46" spans="1:10" x14ac:dyDescent="0.25">
      <c r="A46" t="s">
        <v>134</v>
      </c>
      <c r="B46" t="s">
        <v>5</v>
      </c>
      <c r="C46" s="82" t="s">
        <v>135</v>
      </c>
      <c r="D46">
        <v>201602</v>
      </c>
      <c r="E46" s="1">
        <v>42401</v>
      </c>
      <c r="F46" s="1">
        <v>42430</v>
      </c>
      <c r="G46" t="s">
        <v>135</v>
      </c>
      <c r="H46" s="81">
        <v>71929</v>
      </c>
      <c r="I46" t="s">
        <v>6</v>
      </c>
      <c r="J46" s="3">
        <v>4389.7299999999996</v>
      </c>
    </row>
    <row r="47" spans="1:10" x14ac:dyDescent="0.25">
      <c r="A47" t="s">
        <v>134</v>
      </c>
      <c r="B47" t="s">
        <v>5</v>
      </c>
      <c r="C47" s="82" t="s">
        <v>135</v>
      </c>
      <c r="D47">
        <v>201603</v>
      </c>
      <c r="E47" s="1">
        <v>42430</v>
      </c>
      <c r="F47" s="1">
        <v>42460</v>
      </c>
      <c r="G47" t="s">
        <v>135</v>
      </c>
      <c r="H47" s="81">
        <v>62539</v>
      </c>
      <c r="I47" t="s">
        <v>6</v>
      </c>
      <c r="J47" s="3">
        <v>4014.91</v>
      </c>
    </row>
    <row r="48" spans="1:10" x14ac:dyDescent="0.25">
      <c r="A48" t="s">
        <v>134</v>
      </c>
      <c r="B48" t="s">
        <v>5</v>
      </c>
      <c r="C48" s="82" t="s">
        <v>135</v>
      </c>
      <c r="D48">
        <v>201604</v>
      </c>
      <c r="E48" s="1">
        <v>42460</v>
      </c>
      <c r="F48" s="1">
        <v>42489</v>
      </c>
      <c r="G48" t="s">
        <v>135</v>
      </c>
      <c r="H48" s="81">
        <v>61024</v>
      </c>
      <c r="I48" t="s">
        <v>6</v>
      </c>
      <c r="J48" s="3">
        <v>3676.69</v>
      </c>
    </row>
    <row r="49" spans="1:10" x14ac:dyDescent="0.25">
      <c r="A49" t="s">
        <v>134</v>
      </c>
      <c r="B49" t="s">
        <v>5</v>
      </c>
      <c r="C49" s="82" t="s">
        <v>135</v>
      </c>
      <c r="D49">
        <v>201605</v>
      </c>
      <c r="E49" s="1">
        <v>42489</v>
      </c>
      <c r="F49" s="1">
        <v>42521</v>
      </c>
      <c r="G49" t="s">
        <v>135</v>
      </c>
      <c r="H49" s="81">
        <v>59399</v>
      </c>
      <c r="I49" t="s">
        <v>6</v>
      </c>
      <c r="J49" s="3">
        <v>3694.56</v>
      </c>
    </row>
    <row r="50" spans="1:10" x14ac:dyDescent="0.25">
      <c r="A50" t="s">
        <v>134</v>
      </c>
      <c r="B50" t="s">
        <v>5</v>
      </c>
      <c r="C50" s="82" t="s">
        <v>135</v>
      </c>
      <c r="D50">
        <v>201606</v>
      </c>
      <c r="E50" s="1">
        <v>42521</v>
      </c>
      <c r="F50" s="1">
        <v>42550</v>
      </c>
      <c r="G50" t="s">
        <v>135</v>
      </c>
      <c r="H50" s="81">
        <v>46103</v>
      </c>
      <c r="I50" t="s">
        <v>6</v>
      </c>
      <c r="J50" s="3">
        <v>2767.66</v>
      </c>
    </row>
    <row r="51" spans="1:10" x14ac:dyDescent="0.25">
      <c r="A51" t="s">
        <v>139</v>
      </c>
      <c r="B51" t="s">
        <v>5</v>
      </c>
      <c r="C51" s="82" t="s">
        <v>140</v>
      </c>
      <c r="D51">
        <v>201507</v>
      </c>
      <c r="E51" s="1">
        <v>42185</v>
      </c>
      <c r="F51" s="1">
        <v>42216</v>
      </c>
      <c r="G51" t="s">
        <v>141</v>
      </c>
      <c r="H51" s="81">
        <v>114586</v>
      </c>
      <c r="I51" t="s">
        <v>6</v>
      </c>
      <c r="J51" s="3">
        <v>6721.39</v>
      </c>
    </row>
    <row r="52" spans="1:10" x14ac:dyDescent="0.25">
      <c r="A52" t="s">
        <v>139</v>
      </c>
      <c r="B52" t="s">
        <v>5</v>
      </c>
      <c r="C52" s="82" t="s">
        <v>140</v>
      </c>
      <c r="D52">
        <v>201508</v>
      </c>
      <c r="E52" s="1">
        <v>42216</v>
      </c>
      <c r="F52" s="1">
        <v>42243</v>
      </c>
      <c r="G52" t="s">
        <v>141</v>
      </c>
      <c r="H52" s="81">
        <v>89867</v>
      </c>
      <c r="I52" t="s">
        <v>6</v>
      </c>
      <c r="J52" s="3">
        <v>5449.46</v>
      </c>
    </row>
    <row r="53" spans="1:10" x14ac:dyDescent="0.25">
      <c r="A53" t="s">
        <v>139</v>
      </c>
      <c r="B53" t="s">
        <v>5</v>
      </c>
      <c r="C53" s="82" t="s">
        <v>140</v>
      </c>
      <c r="D53">
        <v>201509</v>
      </c>
      <c r="E53" s="1">
        <v>42243</v>
      </c>
      <c r="F53" s="1">
        <v>42276</v>
      </c>
      <c r="G53" t="s">
        <v>141</v>
      </c>
      <c r="H53" s="81">
        <v>181918</v>
      </c>
      <c r="I53" t="s">
        <v>6</v>
      </c>
      <c r="J53" s="3">
        <v>10643.08</v>
      </c>
    </row>
    <row r="54" spans="1:10" x14ac:dyDescent="0.25">
      <c r="A54" t="s">
        <v>139</v>
      </c>
      <c r="B54" t="s">
        <v>5</v>
      </c>
      <c r="C54" s="82" t="s">
        <v>140</v>
      </c>
      <c r="D54">
        <v>201510</v>
      </c>
      <c r="E54" s="1">
        <v>42276</v>
      </c>
      <c r="F54" s="1">
        <v>42305</v>
      </c>
      <c r="G54" t="s">
        <v>141</v>
      </c>
      <c r="H54" s="81">
        <v>117741</v>
      </c>
      <c r="I54" t="s">
        <v>6</v>
      </c>
      <c r="J54" s="3">
        <v>7040.31</v>
      </c>
    </row>
    <row r="55" spans="1:10" x14ac:dyDescent="0.25">
      <c r="A55" t="s">
        <v>139</v>
      </c>
      <c r="B55" t="s">
        <v>5</v>
      </c>
      <c r="C55" s="82" t="s">
        <v>140</v>
      </c>
      <c r="D55">
        <v>201511</v>
      </c>
      <c r="E55" s="1">
        <v>42305</v>
      </c>
      <c r="F55" s="1">
        <v>42339</v>
      </c>
      <c r="G55" t="s">
        <v>141</v>
      </c>
      <c r="H55" s="81">
        <v>186333</v>
      </c>
      <c r="I55" t="s">
        <v>6</v>
      </c>
      <c r="J55" s="3">
        <v>11270.36</v>
      </c>
    </row>
    <row r="56" spans="1:10" x14ac:dyDescent="0.25">
      <c r="A56" t="s">
        <v>139</v>
      </c>
      <c r="B56" t="s">
        <v>5</v>
      </c>
      <c r="C56" s="82" t="s">
        <v>140</v>
      </c>
      <c r="D56">
        <v>201512</v>
      </c>
      <c r="E56" s="1">
        <v>42339</v>
      </c>
      <c r="F56" s="1">
        <v>42369</v>
      </c>
      <c r="G56" t="s">
        <v>141</v>
      </c>
      <c r="H56" s="81">
        <v>172472</v>
      </c>
      <c r="I56" t="s">
        <v>6</v>
      </c>
      <c r="J56" s="3">
        <v>10895.45</v>
      </c>
    </row>
    <row r="57" spans="1:10" x14ac:dyDescent="0.25">
      <c r="A57" t="s">
        <v>139</v>
      </c>
      <c r="B57" t="s">
        <v>5</v>
      </c>
      <c r="C57" s="82" t="s">
        <v>140</v>
      </c>
      <c r="D57">
        <v>201601</v>
      </c>
      <c r="E57" s="1">
        <v>42369</v>
      </c>
      <c r="F57" s="1">
        <v>42401</v>
      </c>
      <c r="G57" t="s">
        <v>141</v>
      </c>
      <c r="H57" s="81">
        <v>238720</v>
      </c>
      <c r="I57" t="s">
        <v>6</v>
      </c>
      <c r="J57" s="3">
        <v>14933.58</v>
      </c>
    </row>
    <row r="58" spans="1:10" x14ac:dyDescent="0.25">
      <c r="A58" t="s">
        <v>139</v>
      </c>
      <c r="B58" t="s">
        <v>5</v>
      </c>
      <c r="C58" s="82" t="s">
        <v>140</v>
      </c>
      <c r="D58">
        <v>201602</v>
      </c>
      <c r="E58" s="1">
        <v>42401</v>
      </c>
      <c r="F58" s="1">
        <v>42430</v>
      </c>
      <c r="G58" t="s">
        <v>141</v>
      </c>
      <c r="H58" s="81">
        <v>192560</v>
      </c>
      <c r="I58" t="s">
        <v>6</v>
      </c>
      <c r="J58" s="3">
        <v>11751.68</v>
      </c>
    </row>
    <row r="59" spans="1:10" x14ac:dyDescent="0.25">
      <c r="A59" t="s">
        <v>139</v>
      </c>
      <c r="B59" t="s">
        <v>5</v>
      </c>
      <c r="C59" s="82" t="s">
        <v>140</v>
      </c>
      <c r="D59">
        <v>201603</v>
      </c>
      <c r="E59" s="1">
        <v>42430</v>
      </c>
      <c r="F59" s="1">
        <v>42460</v>
      </c>
      <c r="G59" t="s">
        <v>141</v>
      </c>
      <c r="H59" s="81">
        <v>144100</v>
      </c>
      <c r="I59" t="s">
        <v>6</v>
      </c>
      <c r="J59" s="3">
        <v>9251.01</v>
      </c>
    </row>
    <row r="60" spans="1:10" x14ac:dyDescent="0.25">
      <c r="A60" t="s">
        <v>139</v>
      </c>
      <c r="B60" t="s">
        <v>5</v>
      </c>
      <c r="C60" s="82" t="s">
        <v>140</v>
      </c>
      <c r="D60">
        <v>201604</v>
      </c>
      <c r="E60" s="1">
        <v>42460</v>
      </c>
      <c r="F60" s="1">
        <v>42489</v>
      </c>
      <c r="G60" t="s">
        <v>141</v>
      </c>
      <c r="H60" s="81">
        <v>188081</v>
      </c>
      <c r="I60" t="s">
        <v>6</v>
      </c>
      <c r="J60" s="3">
        <v>11331.88</v>
      </c>
    </row>
    <row r="61" spans="1:10" x14ac:dyDescent="0.25">
      <c r="A61" t="s">
        <v>139</v>
      </c>
      <c r="B61" t="s">
        <v>5</v>
      </c>
      <c r="C61" s="82" t="s">
        <v>140</v>
      </c>
      <c r="D61">
        <v>201605</v>
      </c>
      <c r="E61" s="1">
        <v>42489</v>
      </c>
      <c r="F61" s="1">
        <v>42521</v>
      </c>
      <c r="G61" t="s">
        <v>141</v>
      </c>
      <c r="H61" s="81">
        <v>171333</v>
      </c>
      <c r="I61" t="s">
        <v>6</v>
      </c>
      <c r="J61" s="3">
        <v>10656.75</v>
      </c>
    </row>
    <row r="62" spans="1:10" x14ac:dyDescent="0.25">
      <c r="A62" t="s">
        <v>139</v>
      </c>
      <c r="B62" t="s">
        <v>5</v>
      </c>
      <c r="C62" s="82" t="s">
        <v>140</v>
      </c>
      <c r="D62">
        <v>201606</v>
      </c>
      <c r="E62" s="1">
        <v>42521</v>
      </c>
      <c r="F62" s="1">
        <v>42550</v>
      </c>
      <c r="G62" t="s">
        <v>141</v>
      </c>
      <c r="H62" s="81">
        <v>183781</v>
      </c>
      <c r="I62" t="s">
        <v>6</v>
      </c>
      <c r="J62" s="3">
        <v>11032.75</v>
      </c>
    </row>
    <row r="63" spans="1:10" x14ac:dyDescent="0.25">
      <c r="A63" t="s">
        <v>4</v>
      </c>
      <c r="B63" t="s">
        <v>5</v>
      </c>
      <c r="C63" s="82">
        <v>8146352508</v>
      </c>
      <c r="D63">
        <v>201507</v>
      </c>
      <c r="E63" s="1">
        <v>42185</v>
      </c>
      <c r="F63" s="1">
        <v>42215</v>
      </c>
      <c r="G63" t="s">
        <v>634</v>
      </c>
      <c r="H63" s="81">
        <v>114720</v>
      </c>
      <c r="I63" t="s">
        <v>6</v>
      </c>
      <c r="J63" s="3">
        <v>7586.75</v>
      </c>
    </row>
    <row r="64" spans="1:10" x14ac:dyDescent="0.25">
      <c r="A64" t="s">
        <v>4</v>
      </c>
      <c r="B64" t="s">
        <v>5</v>
      </c>
      <c r="C64" s="82">
        <v>8146352508</v>
      </c>
      <c r="D64">
        <v>201508</v>
      </c>
      <c r="E64" s="1">
        <v>42215</v>
      </c>
      <c r="F64" s="1">
        <v>42244</v>
      </c>
      <c r="G64" t="s">
        <v>634</v>
      </c>
      <c r="H64" s="81">
        <v>110640</v>
      </c>
      <c r="I64" t="s">
        <v>6</v>
      </c>
      <c r="J64" s="3">
        <v>7393.51</v>
      </c>
    </row>
    <row r="65" spans="1:10" x14ac:dyDescent="0.25">
      <c r="A65" t="s">
        <v>4</v>
      </c>
      <c r="B65" t="s">
        <v>5</v>
      </c>
      <c r="C65" s="82">
        <v>8146352508</v>
      </c>
      <c r="D65">
        <v>201509</v>
      </c>
      <c r="E65" s="1">
        <v>42244</v>
      </c>
      <c r="F65" s="1">
        <v>42276</v>
      </c>
      <c r="G65" t="s">
        <v>634</v>
      </c>
      <c r="H65" s="81">
        <v>126960</v>
      </c>
      <c r="I65" t="s">
        <v>6</v>
      </c>
      <c r="J65" s="3">
        <v>8374.32</v>
      </c>
    </row>
    <row r="66" spans="1:10" x14ac:dyDescent="0.25">
      <c r="A66" t="s">
        <v>4</v>
      </c>
      <c r="B66" t="s">
        <v>5</v>
      </c>
      <c r="C66" s="82">
        <v>8146352508</v>
      </c>
      <c r="D66">
        <v>201510</v>
      </c>
      <c r="E66" s="1">
        <v>42276</v>
      </c>
      <c r="F66" s="1">
        <v>42306</v>
      </c>
      <c r="G66" t="s">
        <v>634</v>
      </c>
      <c r="H66" s="81">
        <v>114000</v>
      </c>
      <c r="I66" t="s">
        <v>6</v>
      </c>
      <c r="J66" s="3">
        <v>7402</v>
      </c>
    </row>
    <row r="67" spans="1:10" x14ac:dyDescent="0.25">
      <c r="A67" t="s">
        <v>4</v>
      </c>
      <c r="B67" t="s">
        <v>5</v>
      </c>
      <c r="C67" s="82">
        <v>8146352508</v>
      </c>
      <c r="D67">
        <v>201511</v>
      </c>
      <c r="E67" s="1">
        <v>42306</v>
      </c>
      <c r="F67" s="1">
        <v>42340</v>
      </c>
      <c r="G67" t="s">
        <v>634</v>
      </c>
      <c r="H67" s="81">
        <v>121920</v>
      </c>
      <c r="I67" t="s">
        <v>6</v>
      </c>
      <c r="J67" s="3">
        <v>8081.85</v>
      </c>
    </row>
    <row r="68" spans="1:10" x14ac:dyDescent="0.25">
      <c r="A68" t="s">
        <v>4</v>
      </c>
      <c r="B68" t="s">
        <v>5</v>
      </c>
      <c r="C68" s="82">
        <v>8146352508</v>
      </c>
      <c r="D68">
        <v>201512</v>
      </c>
      <c r="E68" s="1">
        <v>42340</v>
      </c>
      <c r="F68" s="1">
        <v>42373</v>
      </c>
      <c r="G68" t="s">
        <v>634</v>
      </c>
      <c r="H68" s="81">
        <v>97200</v>
      </c>
      <c r="I68" t="s">
        <v>6</v>
      </c>
      <c r="J68" s="3">
        <v>6986.94</v>
      </c>
    </row>
    <row r="69" spans="1:10" x14ac:dyDescent="0.25">
      <c r="A69" t="s">
        <v>4</v>
      </c>
      <c r="B69" t="s">
        <v>5</v>
      </c>
      <c r="C69" s="82">
        <v>8146352508</v>
      </c>
      <c r="D69">
        <v>201601</v>
      </c>
      <c r="E69" s="1">
        <v>42373</v>
      </c>
      <c r="F69" s="1">
        <v>42402</v>
      </c>
      <c r="G69" t="s">
        <v>634</v>
      </c>
      <c r="H69" s="81">
        <v>112320</v>
      </c>
      <c r="I69" t="s">
        <v>6</v>
      </c>
      <c r="J69" s="3">
        <v>7340.04</v>
      </c>
    </row>
    <row r="70" spans="1:10" x14ac:dyDescent="0.25">
      <c r="A70" t="s">
        <v>4</v>
      </c>
      <c r="B70" t="s">
        <v>5</v>
      </c>
      <c r="C70" s="82">
        <v>8146352508</v>
      </c>
      <c r="D70">
        <v>201602</v>
      </c>
      <c r="E70" s="1">
        <v>42402</v>
      </c>
      <c r="F70" s="1">
        <v>42429</v>
      </c>
      <c r="G70" t="s">
        <v>634</v>
      </c>
      <c r="H70" s="81">
        <v>110400</v>
      </c>
      <c r="I70" t="s">
        <v>6</v>
      </c>
      <c r="J70" s="3">
        <v>6948.77</v>
      </c>
    </row>
    <row r="71" spans="1:10" x14ac:dyDescent="0.25">
      <c r="A71" t="s">
        <v>4</v>
      </c>
      <c r="B71" t="s">
        <v>5</v>
      </c>
      <c r="C71" s="82">
        <v>8146352508</v>
      </c>
      <c r="D71">
        <v>201603</v>
      </c>
      <c r="E71" s="1">
        <v>42429</v>
      </c>
      <c r="F71" s="1">
        <v>42461</v>
      </c>
      <c r="G71" t="s">
        <v>634</v>
      </c>
      <c r="H71" s="81">
        <v>118080</v>
      </c>
      <c r="I71" t="s">
        <v>6</v>
      </c>
      <c r="J71" s="3">
        <v>7665.39</v>
      </c>
    </row>
    <row r="72" spans="1:10" x14ac:dyDescent="0.25">
      <c r="A72" t="s">
        <v>4</v>
      </c>
      <c r="B72" t="s">
        <v>5</v>
      </c>
      <c r="C72" s="82">
        <v>8146352508</v>
      </c>
      <c r="D72">
        <v>201604</v>
      </c>
      <c r="E72" s="1">
        <v>42461</v>
      </c>
      <c r="F72" s="1">
        <v>42489</v>
      </c>
      <c r="G72" t="s">
        <v>634</v>
      </c>
      <c r="H72" s="81">
        <v>101280</v>
      </c>
      <c r="I72" t="s">
        <v>6</v>
      </c>
      <c r="J72" s="3">
        <v>6652.79</v>
      </c>
    </row>
    <row r="73" spans="1:10" x14ac:dyDescent="0.25">
      <c r="A73" t="s">
        <v>4</v>
      </c>
      <c r="B73" t="s">
        <v>5</v>
      </c>
      <c r="C73" s="82">
        <v>8146352508</v>
      </c>
      <c r="D73">
        <v>201605</v>
      </c>
      <c r="E73" s="1">
        <v>42489</v>
      </c>
      <c r="F73" s="1">
        <v>42521</v>
      </c>
      <c r="G73" t="s">
        <v>634</v>
      </c>
      <c r="H73" s="81">
        <v>103920</v>
      </c>
      <c r="I73" t="s">
        <v>6</v>
      </c>
      <c r="J73" s="3">
        <v>7171.51</v>
      </c>
    </row>
    <row r="74" spans="1:10" x14ac:dyDescent="0.25">
      <c r="A74" t="s">
        <v>4</v>
      </c>
      <c r="B74" t="s">
        <v>5</v>
      </c>
      <c r="C74" s="82">
        <v>8146352508</v>
      </c>
      <c r="D74">
        <v>201606</v>
      </c>
      <c r="E74" s="1">
        <v>42521</v>
      </c>
      <c r="F74" s="1">
        <v>42550</v>
      </c>
      <c r="G74" t="s">
        <v>634</v>
      </c>
      <c r="H74" s="81">
        <v>98160</v>
      </c>
      <c r="I74" t="s">
        <v>6</v>
      </c>
      <c r="J74" s="3">
        <v>6672.67</v>
      </c>
    </row>
    <row r="75" spans="1:10" x14ac:dyDescent="0.25">
      <c r="A75" t="s">
        <v>4</v>
      </c>
      <c r="B75" t="s">
        <v>5</v>
      </c>
      <c r="C75" s="82">
        <v>4602800007</v>
      </c>
      <c r="D75">
        <v>201507</v>
      </c>
      <c r="E75" s="1">
        <v>42185</v>
      </c>
      <c r="F75" s="1">
        <v>42216</v>
      </c>
      <c r="G75" t="s">
        <v>636</v>
      </c>
      <c r="H75" s="81">
        <v>4416</v>
      </c>
      <c r="I75" t="s">
        <v>6</v>
      </c>
      <c r="J75" s="3">
        <v>430.05</v>
      </c>
    </row>
    <row r="76" spans="1:10" x14ac:dyDescent="0.25">
      <c r="A76" t="s">
        <v>4</v>
      </c>
      <c r="B76" t="s">
        <v>5</v>
      </c>
      <c r="C76" s="82">
        <v>4602800007</v>
      </c>
      <c r="D76">
        <v>201508</v>
      </c>
      <c r="E76" s="1">
        <v>42216</v>
      </c>
      <c r="F76" s="1">
        <v>42247</v>
      </c>
      <c r="G76" t="s">
        <v>636</v>
      </c>
      <c r="H76" s="81">
        <v>4224</v>
      </c>
      <c r="I76" t="s">
        <v>6</v>
      </c>
      <c r="J76" s="3">
        <v>417.25</v>
      </c>
    </row>
    <row r="77" spans="1:10" x14ac:dyDescent="0.25">
      <c r="A77" t="s">
        <v>4</v>
      </c>
      <c r="B77" t="s">
        <v>5</v>
      </c>
      <c r="C77" s="82">
        <v>4602800007</v>
      </c>
      <c r="D77">
        <v>201509</v>
      </c>
      <c r="E77" s="1">
        <v>42247</v>
      </c>
      <c r="F77" s="1">
        <v>42276</v>
      </c>
      <c r="G77" t="s">
        <v>636</v>
      </c>
      <c r="H77" s="81">
        <v>11904</v>
      </c>
      <c r="I77" t="s">
        <v>6</v>
      </c>
      <c r="J77" s="3">
        <v>1099.73</v>
      </c>
    </row>
    <row r="78" spans="1:10" x14ac:dyDescent="0.25">
      <c r="A78" t="s">
        <v>4</v>
      </c>
      <c r="B78" t="s">
        <v>5</v>
      </c>
      <c r="C78" s="82">
        <v>4602800007</v>
      </c>
      <c r="D78">
        <v>201510</v>
      </c>
      <c r="E78" s="1">
        <v>42276</v>
      </c>
      <c r="F78" s="1">
        <v>42306</v>
      </c>
      <c r="G78" t="s">
        <v>636</v>
      </c>
      <c r="H78" s="81">
        <v>14208</v>
      </c>
      <c r="I78" t="s">
        <v>6</v>
      </c>
      <c r="J78" s="3">
        <v>1434.03</v>
      </c>
    </row>
    <row r="79" spans="1:10" x14ac:dyDescent="0.25">
      <c r="A79" t="s">
        <v>4</v>
      </c>
      <c r="B79" t="s">
        <v>5</v>
      </c>
      <c r="C79" s="82">
        <v>4602800007</v>
      </c>
      <c r="D79">
        <v>201511</v>
      </c>
      <c r="E79" s="1">
        <v>42306</v>
      </c>
      <c r="F79" s="1">
        <v>42340</v>
      </c>
      <c r="G79" t="s">
        <v>636</v>
      </c>
      <c r="H79" s="81">
        <v>13824</v>
      </c>
      <c r="I79" t="s">
        <v>6</v>
      </c>
      <c r="J79" s="3">
        <v>1265.74</v>
      </c>
    </row>
    <row r="80" spans="1:10" x14ac:dyDescent="0.25">
      <c r="A80" t="s">
        <v>4</v>
      </c>
      <c r="B80" t="s">
        <v>5</v>
      </c>
      <c r="C80" s="82">
        <v>4602800007</v>
      </c>
      <c r="D80">
        <v>201512</v>
      </c>
      <c r="E80" s="1">
        <v>42340</v>
      </c>
      <c r="F80" s="1">
        <v>42373</v>
      </c>
      <c r="G80" t="s">
        <v>636</v>
      </c>
      <c r="H80" s="81">
        <v>6336</v>
      </c>
      <c r="I80" t="s">
        <v>6</v>
      </c>
      <c r="J80" s="3">
        <v>572.39</v>
      </c>
    </row>
    <row r="81" spans="1:10" x14ac:dyDescent="0.25">
      <c r="A81" t="s">
        <v>4</v>
      </c>
      <c r="B81" t="s">
        <v>5</v>
      </c>
      <c r="C81" s="82">
        <v>4602800007</v>
      </c>
      <c r="D81">
        <v>201601</v>
      </c>
      <c r="E81" s="1">
        <v>42373</v>
      </c>
      <c r="F81" s="1">
        <v>42403</v>
      </c>
      <c r="G81" t="s">
        <v>636</v>
      </c>
      <c r="H81" s="81">
        <v>9408</v>
      </c>
      <c r="I81" t="s">
        <v>6</v>
      </c>
      <c r="J81" s="3">
        <v>1019.96</v>
      </c>
    </row>
    <row r="82" spans="1:10" x14ac:dyDescent="0.25">
      <c r="A82" t="s">
        <v>4</v>
      </c>
      <c r="B82" t="s">
        <v>5</v>
      </c>
      <c r="C82" s="82">
        <v>4602800007</v>
      </c>
      <c r="D82">
        <v>201602</v>
      </c>
      <c r="E82" s="1">
        <v>42403</v>
      </c>
      <c r="F82" s="1">
        <v>42429</v>
      </c>
      <c r="G82" t="s">
        <v>636</v>
      </c>
      <c r="H82" s="81">
        <v>9216</v>
      </c>
      <c r="I82" t="s">
        <v>6</v>
      </c>
      <c r="J82" s="3">
        <v>842.34</v>
      </c>
    </row>
    <row r="83" spans="1:10" x14ac:dyDescent="0.25">
      <c r="A83" t="s">
        <v>4</v>
      </c>
      <c r="B83" t="s">
        <v>5</v>
      </c>
      <c r="C83" s="82">
        <v>4602800007</v>
      </c>
      <c r="D83">
        <v>201603</v>
      </c>
      <c r="E83" s="1">
        <v>42429</v>
      </c>
      <c r="F83" s="1">
        <v>42464</v>
      </c>
      <c r="G83" t="s">
        <v>636</v>
      </c>
      <c r="H83" s="81">
        <v>15552</v>
      </c>
      <c r="I83" t="s">
        <v>6</v>
      </c>
      <c r="J83" s="3">
        <v>1556.27</v>
      </c>
    </row>
    <row r="84" spans="1:10" x14ac:dyDescent="0.25">
      <c r="A84" t="s">
        <v>4</v>
      </c>
      <c r="B84" t="s">
        <v>5</v>
      </c>
      <c r="C84" s="82">
        <v>4602800007</v>
      </c>
      <c r="D84">
        <v>201604</v>
      </c>
      <c r="E84" s="1">
        <v>42464</v>
      </c>
      <c r="F84" s="1">
        <v>42492</v>
      </c>
      <c r="G84" t="s">
        <v>636</v>
      </c>
      <c r="H84" s="81">
        <v>17664</v>
      </c>
      <c r="I84" t="s">
        <v>6</v>
      </c>
      <c r="J84" s="3">
        <v>1762.6</v>
      </c>
    </row>
    <row r="85" spans="1:10" x14ac:dyDescent="0.25">
      <c r="A85" t="s">
        <v>4</v>
      </c>
      <c r="B85" t="s">
        <v>5</v>
      </c>
      <c r="C85" s="82">
        <v>4602800007</v>
      </c>
      <c r="D85">
        <v>201605</v>
      </c>
      <c r="E85" s="1">
        <v>42492</v>
      </c>
      <c r="F85" s="1">
        <v>42521</v>
      </c>
      <c r="G85" t="s">
        <v>636</v>
      </c>
      <c r="H85" s="81">
        <v>6528</v>
      </c>
      <c r="I85" t="s">
        <v>6</v>
      </c>
      <c r="J85" s="3">
        <v>595.29</v>
      </c>
    </row>
    <row r="86" spans="1:10" x14ac:dyDescent="0.25">
      <c r="A86" t="s">
        <v>4</v>
      </c>
      <c r="B86" t="s">
        <v>5</v>
      </c>
      <c r="C86" s="82">
        <v>4602800007</v>
      </c>
      <c r="D86">
        <v>201606</v>
      </c>
      <c r="E86" s="1">
        <v>42521</v>
      </c>
      <c r="F86" s="1">
        <v>42549</v>
      </c>
      <c r="G86" t="s">
        <v>636</v>
      </c>
      <c r="H86" s="81">
        <v>5760</v>
      </c>
      <c r="I86" t="s">
        <v>6</v>
      </c>
      <c r="J86" s="3">
        <v>550.66</v>
      </c>
    </row>
    <row r="87" spans="1:10" x14ac:dyDescent="0.25">
      <c r="A87" t="s">
        <v>4</v>
      </c>
      <c r="B87" t="s">
        <v>5</v>
      </c>
      <c r="C87" s="82">
        <v>9988862331</v>
      </c>
      <c r="D87">
        <v>201507</v>
      </c>
      <c r="E87" s="1">
        <v>42185</v>
      </c>
      <c r="F87" s="1">
        <v>42216</v>
      </c>
      <c r="G87" t="s">
        <v>637</v>
      </c>
      <c r="H87" s="81">
        <v>320</v>
      </c>
      <c r="I87" t="s">
        <v>6</v>
      </c>
      <c r="J87" s="3">
        <v>38.83</v>
      </c>
    </row>
    <row r="88" spans="1:10" x14ac:dyDescent="0.25">
      <c r="A88" t="s">
        <v>4</v>
      </c>
      <c r="B88" t="s">
        <v>5</v>
      </c>
      <c r="C88" s="82">
        <v>9988862331</v>
      </c>
      <c r="D88">
        <v>201508</v>
      </c>
      <c r="E88" s="1">
        <v>42216</v>
      </c>
      <c r="F88" s="1">
        <v>42244</v>
      </c>
      <c r="G88" t="s">
        <v>637</v>
      </c>
      <c r="H88" s="81">
        <v>3320</v>
      </c>
      <c r="I88" t="s">
        <v>6</v>
      </c>
      <c r="J88" s="3">
        <v>669.7</v>
      </c>
    </row>
    <row r="89" spans="1:10" x14ac:dyDescent="0.25">
      <c r="A89" t="s">
        <v>4</v>
      </c>
      <c r="B89" t="s">
        <v>5</v>
      </c>
      <c r="C89" s="82">
        <v>9988862331</v>
      </c>
      <c r="D89">
        <v>201509</v>
      </c>
      <c r="E89" s="1">
        <v>42244</v>
      </c>
      <c r="F89" s="1">
        <v>42276</v>
      </c>
      <c r="G89" t="s">
        <v>637</v>
      </c>
      <c r="H89" s="81">
        <v>6960</v>
      </c>
      <c r="I89" t="s">
        <v>6</v>
      </c>
      <c r="J89" s="3">
        <v>914.46</v>
      </c>
    </row>
    <row r="90" spans="1:10" x14ac:dyDescent="0.25">
      <c r="A90" t="s">
        <v>4</v>
      </c>
      <c r="B90" t="s">
        <v>5</v>
      </c>
      <c r="C90" s="82">
        <v>9988862331</v>
      </c>
      <c r="D90">
        <v>201510</v>
      </c>
      <c r="E90" s="1">
        <v>42276</v>
      </c>
      <c r="F90" s="1">
        <v>42307</v>
      </c>
      <c r="G90" t="s">
        <v>637</v>
      </c>
      <c r="H90" s="81">
        <v>5960</v>
      </c>
      <c r="I90" t="s">
        <v>6</v>
      </c>
      <c r="J90" s="3">
        <v>822.95</v>
      </c>
    </row>
    <row r="91" spans="1:10" x14ac:dyDescent="0.25">
      <c r="A91" t="s">
        <v>4</v>
      </c>
      <c r="B91" t="s">
        <v>5</v>
      </c>
      <c r="C91" s="82">
        <v>9988862331</v>
      </c>
      <c r="D91">
        <v>201511</v>
      </c>
      <c r="E91" s="1">
        <v>42307</v>
      </c>
      <c r="F91" s="1">
        <v>42340</v>
      </c>
      <c r="G91" t="s">
        <v>637</v>
      </c>
      <c r="H91" s="81">
        <v>5920</v>
      </c>
      <c r="I91" t="s">
        <v>6</v>
      </c>
      <c r="J91" s="3">
        <v>821.58</v>
      </c>
    </row>
    <row r="92" spans="1:10" x14ac:dyDescent="0.25">
      <c r="A92" t="s">
        <v>4</v>
      </c>
      <c r="B92" t="s">
        <v>5</v>
      </c>
      <c r="C92" s="82">
        <v>9988862331</v>
      </c>
      <c r="D92">
        <v>201512</v>
      </c>
      <c r="E92" s="1">
        <v>42340</v>
      </c>
      <c r="F92" s="1">
        <v>42373</v>
      </c>
      <c r="G92" t="s">
        <v>637</v>
      </c>
      <c r="H92" s="81">
        <v>600</v>
      </c>
      <c r="I92" t="s">
        <v>6</v>
      </c>
      <c r="J92" s="3">
        <v>63.39</v>
      </c>
    </row>
    <row r="93" spans="1:10" x14ac:dyDescent="0.25">
      <c r="A93" t="s">
        <v>4</v>
      </c>
      <c r="B93" t="s">
        <v>5</v>
      </c>
      <c r="C93" s="82">
        <v>9988862331</v>
      </c>
      <c r="D93">
        <v>201601</v>
      </c>
      <c r="E93" s="1">
        <v>42373</v>
      </c>
      <c r="F93" s="1">
        <v>42402</v>
      </c>
      <c r="G93" t="s">
        <v>637</v>
      </c>
      <c r="H93" s="81">
        <v>2480</v>
      </c>
      <c r="I93" t="s">
        <v>6</v>
      </c>
      <c r="J93" s="3">
        <v>654.29999999999995</v>
      </c>
    </row>
    <row r="94" spans="1:10" x14ac:dyDescent="0.25">
      <c r="A94" t="s">
        <v>4</v>
      </c>
      <c r="B94" t="s">
        <v>5</v>
      </c>
      <c r="C94" s="82">
        <v>9988862331</v>
      </c>
      <c r="D94">
        <v>201602</v>
      </c>
      <c r="E94" s="1">
        <v>42402</v>
      </c>
      <c r="F94" s="1">
        <v>42429</v>
      </c>
      <c r="G94" t="s">
        <v>637</v>
      </c>
      <c r="H94" s="81">
        <v>2040</v>
      </c>
      <c r="I94" t="s">
        <v>6</v>
      </c>
      <c r="J94" s="3">
        <v>671.72</v>
      </c>
    </row>
    <row r="95" spans="1:10" x14ac:dyDescent="0.25">
      <c r="A95" t="s">
        <v>4</v>
      </c>
      <c r="B95" t="s">
        <v>5</v>
      </c>
      <c r="C95" s="82">
        <v>9988862331</v>
      </c>
      <c r="D95">
        <v>201603</v>
      </c>
      <c r="E95" s="1">
        <v>42429</v>
      </c>
      <c r="F95" s="1">
        <v>42464</v>
      </c>
      <c r="G95" t="s">
        <v>637</v>
      </c>
      <c r="H95" s="81">
        <v>3000</v>
      </c>
      <c r="I95" t="s">
        <v>6</v>
      </c>
      <c r="J95" s="3">
        <v>669.15</v>
      </c>
    </row>
    <row r="96" spans="1:10" x14ac:dyDescent="0.25">
      <c r="A96" t="s">
        <v>4</v>
      </c>
      <c r="B96" t="s">
        <v>5</v>
      </c>
      <c r="C96" s="82">
        <v>9988862331</v>
      </c>
      <c r="D96">
        <v>201604</v>
      </c>
      <c r="E96" s="1">
        <v>42464</v>
      </c>
      <c r="F96" s="1">
        <v>42492</v>
      </c>
      <c r="G96" t="s">
        <v>637</v>
      </c>
      <c r="H96" s="81">
        <v>2520</v>
      </c>
      <c r="I96" t="s">
        <v>6</v>
      </c>
      <c r="J96" s="3">
        <v>674.82</v>
      </c>
    </row>
    <row r="97" spans="1:10" x14ac:dyDescent="0.25">
      <c r="A97" t="s">
        <v>4</v>
      </c>
      <c r="B97" t="s">
        <v>5</v>
      </c>
      <c r="C97" s="82">
        <v>9988862331</v>
      </c>
      <c r="D97">
        <v>201605</v>
      </c>
      <c r="E97" s="1">
        <v>42492</v>
      </c>
      <c r="F97" s="1">
        <v>42521</v>
      </c>
      <c r="G97" t="s">
        <v>637</v>
      </c>
      <c r="H97" s="81">
        <v>1320</v>
      </c>
      <c r="I97" t="s">
        <v>6</v>
      </c>
      <c r="J97" s="3">
        <v>639.23</v>
      </c>
    </row>
    <row r="98" spans="1:10" x14ac:dyDescent="0.25">
      <c r="A98" t="s">
        <v>4</v>
      </c>
      <c r="B98" t="s">
        <v>5</v>
      </c>
      <c r="C98" s="82">
        <v>9988862331</v>
      </c>
      <c r="D98">
        <v>201606</v>
      </c>
      <c r="E98" s="1">
        <v>42521</v>
      </c>
      <c r="F98" s="1">
        <v>42549</v>
      </c>
      <c r="G98" t="s">
        <v>637</v>
      </c>
      <c r="H98" s="81">
        <v>320</v>
      </c>
      <c r="I98" t="s">
        <v>6</v>
      </c>
      <c r="J98" s="3">
        <v>638.86</v>
      </c>
    </row>
    <row r="99" spans="1:10" x14ac:dyDescent="0.25">
      <c r="A99" t="s">
        <v>4</v>
      </c>
      <c r="B99" t="s">
        <v>5</v>
      </c>
      <c r="C99" s="82" t="s">
        <v>638</v>
      </c>
      <c r="D99">
        <v>201507</v>
      </c>
      <c r="E99" s="1">
        <v>42185</v>
      </c>
      <c r="F99" s="1">
        <v>42216</v>
      </c>
      <c r="G99" t="s">
        <v>638</v>
      </c>
      <c r="H99" s="81">
        <v>115936</v>
      </c>
      <c r="I99" t="s">
        <v>6</v>
      </c>
      <c r="J99" s="3">
        <v>6800.58</v>
      </c>
    </row>
    <row r="100" spans="1:10" x14ac:dyDescent="0.25">
      <c r="A100" t="s">
        <v>4</v>
      </c>
      <c r="B100" t="s">
        <v>5</v>
      </c>
      <c r="C100" s="82" t="s">
        <v>638</v>
      </c>
      <c r="D100">
        <v>201508</v>
      </c>
      <c r="E100" s="1">
        <v>42216</v>
      </c>
      <c r="F100" s="1">
        <v>42243</v>
      </c>
      <c r="G100" t="s">
        <v>638</v>
      </c>
      <c r="H100" s="81">
        <v>103679</v>
      </c>
      <c r="I100" t="s">
        <v>6</v>
      </c>
      <c r="J100" s="3">
        <v>6287.01</v>
      </c>
    </row>
    <row r="101" spans="1:10" x14ac:dyDescent="0.25">
      <c r="A101" t="s">
        <v>4</v>
      </c>
      <c r="B101" t="s">
        <v>5</v>
      </c>
      <c r="C101" s="82" t="s">
        <v>638</v>
      </c>
      <c r="D101">
        <v>201509</v>
      </c>
      <c r="E101" s="1">
        <v>42243</v>
      </c>
      <c r="F101" s="1">
        <v>42276</v>
      </c>
      <c r="G101" t="s">
        <v>638</v>
      </c>
      <c r="H101" s="81">
        <v>130589</v>
      </c>
      <c r="I101" t="s">
        <v>6</v>
      </c>
      <c r="J101" s="3">
        <v>7640.09</v>
      </c>
    </row>
    <row r="102" spans="1:10" x14ac:dyDescent="0.25">
      <c r="A102" t="s">
        <v>4</v>
      </c>
      <c r="B102" t="s">
        <v>5</v>
      </c>
      <c r="C102" s="82" t="s">
        <v>638</v>
      </c>
      <c r="D102">
        <v>201510</v>
      </c>
      <c r="E102" s="1">
        <v>42276</v>
      </c>
      <c r="F102" s="1">
        <v>42305</v>
      </c>
      <c r="G102" t="s">
        <v>638</v>
      </c>
      <c r="H102" s="81">
        <v>110240</v>
      </c>
      <c r="I102" t="s">
        <v>6</v>
      </c>
      <c r="J102" s="3">
        <v>6591.79</v>
      </c>
    </row>
    <row r="103" spans="1:10" x14ac:dyDescent="0.25">
      <c r="A103" t="s">
        <v>4</v>
      </c>
      <c r="B103" t="s">
        <v>5</v>
      </c>
      <c r="C103" s="82" t="s">
        <v>638</v>
      </c>
      <c r="D103">
        <v>201511</v>
      </c>
      <c r="E103" s="1">
        <v>42305</v>
      </c>
      <c r="F103" s="1">
        <v>42339</v>
      </c>
      <c r="G103" t="s">
        <v>638</v>
      </c>
      <c r="H103" s="81">
        <v>123105</v>
      </c>
      <c r="I103" t="s">
        <v>6</v>
      </c>
      <c r="J103" s="3">
        <v>7446.01</v>
      </c>
    </row>
    <row r="104" spans="1:10" x14ac:dyDescent="0.25">
      <c r="A104" t="s">
        <v>4</v>
      </c>
      <c r="B104" t="s">
        <v>5</v>
      </c>
      <c r="C104" s="82" t="s">
        <v>638</v>
      </c>
      <c r="D104">
        <v>201512</v>
      </c>
      <c r="E104" s="1">
        <v>42339</v>
      </c>
      <c r="F104" s="1">
        <v>42369</v>
      </c>
      <c r="G104" t="s">
        <v>638</v>
      </c>
      <c r="H104" s="81">
        <v>91354</v>
      </c>
      <c r="I104" t="s">
        <v>6</v>
      </c>
      <c r="J104" s="3">
        <v>5771.04</v>
      </c>
    </row>
    <row r="105" spans="1:10" x14ac:dyDescent="0.25">
      <c r="A105" t="s">
        <v>4</v>
      </c>
      <c r="B105" t="s">
        <v>5</v>
      </c>
      <c r="C105" s="82" t="s">
        <v>638</v>
      </c>
      <c r="D105">
        <v>201601</v>
      </c>
      <c r="E105" s="1">
        <v>42369</v>
      </c>
      <c r="F105" s="1">
        <v>42401</v>
      </c>
      <c r="G105" t="s">
        <v>638</v>
      </c>
      <c r="H105" s="81">
        <v>117682</v>
      </c>
      <c r="I105" t="s">
        <v>6</v>
      </c>
      <c r="J105" s="3">
        <v>7361.82</v>
      </c>
    </row>
    <row r="106" spans="1:10" x14ac:dyDescent="0.25">
      <c r="A106" t="s">
        <v>4</v>
      </c>
      <c r="B106" t="s">
        <v>5</v>
      </c>
      <c r="C106" s="82" t="s">
        <v>638</v>
      </c>
      <c r="D106">
        <v>201602</v>
      </c>
      <c r="E106" s="1">
        <v>42401</v>
      </c>
      <c r="F106" s="1">
        <v>42430</v>
      </c>
      <c r="G106" t="s">
        <v>638</v>
      </c>
      <c r="H106" s="81">
        <v>120168</v>
      </c>
      <c r="I106" t="s">
        <v>6</v>
      </c>
      <c r="J106" s="3">
        <v>7333.69</v>
      </c>
    </row>
    <row r="107" spans="1:10" x14ac:dyDescent="0.25">
      <c r="A107" t="s">
        <v>4</v>
      </c>
      <c r="B107" t="s">
        <v>5</v>
      </c>
      <c r="C107" s="82" t="s">
        <v>638</v>
      </c>
      <c r="D107">
        <v>201603</v>
      </c>
      <c r="E107" s="1">
        <v>42430</v>
      </c>
      <c r="F107" s="1">
        <v>42460</v>
      </c>
      <c r="G107" t="s">
        <v>638</v>
      </c>
      <c r="H107" s="81">
        <v>111369</v>
      </c>
      <c r="I107" t="s">
        <v>6</v>
      </c>
      <c r="J107" s="3">
        <v>7149.72</v>
      </c>
    </row>
    <row r="108" spans="1:10" x14ac:dyDescent="0.25">
      <c r="A108" t="s">
        <v>4</v>
      </c>
      <c r="B108" t="s">
        <v>5</v>
      </c>
      <c r="C108" s="82" t="s">
        <v>638</v>
      </c>
      <c r="D108">
        <v>201604</v>
      </c>
      <c r="E108" s="1">
        <v>42460</v>
      </c>
      <c r="F108" s="1">
        <v>42489</v>
      </c>
      <c r="G108" t="s">
        <v>638</v>
      </c>
      <c r="H108" s="81">
        <v>105667</v>
      </c>
      <c r="I108" t="s">
        <v>6</v>
      </c>
      <c r="J108" s="3">
        <v>6366.43</v>
      </c>
    </row>
    <row r="109" spans="1:10" x14ac:dyDescent="0.25">
      <c r="A109" t="s">
        <v>4</v>
      </c>
      <c r="B109" t="s">
        <v>5</v>
      </c>
      <c r="C109" s="82" t="s">
        <v>638</v>
      </c>
      <c r="D109">
        <v>201605</v>
      </c>
      <c r="E109" s="1">
        <v>42489</v>
      </c>
      <c r="F109" s="1">
        <v>42521</v>
      </c>
      <c r="G109" t="s">
        <v>638</v>
      </c>
      <c r="H109" s="81">
        <v>104582</v>
      </c>
      <c r="I109" t="s">
        <v>6</v>
      </c>
      <c r="J109" s="3">
        <v>6504.9</v>
      </c>
    </row>
    <row r="110" spans="1:10" x14ac:dyDescent="0.25">
      <c r="A110" t="s">
        <v>4</v>
      </c>
      <c r="B110" t="s">
        <v>5</v>
      </c>
      <c r="C110" s="82" t="s">
        <v>638</v>
      </c>
      <c r="D110">
        <v>201606</v>
      </c>
      <c r="E110" s="1">
        <v>42521</v>
      </c>
      <c r="F110" s="1">
        <v>42550</v>
      </c>
      <c r="G110" t="s">
        <v>638</v>
      </c>
      <c r="H110" s="81">
        <v>98933</v>
      </c>
      <c r="I110" t="s">
        <v>6</v>
      </c>
      <c r="J110" s="3">
        <v>5939.15</v>
      </c>
    </row>
    <row r="111" spans="1:10" x14ac:dyDescent="0.25">
      <c r="A111" t="s">
        <v>223</v>
      </c>
      <c r="B111" t="s">
        <v>5</v>
      </c>
      <c r="C111" s="82" t="s">
        <v>225</v>
      </c>
      <c r="D111">
        <v>201507</v>
      </c>
      <c r="E111" s="1">
        <v>42185</v>
      </c>
      <c r="F111" s="1">
        <v>42216</v>
      </c>
      <c r="G111" t="s">
        <v>226</v>
      </c>
      <c r="H111" s="81">
        <v>3141</v>
      </c>
      <c r="I111" t="s">
        <v>6</v>
      </c>
      <c r="J111" s="3">
        <v>184.24</v>
      </c>
    </row>
    <row r="112" spans="1:10" x14ac:dyDescent="0.25">
      <c r="A112" t="s">
        <v>223</v>
      </c>
      <c r="B112" t="s">
        <v>5</v>
      </c>
      <c r="C112" s="82" t="s">
        <v>225</v>
      </c>
      <c r="D112">
        <v>201508</v>
      </c>
      <c r="E112" s="1">
        <v>42216</v>
      </c>
      <c r="F112" s="1">
        <v>42243</v>
      </c>
      <c r="G112" t="s">
        <v>226</v>
      </c>
      <c r="H112" s="81">
        <v>2368</v>
      </c>
      <c r="I112" t="s">
        <v>6</v>
      </c>
      <c r="J112" s="3">
        <v>143.59</v>
      </c>
    </row>
    <row r="113" spans="1:10" x14ac:dyDescent="0.25">
      <c r="A113" t="s">
        <v>223</v>
      </c>
      <c r="B113" t="s">
        <v>5</v>
      </c>
      <c r="C113" s="82" t="s">
        <v>225</v>
      </c>
      <c r="D113">
        <v>201509</v>
      </c>
      <c r="E113" s="1">
        <v>42243</v>
      </c>
      <c r="F113" s="1">
        <v>42276</v>
      </c>
      <c r="G113" t="s">
        <v>226</v>
      </c>
      <c r="H113" s="81">
        <v>2870</v>
      </c>
      <c r="I113" t="s">
        <v>6</v>
      </c>
      <c r="J113" s="3">
        <v>167.91</v>
      </c>
    </row>
    <row r="114" spans="1:10" x14ac:dyDescent="0.25">
      <c r="A114" t="s">
        <v>223</v>
      </c>
      <c r="B114" t="s">
        <v>5</v>
      </c>
      <c r="C114" s="82" t="s">
        <v>225</v>
      </c>
      <c r="D114">
        <v>201510</v>
      </c>
      <c r="E114" s="1">
        <v>42276</v>
      </c>
      <c r="F114" s="1">
        <v>42305</v>
      </c>
      <c r="G114" t="s">
        <v>226</v>
      </c>
      <c r="H114" s="81">
        <v>2412</v>
      </c>
      <c r="I114" t="s">
        <v>6</v>
      </c>
      <c r="J114" s="3">
        <v>144.22999999999999</v>
      </c>
    </row>
    <row r="115" spans="1:10" x14ac:dyDescent="0.25">
      <c r="A115" t="s">
        <v>223</v>
      </c>
      <c r="B115" t="s">
        <v>5</v>
      </c>
      <c r="C115" s="82" t="s">
        <v>225</v>
      </c>
      <c r="D115">
        <v>201511</v>
      </c>
      <c r="E115" s="1">
        <v>42305</v>
      </c>
      <c r="F115" s="1">
        <v>42339</v>
      </c>
      <c r="G115" t="s">
        <v>226</v>
      </c>
      <c r="H115" s="81">
        <v>2810</v>
      </c>
      <c r="I115" t="s">
        <v>6</v>
      </c>
      <c r="J115" s="3">
        <v>169.96</v>
      </c>
    </row>
    <row r="116" spans="1:10" x14ac:dyDescent="0.25">
      <c r="A116" t="s">
        <v>223</v>
      </c>
      <c r="B116" t="s">
        <v>5</v>
      </c>
      <c r="C116" s="82" t="s">
        <v>225</v>
      </c>
      <c r="D116">
        <v>201512</v>
      </c>
      <c r="E116" s="1">
        <v>42339</v>
      </c>
      <c r="F116" s="1">
        <v>42369</v>
      </c>
      <c r="G116" t="s">
        <v>226</v>
      </c>
      <c r="H116" s="81">
        <v>1343</v>
      </c>
      <c r="I116" t="s">
        <v>6</v>
      </c>
      <c r="J116" s="3">
        <v>84.84</v>
      </c>
    </row>
    <row r="117" spans="1:10" x14ac:dyDescent="0.25">
      <c r="A117" t="s">
        <v>223</v>
      </c>
      <c r="B117" t="s">
        <v>5</v>
      </c>
      <c r="C117" s="82" t="s">
        <v>225</v>
      </c>
      <c r="D117">
        <v>201601</v>
      </c>
      <c r="E117" s="1">
        <v>42369</v>
      </c>
      <c r="F117" s="1">
        <v>42401</v>
      </c>
      <c r="G117" t="s">
        <v>226</v>
      </c>
      <c r="H117" s="81">
        <v>1884</v>
      </c>
      <c r="I117" t="s">
        <v>6</v>
      </c>
      <c r="J117" s="3">
        <v>117.86</v>
      </c>
    </row>
    <row r="118" spans="1:10" x14ac:dyDescent="0.25">
      <c r="A118" t="s">
        <v>223</v>
      </c>
      <c r="B118" t="s">
        <v>5</v>
      </c>
      <c r="C118" s="82" t="s">
        <v>225</v>
      </c>
      <c r="D118">
        <v>201602</v>
      </c>
      <c r="E118" s="1">
        <v>42401</v>
      </c>
      <c r="F118" s="1">
        <v>42430</v>
      </c>
      <c r="G118" t="s">
        <v>226</v>
      </c>
      <c r="H118" s="81">
        <v>2012</v>
      </c>
      <c r="I118" t="s">
        <v>6</v>
      </c>
      <c r="J118" s="3">
        <v>122.79</v>
      </c>
    </row>
    <row r="119" spans="1:10" x14ac:dyDescent="0.25">
      <c r="A119" t="s">
        <v>223</v>
      </c>
      <c r="B119" t="s">
        <v>5</v>
      </c>
      <c r="C119" s="82" t="s">
        <v>225</v>
      </c>
      <c r="D119">
        <v>201603</v>
      </c>
      <c r="E119" s="1">
        <v>42430</v>
      </c>
      <c r="F119" s="1">
        <v>42460</v>
      </c>
      <c r="G119" t="s">
        <v>226</v>
      </c>
      <c r="H119" s="81">
        <v>2637</v>
      </c>
      <c r="I119" t="s">
        <v>6</v>
      </c>
      <c r="J119" s="3">
        <v>169.29</v>
      </c>
    </row>
    <row r="120" spans="1:10" x14ac:dyDescent="0.25">
      <c r="A120" t="s">
        <v>223</v>
      </c>
      <c r="B120" t="s">
        <v>5</v>
      </c>
      <c r="C120" s="82" t="s">
        <v>225</v>
      </c>
      <c r="D120">
        <v>201604</v>
      </c>
      <c r="E120" s="1">
        <v>42460</v>
      </c>
      <c r="F120" s="1">
        <v>42489</v>
      </c>
      <c r="G120" t="s">
        <v>226</v>
      </c>
      <c r="H120" s="81">
        <v>2654</v>
      </c>
      <c r="I120" t="s">
        <v>6</v>
      </c>
      <c r="J120" s="3">
        <v>159.9</v>
      </c>
    </row>
    <row r="121" spans="1:10" x14ac:dyDescent="0.25">
      <c r="A121" t="s">
        <v>223</v>
      </c>
      <c r="B121" t="s">
        <v>5</v>
      </c>
      <c r="C121" s="82" t="s">
        <v>225</v>
      </c>
      <c r="D121">
        <v>201605</v>
      </c>
      <c r="E121" s="1">
        <v>42489</v>
      </c>
      <c r="F121" s="1">
        <v>42521</v>
      </c>
      <c r="G121" t="s">
        <v>226</v>
      </c>
      <c r="H121" s="81">
        <v>2784</v>
      </c>
      <c r="I121" t="s">
        <v>6</v>
      </c>
      <c r="J121" s="3">
        <v>173.16</v>
      </c>
    </row>
    <row r="122" spans="1:10" x14ac:dyDescent="0.25">
      <c r="A122" t="s">
        <v>223</v>
      </c>
      <c r="B122" t="s">
        <v>5</v>
      </c>
      <c r="C122" s="82" t="s">
        <v>225</v>
      </c>
      <c r="D122">
        <v>201606</v>
      </c>
      <c r="E122" s="1">
        <v>42521</v>
      </c>
      <c r="F122" s="1">
        <v>42550</v>
      </c>
      <c r="G122" t="s">
        <v>226</v>
      </c>
      <c r="H122" s="81">
        <v>3442</v>
      </c>
      <c r="I122" t="s">
        <v>6</v>
      </c>
      <c r="J122" s="3">
        <v>206.63</v>
      </c>
    </row>
    <row r="123" spans="1:10" x14ac:dyDescent="0.25">
      <c r="A123" t="s">
        <v>84</v>
      </c>
      <c r="B123" t="s">
        <v>5</v>
      </c>
      <c r="C123" s="82" t="s">
        <v>86</v>
      </c>
      <c r="D123">
        <v>201507</v>
      </c>
      <c r="E123" s="1">
        <v>42185</v>
      </c>
      <c r="F123" s="1">
        <v>42216</v>
      </c>
      <c r="G123" t="s">
        <v>87</v>
      </c>
      <c r="H123" s="81">
        <v>21420</v>
      </c>
      <c r="I123" t="s">
        <v>6</v>
      </c>
      <c r="J123" s="3">
        <v>1256.46</v>
      </c>
    </row>
    <row r="124" spans="1:10" x14ac:dyDescent="0.25">
      <c r="A124" t="s">
        <v>84</v>
      </c>
      <c r="B124" t="s">
        <v>5</v>
      </c>
      <c r="C124" s="82" t="s">
        <v>86</v>
      </c>
      <c r="D124">
        <v>201508</v>
      </c>
      <c r="E124" s="1">
        <v>42216</v>
      </c>
      <c r="F124" s="1">
        <v>42243</v>
      </c>
      <c r="G124" t="s">
        <v>87</v>
      </c>
      <c r="H124" s="81">
        <v>18873</v>
      </c>
      <c r="I124" t="s">
        <v>6</v>
      </c>
      <c r="J124" s="3">
        <v>1144.44</v>
      </c>
    </row>
    <row r="125" spans="1:10" x14ac:dyDescent="0.25">
      <c r="A125" t="s">
        <v>84</v>
      </c>
      <c r="B125" t="s">
        <v>5</v>
      </c>
      <c r="C125" s="82" t="s">
        <v>86</v>
      </c>
      <c r="D125">
        <v>201509</v>
      </c>
      <c r="E125" s="1">
        <v>42243</v>
      </c>
      <c r="F125" s="1">
        <v>42276</v>
      </c>
      <c r="G125" t="s">
        <v>87</v>
      </c>
      <c r="H125" s="81">
        <v>91989</v>
      </c>
      <c r="I125" t="s">
        <v>6</v>
      </c>
      <c r="J125" s="3">
        <v>5381.8</v>
      </c>
    </row>
    <row r="126" spans="1:10" x14ac:dyDescent="0.25">
      <c r="A126" t="s">
        <v>84</v>
      </c>
      <c r="B126" t="s">
        <v>5</v>
      </c>
      <c r="C126" s="82" t="s">
        <v>86</v>
      </c>
      <c r="D126">
        <v>201510</v>
      </c>
      <c r="E126" s="1">
        <v>42276</v>
      </c>
      <c r="F126" s="1">
        <v>42305</v>
      </c>
      <c r="G126" t="s">
        <v>87</v>
      </c>
      <c r="H126" s="81">
        <v>89008</v>
      </c>
      <c r="I126" t="s">
        <v>6</v>
      </c>
      <c r="J126" s="3">
        <v>5322.22</v>
      </c>
    </row>
    <row r="127" spans="1:10" x14ac:dyDescent="0.25">
      <c r="A127" t="s">
        <v>84</v>
      </c>
      <c r="B127" t="s">
        <v>5</v>
      </c>
      <c r="C127" s="82" t="s">
        <v>86</v>
      </c>
      <c r="D127">
        <v>201511</v>
      </c>
      <c r="E127" s="1">
        <v>42305</v>
      </c>
      <c r="F127" s="1">
        <v>42339</v>
      </c>
      <c r="G127" t="s">
        <v>87</v>
      </c>
      <c r="H127" s="81">
        <v>103349</v>
      </c>
      <c r="I127" t="s">
        <v>6</v>
      </c>
      <c r="J127" s="3">
        <v>6251.07</v>
      </c>
    </row>
    <row r="128" spans="1:10" x14ac:dyDescent="0.25">
      <c r="A128" t="s">
        <v>84</v>
      </c>
      <c r="B128" t="s">
        <v>5</v>
      </c>
      <c r="C128" s="82" t="s">
        <v>86</v>
      </c>
      <c r="D128">
        <v>201512</v>
      </c>
      <c r="E128" s="1">
        <v>42339</v>
      </c>
      <c r="F128" s="1">
        <v>42369</v>
      </c>
      <c r="G128" t="s">
        <v>87</v>
      </c>
      <c r="H128" s="81">
        <v>64384</v>
      </c>
      <c r="I128" t="s">
        <v>6</v>
      </c>
      <c r="J128" s="3">
        <v>4067.29</v>
      </c>
    </row>
    <row r="129" spans="1:10" x14ac:dyDescent="0.25">
      <c r="A129" t="s">
        <v>84</v>
      </c>
      <c r="B129" t="s">
        <v>5</v>
      </c>
      <c r="C129" s="82" t="s">
        <v>86</v>
      </c>
      <c r="D129">
        <v>201601</v>
      </c>
      <c r="E129" s="1">
        <v>42369</v>
      </c>
      <c r="F129" s="1">
        <v>42401</v>
      </c>
      <c r="G129" t="s">
        <v>87</v>
      </c>
      <c r="H129" s="81">
        <v>46540</v>
      </c>
      <c r="I129" t="s">
        <v>6</v>
      </c>
      <c r="J129" s="3">
        <v>2911.4</v>
      </c>
    </row>
    <row r="130" spans="1:10" x14ac:dyDescent="0.25">
      <c r="A130" t="s">
        <v>84</v>
      </c>
      <c r="B130" t="s">
        <v>5</v>
      </c>
      <c r="C130" s="82" t="s">
        <v>86</v>
      </c>
      <c r="D130">
        <v>201602</v>
      </c>
      <c r="E130" s="1">
        <v>42401</v>
      </c>
      <c r="F130" s="1">
        <v>42430</v>
      </c>
      <c r="G130" t="s">
        <v>87</v>
      </c>
      <c r="H130" s="81">
        <v>83944</v>
      </c>
      <c r="I130" t="s">
        <v>6</v>
      </c>
      <c r="J130" s="3">
        <v>5122.99</v>
      </c>
    </row>
    <row r="131" spans="1:10" x14ac:dyDescent="0.25">
      <c r="A131" t="s">
        <v>84</v>
      </c>
      <c r="B131" t="s">
        <v>5</v>
      </c>
      <c r="C131" s="82" t="s">
        <v>86</v>
      </c>
      <c r="D131">
        <v>201603</v>
      </c>
      <c r="E131" s="1">
        <v>42430</v>
      </c>
      <c r="F131" s="1">
        <v>42460</v>
      </c>
      <c r="G131" t="s">
        <v>87</v>
      </c>
      <c r="H131" s="81">
        <v>71818</v>
      </c>
      <c r="I131" t="s">
        <v>6</v>
      </c>
      <c r="J131" s="3">
        <v>4610.6099999999997</v>
      </c>
    </row>
    <row r="132" spans="1:10" x14ac:dyDescent="0.25">
      <c r="A132" t="s">
        <v>84</v>
      </c>
      <c r="B132" t="s">
        <v>5</v>
      </c>
      <c r="C132" s="82" t="s">
        <v>86</v>
      </c>
      <c r="D132">
        <v>201604</v>
      </c>
      <c r="E132" s="1">
        <v>42460</v>
      </c>
      <c r="F132" s="1">
        <v>42489</v>
      </c>
      <c r="G132" t="s">
        <v>87</v>
      </c>
      <c r="H132" s="81">
        <v>83992</v>
      </c>
      <c r="I132" t="s">
        <v>6</v>
      </c>
      <c r="J132" s="3">
        <v>5060.5200000000004</v>
      </c>
    </row>
    <row r="133" spans="1:10" x14ac:dyDescent="0.25">
      <c r="A133" t="s">
        <v>84</v>
      </c>
      <c r="B133" t="s">
        <v>5</v>
      </c>
      <c r="C133" s="82" t="s">
        <v>86</v>
      </c>
      <c r="D133">
        <v>201605</v>
      </c>
      <c r="E133" s="1">
        <v>42489</v>
      </c>
      <c r="F133" s="1">
        <v>42521</v>
      </c>
      <c r="G133" t="s">
        <v>87</v>
      </c>
      <c r="H133" s="81">
        <v>46968</v>
      </c>
      <c r="I133" t="s">
        <v>6</v>
      </c>
      <c r="J133" s="3">
        <v>2921.37</v>
      </c>
    </row>
    <row r="134" spans="1:10" x14ac:dyDescent="0.25">
      <c r="A134" t="s">
        <v>84</v>
      </c>
      <c r="B134" t="s">
        <v>5</v>
      </c>
      <c r="C134" s="82" t="s">
        <v>86</v>
      </c>
      <c r="D134">
        <v>201606</v>
      </c>
      <c r="E134" s="1">
        <v>42521</v>
      </c>
      <c r="F134" s="1">
        <v>42550</v>
      </c>
      <c r="G134" t="s">
        <v>87</v>
      </c>
      <c r="H134" s="81">
        <v>21460</v>
      </c>
      <c r="I134" t="s">
        <v>6</v>
      </c>
      <c r="J134" s="3">
        <v>1288.29</v>
      </c>
    </row>
    <row r="135" spans="1:10" x14ac:dyDescent="0.25">
      <c r="A135" t="s">
        <v>88</v>
      </c>
      <c r="B135" t="s">
        <v>5</v>
      </c>
      <c r="C135" s="82" t="s">
        <v>154</v>
      </c>
      <c r="D135">
        <v>201507</v>
      </c>
      <c r="E135" s="1">
        <v>42185</v>
      </c>
      <c r="F135" s="1">
        <v>42216</v>
      </c>
      <c r="G135" t="s">
        <v>155</v>
      </c>
      <c r="H135" s="81">
        <v>317268</v>
      </c>
      <c r="I135" t="s">
        <v>6</v>
      </c>
      <c r="J135" s="3">
        <v>18610.32</v>
      </c>
    </row>
    <row r="136" spans="1:10" x14ac:dyDescent="0.25">
      <c r="A136" t="s">
        <v>88</v>
      </c>
      <c r="B136" t="s">
        <v>5</v>
      </c>
      <c r="C136" s="82" t="s">
        <v>154</v>
      </c>
      <c r="D136">
        <v>201508</v>
      </c>
      <c r="E136" s="1">
        <v>42216</v>
      </c>
      <c r="F136" s="1">
        <v>42243</v>
      </c>
      <c r="G136" t="s">
        <v>155</v>
      </c>
      <c r="H136" s="81">
        <v>137264</v>
      </c>
      <c r="I136" t="s">
        <v>6</v>
      </c>
      <c r="J136" s="3">
        <v>8323.57</v>
      </c>
    </row>
    <row r="137" spans="1:10" x14ac:dyDescent="0.25">
      <c r="A137" t="s">
        <v>88</v>
      </c>
      <c r="B137" t="s">
        <v>5</v>
      </c>
      <c r="C137" s="82" t="s">
        <v>154</v>
      </c>
      <c r="D137">
        <v>201509</v>
      </c>
      <c r="E137" s="1">
        <v>42243</v>
      </c>
      <c r="F137" s="1">
        <v>42276</v>
      </c>
      <c r="G137" t="s">
        <v>155</v>
      </c>
      <c r="H137" s="81">
        <v>431937</v>
      </c>
      <c r="I137" t="s">
        <v>6</v>
      </c>
      <c r="J137" s="3">
        <v>25270.400000000001</v>
      </c>
    </row>
    <row r="138" spans="1:10" x14ac:dyDescent="0.25">
      <c r="A138" t="s">
        <v>88</v>
      </c>
      <c r="B138" t="s">
        <v>5</v>
      </c>
      <c r="C138" s="82" t="s">
        <v>154</v>
      </c>
      <c r="D138">
        <v>201510</v>
      </c>
      <c r="E138" s="1">
        <v>42276</v>
      </c>
      <c r="F138" s="1">
        <v>42305</v>
      </c>
      <c r="G138" t="s">
        <v>155</v>
      </c>
      <c r="H138" s="81">
        <v>249192</v>
      </c>
      <c r="I138" t="s">
        <v>6</v>
      </c>
      <c r="J138" s="3">
        <v>14900.41</v>
      </c>
    </row>
    <row r="139" spans="1:10" x14ac:dyDescent="0.25">
      <c r="A139" t="s">
        <v>88</v>
      </c>
      <c r="B139" t="s">
        <v>5</v>
      </c>
      <c r="C139" s="82" t="s">
        <v>154</v>
      </c>
      <c r="D139">
        <v>201511</v>
      </c>
      <c r="E139" s="1">
        <v>42305</v>
      </c>
      <c r="F139" s="1">
        <v>42339</v>
      </c>
      <c r="G139" t="s">
        <v>155</v>
      </c>
      <c r="H139" s="81">
        <v>435319</v>
      </c>
      <c r="I139" t="s">
        <v>6</v>
      </c>
      <c r="J139" s="3">
        <v>26330.3</v>
      </c>
    </row>
    <row r="140" spans="1:10" x14ac:dyDescent="0.25">
      <c r="A140" t="s">
        <v>88</v>
      </c>
      <c r="B140" t="s">
        <v>5</v>
      </c>
      <c r="C140" s="82" t="s">
        <v>154</v>
      </c>
      <c r="D140">
        <v>201512</v>
      </c>
      <c r="E140" s="1">
        <v>42339</v>
      </c>
      <c r="F140" s="1">
        <v>42369</v>
      </c>
      <c r="G140" t="s">
        <v>155</v>
      </c>
      <c r="H140" s="81">
        <v>347794</v>
      </c>
      <c r="I140" t="s">
        <v>6</v>
      </c>
      <c r="J140" s="3">
        <v>21970.94</v>
      </c>
    </row>
    <row r="141" spans="1:10" x14ac:dyDescent="0.25">
      <c r="A141" t="s">
        <v>88</v>
      </c>
      <c r="B141" t="s">
        <v>5</v>
      </c>
      <c r="C141" s="82" t="s">
        <v>154</v>
      </c>
      <c r="D141">
        <v>201601</v>
      </c>
      <c r="E141" s="1">
        <v>42369</v>
      </c>
      <c r="F141" s="1">
        <v>42401</v>
      </c>
      <c r="G141" t="s">
        <v>155</v>
      </c>
      <c r="H141" s="81">
        <v>360150</v>
      </c>
      <c r="I141" t="s">
        <v>6</v>
      </c>
      <c r="J141" s="3">
        <v>22529.86</v>
      </c>
    </row>
    <row r="142" spans="1:10" x14ac:dyDescent="0.25">
      <c r="A142" t="s">
        <v>88</v>
      </c>
      <c r="B142" t="s">
        <v>5</v>
      </c>
      <c r="C142" s="82" t="s">
        <v>154</v>
      </c>
      <c r="D142">
        <v>201602</v>
      </c>
      <c r="E142" s="1">
        <v>42401</v>
      </c>
      <c r="F142" s="1">
        <v>42430</v>
      </c>
      <c r="G142" t="s">
        <v>155</v>
      </c>
      <c r="H142" s="81">
        <v>373085</v>
      </c>
      <c r="I142" t="s">
        <v>6</v>
      </c>
      <c r="J142" s="3">
        <v>22768.87</v>
      </c>
    </row>
    <row r="143" spans="1:10" x14ac:dyDescent="0.25">
      <c r="A143" t="s">
        <v>88</v>
      </c>
      <c r="B143" t="s">
        <v>5</v>
      </c>
      <c r="C143" s="82" t="s">
        <v>154</v>
      </c>
      <c r="D143">
        <v>201603</v>
      </c>
      <c r="E143" s="1">
        <v>42430</v>
      </c>
      <c r="F143" s="1">
        <v>42460</v>
      </c>
      <c r="G143" t="s">
        <v>155</v>
      </c>
      <c r="H143" s="81">
        <v>184081</v>
      </c>
      <c r="I143" t="s">
        <v>6</v>
      </c>
      <c r="J143" s="3">
        <v>11817.73</v>
      </c>
    </row>
    <row r="144" spans="1:10" x14ac:dyDescent="0.25">
      <c r="A144" t="s">
        <v>88</v>
      </c>
      <c r="B144" t="s">
        <v>5</v>
      </c>
      <c r="C144" s="82" t="s">
        <v>154</v>
      </c>
      <c r="D144">
        <v>201604</v>
      </c>
      <c r="E144" s="1">
        <v>42460</v>
      </c>
      <c r="F144" s="1">
        <v>42489</v>
      </c>
      <c r="G144" t="s">
        <v>155</v>
      </c>
      <c r="H144" s="81">
        <v>184941</v>
      </c>
      <c r="I144" t="s">
        <v>6</v>
      </c>
      <c r="J144" s="3">
        <v>11142.69</v>
      </c>
    </row>
    <row r="145" spans="1:10" x14ac:dyDescent="0.25">
      <c r="A145" t="s">
        <v>88</v>
      </c>
      <c r="B145" t="s">
        <v>5</v>
      </c>
      <c r="C145" s="82" t="s">
        <v>154</v>
      </c>
      <c r="D145">
        <v>201605</v>
      </c>
      <c r="E145" s="1">
        <v>42489</v>
      </c>
      <c r="F145" s="1">
        <v>42521</v>
      </c>
      <c r="G145" t="s">
        <v>155</v>
      </c>
      <c r="H145" s="81">
        <v>189741</v>
      </c>
      <c r="I145" t="s">
        <v>6</v>
      </c>
      <c r="J145" s="3">
        <v>11801.71</v>
      </c>
    </row>
    <row r="146" spans="1:10" x14ac:dyDescent="0.25">
      <c r="A146" t="s">
        <v>88</v>
      </c>
      <c r="B146" t="s">
        <v>5</v>
      </c>
      <c r="C146" s="82" t="s">
        <v>154</v>
      </c>
      <c r="D146">
        <v>201606</v>
      </c>
      <c r="E146" s="1">
        <v>42521</v>
      </c>
      <c r="F146" s="1">
        <v>42550</v>
      </c>
      <c r="G146" t="s">
        <v>155</v>
      </c>
      <c r="H146" s="81">
        <v>168993</v>
      </c>
      <c r="I146" t="s">
        <v>6</v>
      </c>
      <c r="J146" s="3">
        <v>10145</v>
      </c>
    </row>
    <row r="147" spans="1:10" x14ac:dyDescent="0.25">
      <c r="A147" t="s">
        <v>88</v>
      </c>
      <c r="B147" t="s">
        <v>5</v>
      </c>
      <c r="C147" s="82" t="s">
        <v>177</v>
      </c>
      <c r="D147">
        <v>201507</v>
      </c>
      <c r="E147" s="1">
        <v>42185</v>
      </c>
      <c r="F147" s="1">
        <v>42216</v>
      </c>
      <c r="G147" t="s">
        <v>178</v>
      </c>
      <c r="H147" s="81">
        <v>0</v>
      </c>
      <c r="I147" t="s">
        <v>6</v>
      </c>
      <c r="J147" s="3">
        <v>0</v>
      </c>
    </row>
    <row r="148" spans="1:10" x14ac:dyDescent="0.25">
      <c r="A148" t="s">
        <v>88</v>
      </c>
      <c r="B148" t="s">
        <v>5</v>
      </c>
      <c r="C148" s="82" t="s">
        <v>177</v>
      </c>
      <c r="D148">
        <v>201508</v>
      </c>
      <c r="E148" s="1">
        <v>42216</v>
      </c>
      <c r="F148" s="1">
        <v>42243</v>
      </c>
      <c r="G148" t="s">
        <v>178</v>
      </c>
      <c r="H148" s="81">
        <v>0</v>
      </c>
      <c r="I148" t="s">
        <v>6</v>
      </c>
      <c r="J148" s="3">
        <v>0</v>
      </c>
    </row>
    <row r="149" spans="1:10" x14ac:dyDescent="0.25">
      <c r="A149" t="s">
        <v>88</v>
      </c>
      <c r="B149" t="s">
        <v>5</v>
      </c>
      <c r="C149" s="82" t="s">
        <v>177</v>
      </c>
      <c r="D149">
        <v>201509</v>
      </c>
      <c r="E149" s="1">
        <v>42243</v>
      </c>
      <c r="F149" s="1">
        <v>42276</v>
      </c>
      <c r="G149" t="s">
        <v>178</v>
      </c>
      <c r="H149" s="81">
        <v>1</v>
      </c>
      <c r="I149" t="s">
        <v>6</v>
      </c>
      <c r="J149" s="3">
        <v>0.06</v>
      </c>
    </row>
    <row r="150" spans="1:10" x14ac:dyDescent="0.25">
      <c r="A150" t="s">
        <v>88</v>
      </c>
      <c r="B150" t="s">
        <v>5</v>
      </c>
      <c r="C150" s="82" t="s">
        <v>177</v>
      </c>
      <c r="D150">
        <v>201510</v>
      </c>
      <c r="E150" s="1">
        <v>42276</v>
      </c>
      <c r="F150" s="1">
        <v>42305</v>
      </c>
      <c r="G150" t="s">
        <v>178</v>
      </c>
      <c r="H150" s="81">
        <v>16</v>
      </c>
      <c r="I150" t="s">
        <v>6</v>
      </c>
      <c r="J150" s="3">
        <v>0.96</v>
      </c>
    </row>
    <row r="151" spans="1:10" x14ac:dyDescent="0.25">
      <c r="A151" t="s">
        <v>88</v>
      </c>
      <c r="B151" t="s">
        <v>5</v>
      </c>
      <c r="C151" s="82" t="s">
        <v>177</v>
      </c>
      <c r="D151">
        <v>201511</v>
      </c>
      <c r="E151" s="1">
        <v>42305</v>
      </c>
      <c r="F151" s="1">
        <v>42339</v>
      </c>
      <c r="G151" t="s">
        <v>178</v>
      </c>
      <c r="H151" s="81">
        <v>3</v>
      </c>
      <c r="I151" t="s">
        <v>6</v>
      </c>
      <c r="J151" s="3">
        <v>0.18</v>
      </c>
    </row>
    <row r="152" spans="1:10" x14ac:dyDescent="0.25">
      <c r="A152" t="s">
        <v>88</v>
      </c>
      <c r="B152" t="s">
        <v>5</v>
      </c>
      <c r="C152" s="82" t="s">
        <v>177</v>
      </c>
      <c r="D152">
        <v>201512</v>
      </c>
      <c r="E152" s="1">
        <v>42339</v>
      </c>
      <c r="F152" s="1">
        <v>42369</v>
      </c>
      <c r="G152" t="s">
        <v>178</v>
      </c>
      <c r="H152" s="81">
        <v>0</v>
      </c>
      <c r="I152" t="s">
        <v>6</v>
      </c>
      <c r="J152" s="3">
        <v>0</v>
      </c>
    </row>
    <row r="153" spans="1:10" x14ac:dyDescent="0.25">
      <c r="A153" t="s">
        <v>88</v>
      </c>
      <c r="B153" t="s">
        <v>5</v>
      </c>
      <c r="C153" s="82" t="s">
        <v>177</v>
      </c>
      <c r="D153">
        <v>201601</v>
      </c>
      <c r="E153" s="1">
        <v>42369</v>
      </c>
      <c r="F153" s="1">
        <v>42401</v>
      </c>
      <c r="G153" t="s">
        <v>178</v>
      </c>
      <c r="H153" s="81">
        <v>0</v>
      </c>
      <c r="I153" t="s">
        <v>6</v>
      </c>
      <c r="J153" s="3">
        <v>0</v>
      </c>
    </row>
    <row r="154" spans="1:10" x14ac:dyDescent="0.25">
      <c r="A154" t="s">
        <v>88</v>
      </c>
      <c r="B154" t="s">
        <v>5</v>
      </c>
      <c r="C154" s="82" t="s">
        <v>177</v>
      </c>
      <c r="D154">
        <v>201602</v>
      </c>
      <c r="E154" s="1">
        <v>42401</v>
      </c>
      <c r="F154" s="1">
        <v>42430</v>
      </c>
      <c r="G154" t="s">
        <v>178</v>
      </c>
      <c r="H154" s="81">
        <v>0</v>
      </c>
      <c r="I154" t="s">
        <v>6</v>
      </c>
      <c r="J154" s="3">
        <v>0</v>
      </c>
    </row>
    <row r="155" spans="1:10" x14ac:dyDescent="0.25">
      <c r="A155" t="s">
        <v>88</v>
      </c>
      <c r="B155" t="s">
        <v>5</v>
      </c>
      <c r="C155" s="82" t="s">
        <v>177</v>
      </c>
      <c r="D155">
        <v>201603</v>
      </c>
      <c r="E155" s="1">
        <v>42430</v>
      </c>
      <c r="F155" s="1">
        <v>42460</v>
      </c>
      <c r="G155" t="s">
        <v>178</v>
      </c>
      <c r="H155" s="81">
        <v>7</v>
      </c>
      <c r="I155" t="s">
        <v>6</v>
      </c>
      <c r="J155" s="3">
        <v>0.45</v>
      </c>
    </row>
    <row r="156" spans="1:10" x14ac:dyDescent="0.25">
      <c r="A156" t="s">
        <v>88</v>
      </c>
      <c r="B156" t="s">
        <v>5</v>
      </c>
      <c r="C156" s="82" t="s">
        <v>177</v>
      </c>
      <c r="D156">
        <v>201604</v>
      </c>
      <c r="E156" s="1">
        <v>42460</v>
      </c>
      <c r="F156" s="1">
        <v>42489</v>
      </c>
      <c r="G156" t="s">
        <v>178</v>
      </c>
      <c r="H156" s="81">
        <v>0</v>
      </c>
      <c r="I156" t="s">
        <v>6</v>
      </c>
      <c r="J156" s="3">
        <v>0</v>
      </c>
    </row>
    <row r="157" spans="1:10" x14ac:dyDescent="0.25">
      <c r="A157" t="s">
        <v>88</v>
      </c>
      <c r="B157" t="s">
        <v>5</v>
      </c>
      <c r="C157" s="82" t="s">
        <v>177</v>
      </c>
      <c r="D157">
        <v>201605</v>
      </c>
      <c r="E157" s="1">
        <v>42489</v>
      </c>
      <c r="F157" s="1">
        <v>42521</v>
      </c>
      <c r="G157" t="s">
        <v>178</v>
      </c>
      <c r="H157" s="81">
        <v>0</v>
      </c>
      <c r="I157" t="s">
        <v>6</v>
      </c>
      <c r="J157" s="3">
        <v>0</v>
      </c>
    </row>
    <row r="158" spans="1:10" x14ac:dyDescent="0.25">
      <c r="A158" t="s">
        <v>88</v>
      </c>
      <c r="B158" t="s">
        <v>5</v>
      </c>
      <c r="C158" s="82" t="s">
        <v>177</v>
      </c>
      <c r="D158">
        <v>201606</v>
      </c>
      <c r="E158" s="1">
        <v>42521</v>
      </c>
      <c r="F158" s="1">
        <v>42550</v>
      </c>
      <c r="G158" t="s">
        <v>178</v>
      </c>
      <c r="H158" s="81">
        <v>0</v>
      </c>
      <c r="I158" t="s">
        <v>6</v>
      </c>
      <c r="J158" s="3">
        <v>0</v>
      </c>
    </row>
    <row r="159" spans="1:10" x14ac:dyDescent="0.25">
      <c r="A159" t="s">
        <v>88</v>
      </c>
      <c r="B159" t="s">
        <v>5</v>
      </c>
      <c r="C159" s="82" t="s">
        <v>179</v>
      </c>
      <c r="D159">
        <v>201507</v>
      </c>
      <c r="E159" s="1">
        <v>42185</v>
      </c>
      <c r="F159" s="1">
        <v>42216</v>
      </c>
      <c r="G159" t="s">
        <v>180</v>
      </c>
      <c r="H159" s="81">
        <v>1</v>
      </c>
      <c r="I159" t="s">
        <v>6</v>
      </c>
      <c r="J159" s="3">
        <v>0.06</v>
      </c>
    </row>
    <row r="160" spans="1:10" x14ac:dyDescent="0.25">
      <c r="A160" t="s">
        <v>88</v>
      </c>
      <c r="B160" t="s">
        <v>5</v>
      </c>
      <c r="C160" s="82" t="s">
        <v>179</v>
      </c>
      <c r="D160">
        <v>201508</v>
      </c>
      <c r="E160" s="1">
        <v>42216</v>
      </c>
      <c r="F160" s="1">
        <v>42243</v>
      </c>
      <c r="G160" t="s">
        <v>180</v>
      </c>
      <c r="H160" s="81">
        <v>0</v>
      </c>
      <c r="I160" t="s">
        <v>6</v>
      </c>
      <c r="J160" s="3">
        <v>0</v>
      </c>
    </row>
    <row r="161" spans="1:10" x14ac:dyDescent="0.25">
      <c r="A161" t="s">
        <v>88</v>
      </c>
      <c r="B161" t="s">
        <v>5</v>
      </c>
      <c r="C161" s="82" t="s">
        <v>179</v>
      </c>
      <c r="D161">
        <v>201509</v>
      </c>
      <c r="E161" s="1">
        <v>42243</v>
      </c>
      <c r="F161" s="1">
        <v>42276</v>
      </c>
      <c r="G161" t="s">
        <v>180</v>
      </c>
      <c r="H161" s="81">
        <v>28</v>
      </c>
      <c r="I161" t="s">
        <v>6</v>
      </c>
      <c r="J161" s="3">
        <v>1.64</v>
      </c>
    </row>
    <row r="162" spans="1:10" x14ac:dyDescent="0.25">
      <c r="A162" t="s">
        <v>88</v>
      </c>
      <c r="B162" t="s">
        <v>5</v>
      </c>
      <c r="C162" s="82" t="s">
        <v>179</v>
      </c>
      <c r="D162">
        <v>201510</v>
      </c>
      <c r="E162" s="1">
        <v>42276</v>
      </c>
      <c r="F162" s="1">
        <v>42305</v>
      </c>
      <c r="G162" t="s">
        <v>180</v>
      </c>
      <c r="H162" s="81">
        <v>5</v>
      </c>
      <c r="I162" t="s">
        <v>6</v>
      </c>
      <c r="J162" s="3">
        <v>0.3</v>
      </c>
    </row>
    <row r="163" spans="1:10" x14ac:dyDescent="0.25">
      <c r="A163" t="s">
        <v>88</v>
      </c>
      <c r="B163" t="s">
        <v>5</v>
      </c>
      <c r="C163" s="82" t="s">
        <v>179</v>
      </c>
      <c r="D163">
        <v>201511</v>
      </c>
      <c r="E163" s="1">
        <v>42305</v>
      </c>
      <c r="F163" s="1">
        <v>42339</v>
      </c>
      <c r="G163" t="s">
        <v>180</v>
      </c>
      <c r="H163" s="81">
        <v>5</v>
      </c>
      <c r="I163" t="s">
        <v>6</v>
      </c>
      <c r="J163" s="3">
        <v>0.3</v>
      </c>
    </row>
    <row r="164" spans="1:10" x14ac:dyDescent="0.25">
      <c r="A164" t="s">
        <v>88</v>
      </c>
      <c r="B164" t="s">
        <v>5</v>
      </c>
      <c r="C164" s="82" t="s">
        <v>179</v>
      </c>
      <c r="D164">
        <v>201512</v>
      </c>
      <c r="E164" s="1">
        <v>42339</v>
      </c>
      <c r="F164" s="1">
        <v>42369</v>
      </c>
      <c r="G164" t="s">
        <v>180</v>
      </c>
      <c r="H164" s="81">
        <v>0</v>
      </c>
      <c r="I164" t="s">
        <v>6</v>
      </c>
      <c r="J164" s="3">
        <v>0</v>
      </c>
    </row>
    <row r="165" spans="1:10" x14ac:dyDescent="0.25">
      <c r="A165" t="s">
        <v>88</v>
      </c>
      <c r="B165" t="s">
        <v>5</v>
      </c>
      <c r="C165" s="82" t="s">
        <v>179</v>
      </c>
      <c r="D165">
        <v>201601</v>
      </c>
      <c r="E165" s="1">
        <v>42369</v>
      </c>
      <c r="F165" s="1">
        <v>42401</v>
      </c>
      <c r="G165" t="s">
        <v>180</v>
      </c>
      <c r="H165" s="81">
        <v>0</v>
      </c>
      <c r="I165" t="s">
        <v>6</v>
      </c>
      <c r="J165" s="3">
        <v>0</v>
      </c>
    </row>
    <row r="166" spans="1:10" x14ac:dyDescent="0.25">
      <c r="A166" t="s">
        <v>88</v>
      </c>
      <c r="B166" t="s">
        <v>5</v>
      </c>
      <c r="C166" s="82" t="s">
        <v>179</v>
      </c>
      <c r="D166">
        <v>201602</v>
      </c>
      <c r="E166" s="1">
        <v>42401</v>
      </c>
      <c r="F166" s="1">
        <v>42430</v>
      </c>
      <c r="G166" t="s">
        <v>180</v>
      </c>
      <c r="H166" s="81">
        <v>0</v>
      </c>
      <c r="I166" t="s">
        <v>6</v>
      </c>
      <c r="J166" s="3">
        <v>0</v>
      </c>
    </row>
    <row r="167" spans="1:10" x14ac:dyDescent="0.25">
      <c r="A167" t="s">
        <v>88</v>
      </c>
      <c r="B167" t="s">
        <v>5</v>
      </c>
      <c r="C167" s="82" t="s">
        <v>179</v>
      </c>
      <c r="D167">
        <v>201603</v>
      </c>
      <c r="E167" s="1">
        <v>42430</v>
      </c>
      <c r="F167" s="1">
        <v>42460</v>
      </c>
      <c r="G167" t="s">
        <v>180</v>
      </c>
      <c r="H167" s="81">
        <v>0</v>
      </c>
      <c r="I167" t="s">
        <v>6</v>
      </c>
      <c r="J167" s="3">
        <v>0</v>
      </c>
    </row>
    <row r="168" spans="1:10" x14ac:dyDescent="0.25">
      <c r="A168" t="s">
        <v>88</v>
      </c>
      <c r="B168" t="s">
        <v>5</v>
      </c>
      <c r="C168" s="82" t="s">
        <v>179</v>
      </c>
      <c r="D168">
        <v>201604</v>
      </c>
      <c r="E168" s="1">
        <v>42460</v>
      </c>
      <c r="F168" s="1">
        <v>42489</v>
      </c>
      <c r="G168" t="s">
        <v>180</v>
      </c>
      <c r="H168" s="81">
        <v>1</v>
      </c>
      <c r="I168" t="s">
        <v>6</v>
      </c>
      <c r="J168" s="3">
        <v>0.06</v>
      </c>
    </row>
    <row r="169" spans="1:10" x14ac:dyDescent="0.25">
      <c r="A169" t="s">
        <v>88</v>
      </c>
      <c r="B169" t="s">
        <v>5</v>
      </c>
      <c r="C169" s="82" t="s">
        <v>179</v>
      </c>
      <c r="D169">
        <v>201605</v>
      </c>
      <c r="E169" s="1">
        <v>42489</v>
      </c>
      <c r="F169" s="1">
        <v>42521</v>
      </c>
      <c r="G169" t="s">
        <v>180</v>
      </c>
      <c r="H169" s="81">
        <v>2</v>
      </c>
      <c r="I169" t="s">
        <v>6</v>
      </c>
      <c r="J169" s="3">
        <v>0.12</v>
      </c>
    </row>
    <row r="170" spans="1:10" x14ac:dyDescent="0.25">
      <c r="A170" t="s">
        <v>88</v>
      </c>
      <c r="B170" t="s">
        <v>5</v>
      </c>
      <c r="C170" s="82" t="s">
        <v>179</v>
      </c>
      <c r="D170">
        <v>201606</v>
      </c>
      <c r="E170" s="1">
        <v>42521</v>
      </c>
      <c r="F170" s="1">
        <v>42550</v>
      </c>
      <c r="G170" t="s">
        <v>180</v>
      </c>
      <c r="H170" s="81">
        <v>0</v>
      </c>
      <c r="I170" t="s">
        <v>6</v>
      </c>
      <c r="J170" s="3">
        <v>0</v>
      </c>
    </row>
    <row r="171" spans="1:10" x14ac:dyDescent="0.25">
      <c r="A171" t="s">
        <v>88</v>
      </c>
      <c r="B171" t="s">
        <v>5</v>
      </c>
      <c r="C171" s="82" t="s">
        <v>181</v>
      </c>
      <c r="D171">
        <v>201507</v>
      </c>
      <c r="E171" s="1">
        <v>42185</v>
      </c>
      <c r="F171" s="1">
        <v>42216</v>
      </c>
      <c r="G171" t="s">
        <v>182</v>
      </c>
      <c r="H171" s="81">
        <v>43</v>
      </c>
      <c r="I171" t="s">
        <v>6</v>
      </c>
      <c r="J171" s="3">
        <v>2.52</v>
      </c>
    </row>
    <row r="172" spans="1:10" x14ac:dyDescent="0.25">
      <c r="A172" t="s">
        <v>88</v>
      </c>
      <c r="B172" t="s">
        <v>5</v>
      </c>
      <c r="C172" s="82" t="s">
        <v>181</v>
      </c>
      <c r="D172">
        <v>201508</v>
      </c>
      <c r="E172" s="1">
        <v>42216</v>
      </c>
      <c r="F172" s="1">
        <v>42243</v>
      </c>
      <c r="G172" t="s">
        <v>182</v>
      </c>
      <c r="H172" s="81">
        <v>0</v>
      </c>
      <c r="I172" t="s">
        <v>6</v>
      </c>
      <c r="J172" s="3">
        <v>0</v>
      </c>
    </row>
    <row r="173" spans="1:10" x14ac:dyDescent="0.25">
      <c r="A173" t="s">
        <v>88</v>
      </c>
      <c r="B173" t="s">
        <v>5</v>
      </c>
      <c r="C173" s="82" t="s">
        <v>181</v>
      </c>
      <c r="D173">
        <v>201509</v>
      </c>
      <c r="E173" s="1">
        <v>42243</v>
      </c>
      <c r="F173" s="1">
        <v>42276</v>
      </c>
      <c r="G173" t="s">
        <v>182</v>
      </c>
      <c r="H173" s="81">
        <v>521</v>
      </c>
      <c r="I173" t="s">
        <v>6</v>
      </c>
      <c r="J173" s="3">
        <v>30.48</v>
      </c>
    </row>
    <row r="174" spans="1:10" x14ac:dyDescent="0.25">
      <c r="A174" t="s">
        <v>88</v>
      </c>
      <c r="B174" t="s">
        <v>5</v>
      </c>
      <c r="C174" s="82" t="s">
        <v>181</v>
      </c>
      <c r="D174">
        <v>201510</v>
      </c>
      <c r="E174" s="1">
        <v>42276</v>
      </c>
      <c r="F174" s="1">
        <v>42305</v>
      </c>
      <c r="G174" t="s">
        <v>182</v>
      </c>
      <c r="H174" s="81">
        <v>9</v>
      </c>
      <c r="I174" t="s">
        <v>6</v>
      </c>
      <c r="J174" s="3">
        <v>0.54</v>
      </c>
    </row>
    <row r="175" spans="1:10" x14ac:dyDescent="0.25">
      <c r="A175" t="s">
        <v>88</v>
      </c>
      <c r="B175" t="s">
        <v>5</v>
      </c>
      <c r="C175" s="82" t="s">
        <v>181</v>
      </c>
      <c r="D175">
        <v>201511</v>
      </c>
      <c r="E175" s="1">
        <v>42305</v>
      </c>
      <c r="F175" s="1">
        <v>42339</v>
      </c>
      <c r="G175" t="s">
        <v>182</v>
      </c>
      <c r="H175" s="81">
        <v>0</v>
      </c>
      <c r="I175" t="s">
        <v>6</v>
      </c>
      <c r="J175" s="3">
        <v>0</v>
      </c>
    </row>
    <row r="176" spans="1:10" x14ac:dyDescent="0.25">
      <c r="A176" t="s">
        <v>88</v>
      </c>
      <c r="B176" t="s">
        <v>5</v>
      </c>
      <c r="C176" s="82" t="s">
        <v>181</v>
      </c>
      <c r="D176">
        <v>201512</v>
      </c>
      <c r="E176" s="1">
        <v>42339</v>
      </c>
      <c r="F176" s="1">
        <v>42369</v>
      </c>
      <c r="G176" t="s">
        <v>182</v>
      </c>
      <c r="H176" s="81">
        <v>0</v>
      </c>
      <c r="I176" t="s">
        <v>6</v>
      </c>
      <c r="J176" s="3">
        <v>0</v>
      </c>
    </row>
    <row r="177" spans="1:10" x14ac:dyDescent="0.25">
      <c r="A177" t="s">
        <v>88</v>
      </c>
      <c r="B177" t="s">
        <v>5</v>
      </c>
      <c r="C177" s="82" t="s">
        <v>181</v>
      </c>
      <c r="D177">
        <v>201601</v>
      </c>
      <c r="E177" s="1">
        <v>42369</v>
      </c>
      <c r="F177" s="1">
        <v>42401</v>
      </c>
      <c r="G177" t="s">
        <v>182</v>
      </c>
      <c r="H177" s="81">
        <v>0</v>
      </c>
      <c r="I177" t="s">
        <v>6</v>
      </c>
      <c r="J177" s="3">
        <v>0</v>
      </c>
    </row>
    <row r="178" spans="1:10" x14ac:dyDescent="0.25">
      <c r="A178" t="s">
        <v>88</v>
      </c>
      <c r="B178" t="s">
        <v>5</v>
      </c>
      <c r="C178" s="82" t="s">
        <v>181</v>
      </c>
      <c r="D178">
        <v>201602</v>
      </c>
      <c r="E178" s="1">
        <v>42401</v>
      </c>
      <c r="F178" s="1">
        <v>42430</v>
      </c>
      <c r="G178" t="s">
        <v>182</v>
      </c>
      <c r="H178" s="81">
        <v>0</v>
      </c>
      <c r="I178" t="s">
        <v>6</v>
      </c>
      <c r="J178" s="3">
        <v>0</v>
      </c>
    </row>
    <row r="179" spans="1:10" x14ac:dyDescent="0.25">
      <c r="A179" t="s">
        <v>88</v>
      </c>
      <c r="B179" t="s">
        <v>5</v>
      </c>
      <c r="C179" s="82" t="s">
        <v>181</v>
      </c>
      <c r="D179">
        <v>201603</v>
      </c>
      <c r="E179" s="1">
        <v>42430</v>
      </c>
      <c r="F179" s="1">
        <v>42460</v>
      </c>
      <c r="G179" t="s">
        <v>182</v>
      </c>
      <c r="H179" s="81">
        <v>8</v>
      </c>
      <c r="I179" t="s">
        <v>6</v>
      </c>
      <c r="J179" s="3">
        <v>0.51</v>
      </c>
    </row>
    <row r="180" spans="1:10" x14ac:dyDescent="0.25">
      <c r="A180" t="s">
        <v>88</v>
      </c>
      <c r="B180" t="s">
        <v>5</v>
      </c>
      <c r="C180" s="82" t="s">
        <v>181</v>
      </c>
      <c r="D180">
        <v>201604</v>
      </c>
      <c r="E180" s="1">
        <v>42460</v>
      </c>
      <c r="F180" s="1">
        <v>42489</v>
      </c>
      <c r="G180" t="s">
        <v>182</v>
      </c>
      <c r="H180" s="81">
        <v>10</v>
      </c>
      <c r="I180" t="s">
        <v>6</v>
      </c>
      <c r="J180" s="3">
        <v>0.6</v>
      </c>
    </row>
    <row r="181" spans="1:10" x14ac:dyDescent="0.25">
      <c r="A181" t="s">
        <v>88</v>
      </c>
      <c r="B181" t="s">
        <v>5</v>
      </c>
      <c r="C181" s="82" t="s">
        <v>181</v>
      </c>
      <c r="D181">
        <v>201605</v>
      </c>
      <c r="E181" s="1">
        <v>42489</v>
      </c>
      <c r="F181" s="1">
        <v>42521</v>
      </c>
      <c r="G181" t="s">
        <v>182</v>
      </c>
      <c r="H181" s="81">
        <v>0</v>
      </c>
      <c r="I181" t="s">
        <v>6</v>
      </c>
      <c r="J181" s="3">
        <v>0</v>
      </c>
    </row>
    <row r="182" spans="1:10" x14ac:dyDescent="0.25">
      <c r="A182" t="s">
        <v>88</v>
      </c>
      <c r="B182" t="s">
        <v>5</v>
      </c>
      <c r="C182" s="82" t="s">
        <v>181</v>
      </c>
      <c r="D182">
        <v>201606</v>
      </c>
      <c r="E182" s="1">
        <v>42521</v>
      </c>
      <c r="F182" s="1">
        <v>42550</v>
      </c>
      <c r="G182" t="s">
        <v>182</v>
      </c>
      <c r="H182" s="81">
        <v>0</v>
      </c>
      <c r="I182" t="s">
        <v>6</v>
      </c>
      <c r="J182" s="3">
        <v>0</v>
      </c>
    </row>
    <row r="183" spans="1:10" x14ac:dyDescent="0.25">
      <c r="A183" t="s">
        <v>183</v>
      </c>
      <c r="B183" t="s">
        <v>5</v>
      </c>
      <c r="C183" s="82" t="s">
        <v>184</v>
      </c>
      <c r="D183">
        <v>201507</v>
      </c>
      <c r="E183" s="1">
        <v>42185</v>
      </c>
      <c r="F183" s="1">
        <v>42216</v>
      </c>
      <c r="G183" t="s">
        <v>185</v>
      </c>
      <c r="H183" s="81">
        <v>381900</v>
      </c>
      <c r="I183" t="s">
        <v>6</v>
      </c>
      <c r="J183" s="3">
        <v>22401.51</v>
      </c>
    </row>
    <row r="184" spans="1:10" x14ac:dyDescent="0.25">
      <c r="A184" t="s">
        <v>183</v>
      </c>
      <c r="B184" t="s">
        <v>5</v>
      </c>
      <c r="C184" s="82" t="s">
        <v>184</v>
      </c>
      <c r="D184">
        <v>201508</v>
      </c>
      <c r="E184" s="1">
        <v>42216</v>
      </c>
      <c r="F184" s="1">
        <v>42243</v>
      </c>
      <c r="G184" t="s">
        <v>185</v>
      </c>
      <c r="H184" s="81">
        <v>301855</v>
      </c>
      <c r="I184" t="s">
        <v>6</v>
      </c>
      <c r="J184" s="3">
        <v>18304.23</v>
      </c>
    </row>
    <row r="185" spans="1:10" x14ac:dyDescent="0.25">
      <c r="A185" t="s">
        <v>183</v>
      </c>
      <c r="B185" t="s">
        <v>5</v>
      </c>
      <c r="C185" s="82" t="s">
        <v>184</v>
      </c>
      <c r="D185">
        <v>201509</v>
      </c>
      <c r="E185" s="1">
        <v>42243</v>
      </c>
      <c r="F185" s="1">
        <v>42276</v>
      </c>
      <c r="G185" t="s">
        <v>185</v>
      </c>
      <c r="H185" s="81">
        <v>390149</v>
      </c>
      <c r="I185" t="s">
        <v>6</v>
      </c>
      <c r="J185" s="3">
        <v>22825.599999999999</v>
      </c>
    </row>
    <row r="186" spans="1:10" x14ac:dyDescent="0.25">
      <c r="A186" t="s">
        <v>183</v>
      </c>
      <c r="B186" t="s">
        <v>5</v>
      </c>
      <c r="C186" s="82" t="s">
        <v>184</v>
      </c>
      <c r="D186">
        <v>201510</v>
      </c>
      <c r="E186" s="1">
        <v>42276</v>
      </c>
      <c r="F186" s="1">
        <v>42305</v>
      </c>
      <c r="G186" t="s">
        <v>185</v>
      </c>
      <c r="H186" s="81">
        <v>185013</v>
      </c>
      <c r="I186" t="s">
        <v>6</v>
      </c>
      <c r="J186" s="3">
        <v>11062.83</v>
      </c>
    </row>
    <row r="187" spans="1:10" x14ac:dyDescent="0.25">
      <c r="A187" t="s">
        <v>183</v>
      </c>
      <c r="B187" t="s">
        <v>5</v>
      </c>
      <c r="C187" s="82" t="s">
        <v>184</v>
      </c>
      <c r="D187">
        <v>201511</v>
      </c>
      <c r="E187" s="1">
        <v>42305</v>
      </c>
      <c r="F187" s="1">
        <v>42339</v>
      </c>
      <c r="G187" t="s">
        <v>185</v>
      </c>
      <c r="H187" s="81">
        <v>385436</v>
      </c>
      <c r="I187" t="s">
        <v>6</v>
      </c>
      <c r="J187" s="3">
        <v>23313.119999999999</v>
      </c>
    </row>
    <row r="188" spans="1:10" x14ac:dyDescent="0.25">
      <c r="A188" t="s">
        <v>183</v>
      </c>
      <c r="B188" t="s">
        <v>5</v>
      </c>
      <c r="C188" s="82" t="s">
        <v>184</v>
      </c>
      <c r="D188">
        <v>201512</v>
      </c>
      <c r="E188" s="1">
        <v>42339</v>
      </c>
      <c r="F188" s="1">
        <v>42369</v>
      </c>
      <c r="G188" t="s">
        <v>185</v>
      </c>
      <c r="H188" s="81">
        <v>343328</v>
      </c>
      <c r="I188" t="s">
        <v>6</v>
      </c>
      <c r="J188" s="3">
        <v>21688.82</v>
      </c>
    </row>
    <row r="189" spans="1:10" x14ac:dyDescent="0.25">
      <c r="A189" t="s">
        <v>183</v>
      </c>
      <c r="B189" t="s">
        <v>5</v>
      </c>
      <c r="C189" s="82" t="s">
        <v>184</v>
      </c>
      <c r="D189">
        <v>201601</v>
      </c>
      <c r="E189" s="1">
        <v>42369</v>
      </c>
      <c r="F189" s="1">
        <v>42401</v>
      </c>
      <c r="G189" t="s">
        <v>185</v>
      </c>
      <c r="H189" s="81">
        <v>364656</v>
      </c>
      <c r="I189" t="s">
        <v>6</v>
      </c>
      <c r="J189" s="3">
        <v>22811.74</v>
      </c>
    </row>
    <row r="190" spans="1:10" x14ac:dyDescent="0.25">
      <c r="A190" t="s">
        <v>183</v>
      </c>
      <c r="B190" t="s">
        <v>5</v>
      </c>
      <c r="C190" s="82" t="s">
        <v>184</v>
      </c>
      <c r="D190">
        <v>201602</v>
      </c>
      <c r="E190" s="1">
        <v>42401</v>
      </c>
      <c r="F190" s="1">
        <v>42430</v>
      </c>
      <c r="G190" t="s">
        <v>185</v>
      </c>
      <c r="H190" s="81">
        <v>336502</v>
      </c>
      <c r="I190" t="s">
        <v>6</v>
      </c>
      <c r="J190" s="3">
        <v>20536.259999999998</v>
      </c>
    </row>
    <row r="191" spans="1:10" x14ac:dyDescent="0.25">
      <c r="A191" t="s">
        <v>183</v>
      </c>
      <c r="B191" t="s">
        <v>5</v>
      </c>
      <c r="C191" s="82" t="s">
        <v>184</v>
      </c>
      <c r="D191">
        <v>201603</v>
      </c>
      <c r="E191" s="1">
        <v>42430</v>
      </c>
      <c r="F191" s="1">
        <v>42460</v>
      </c>
      <c r="G191" t="s">
        <v>185</v>
      </c>
      <c r="H191" s="81">
        <v>316806</v>
      </c>
      <c r="I191" t="s">
        <v>6</v>
      </c>
      <c r="J191" s="3">
        <v>20338.47</v>
      </c>
    </row>
    <row r="192" spans="1:10" x14ac:dyDescent="0.25">
      <c r="A192" t="s">
        <v>183</v>
      </c>
      <c r="B192" t="s">
        <v>5</v>
      </c>
      <c r="C192" s="82" t="s">
        <v>184</v>
      </c>
      <c r="D192">
        <v>201604</v>
      </c>
      <c r="E192" s="1">
        <v>42460</v>
      </c>
      <c r="F192" s="1">
        <v>42489</v>
      </c>
      <c r="G192" t="s">
        <v>185</v>
      </c>
      <c r="H192" s="81">
        <v>304941</v>
      </c>
      <c r="I192" t="s">
        <v>6</v>
      </c>
      <c r="J192" s="3">
        <v>18372.689999999999</v>
      </c>
    </row>
    <row r="193" spans="1:10" x14ac:dyDescent="0.25">
      <c r="A193" t="s">
        <v>183</v>
      </c>
      <c r="B193" t="s">
        <v>5</v>
      </c>
      <c r="C193" s="82" t="s">
        <v>184</v>
      </c>
      <c r="D193">
        <v>201605</v>
      </c>
      <c r="E193" s="1">
        <v>42489</v>
      </c>
      <c r="F193" s="1">
        <v>42521</v>
      </c>
      <c r="G193" t="s">
        <v>185</v>
      </c>
      <c r="H193" s="81">
        <v>308979</v>
      </c>
      <c r="I193" t="s">
        <v>6</v>
      </c>
      <c r="J193" s="3">
        <v>19218.21</v>
      </c>
    </row>
    <row r="194" spans="1:10" x14ac:dyDescent="0.25">
      <c r="A194" t="s">
        <v>183</v>
      </c>
      <c r="B194" t="s">
        <v>5</v>
      </c>
      <c r="C194" s="82" t="s">
        <v>184</v>
      </c>
      <c r="D194">
        <v>201606</v>
      </c>
      <c r="E194" s="1">
        <v>42521</v>
      </c>
      <c r="F194" s="1">
        <v>42550</v>
      </c>
      <c r="G194" t="s">
        <v>185</v>
      </c>
      <c r="H194" s="81">
        <v>327584</v>
      </c>
      <c r="I194" t="s">
        <v>6</v>
      </c>
      <c r="J194" s="3">
        <v>19665.55</v>
      </c>
    </row>
    <row r="195" spans="1:10" x14ac:dyDescent="0.25">
      <c r="A195" t="s">
        <v>142</v>
      </c>
      <c r="B195" t="s">
        <v>5</v>
      </c>
      <c r="C195" s="82" t="s">
        <v>143</v>
      </c>
      <c r="D195">
        <v>201507</v>
      </c>
      <c r="E195" s="1">
        <v>42185</v>
      </c>
      <c r="F195" s="1">
        <v>42216</v>
      </c>
      <c r="G195" t="s">
        <v>144</v>
      </c>
      <c r="H195" s="81">
        <v>27769</v>
      </c>
      <c r="I195" t="s">
        <v>6</v>
      </c>
      <c r="J195" s="3">
        <v>1628.88</v>
      </c>
    </row>
    <row r="196" spans="1:10" x14ac:dyDescent="0.25">
      <c r="A196" t="s">
        <v>142</v>
      </c>
      <c r="B196" t="s">
        <v>5</v>
      </c>
      <c r="C196" s="82" t="s">
        <v>143</v>
      </c>
      <c r="D196">
        <v>201508</v>
      </c>
      <c r="E196" s="1">
        <v>42216</v>
      </c>
      <c r="F196" s="1">
        <v>42243</v>
      </c>
      <c r="G196" t="s">
        <v>144</v>
      </c>
      <c r="H196" s="81">
        <v>15935</v>
      </c>
      <c r="I196" t="s">
        <v>6</v>
      </c>
      <c r="J196" s="3">
        <v>966.28</v>
      </c>
    </row>
    <row r="197" spans="1:10" x14ac:dyDescent="0.25">
      <c r="A197" t="s">
        <v>142</v>
      </c>
      <c r="B197" t="s">
        <v>5</v>
      </c>
      <c r="C197" s="82" t="s">
        <v>143</v>
      </c>
      <c r="D197">
        <v>201509</v>
      </c>
      <c r="E197" s="1">
        <v>42243</v>
      </c>
      <c r="F197" s="1">
        <v>42276</v>
      </c>
      <c r="G197" t="s">
        <v>144</v>
      </c>
      <c r="H197" s="81">
        <v>37969</v>
      </c>
      <c r="I197" t="s">
        <v>6</v>
      </c>
      <c r="J197" s="3">
        <v>2221.37</v>
      </c>
    </row>
    <row r="198" spans="1:10" x14ac:dyDescent="0.25">
      <c r="A198" t="s">
        <v>142</v>
      </c>
      <c r="B198" t="s">
        <v>5</v>
      </c>
      <c r="C198" s="82" t="s">
        <v>143</v>
      </c>
      <c r="D198">
        <v>201510</v>
      </c>
      <c r="E198" s="1">
        <v>42276</v>
      </c>
      <c r="F198" s="1">
        <v>42305</v>
      </c>
      <c r="G198" t="s">
        <v>144</v>
      </c>
      <c r="H198" s="81">
        <v>27303</v>
      </c>
      <c r="I198" t="s">
        <v>6</v>
      </c>
      <c r="J198" s="3">
        <v>1632.58</v>
      </c>
    </row>
    <row r="199" spans="1:10" x14ac:dyDescent="0.25">
      <c r="A199" t="s">
        <v>142</v>
      </c>
      <c r="B199" t="s">
        <v>5</v>
      </c>
      <c r="C199" s="82" t="s">
        <v>143</v>
      </c>
      <c r="D199">
        <v>201511</v>
      </c>
      <c r="E199" s="1">
        <v>42305</v>
      </c>
      <c r="F199" s="1">
        <v>42339</v>
      </c>
      <c r="G199" t="s">
        <v>144</v>
      </c>
      <c r="H199" s="81">
        <v>50153</v>
      </c>
      <c r="I199" t="s">
        <v>6</v>
      </c>
      <c r="J199" s="3">
        <v>3033.51</v>
      </c>
    </row>
    <row r="200" spans="1:10" x14ac:dyDescent="0.25">
      <c r="A200" t="s">
        <v>142</v>
      </c>
      <c r="B200" t="s">
        <v>5</v>
      </c>
      <c r="C200" s="82" t="s">
        <v>143</v>
      </c>
      <c r="D200">
        <v>201512</v>
      </c>
      <c r="E200" s="1">
        <v>42339</v>
      </c>
      <c r="F200" s="1">
        <v>42369</v>
      </c>
      <c r="G200" t="s">
        <v>144</v>
      </c>
      <c r="H200" s="81">
        <v>37243</v>
      </c>
      <c r="I200" t="s">
        <v>6</v>
      </c>
      <c r="J200" s="3">
        <v>2352.73</v>
      </c>
    </row>
    <row r="201" spans="1:10" x14ac:dyDescent="0.25">
      <c r="A201" t="s">
        <v>142</v>
      </c>
      <c r="B201" t="s">
        <v>5</v>
      </c>
      <c r="C201" s="82" t="s">
        <v>143</v>
      </c>
      <c r="D201">
        <v>201601</v>
      </c>
      <c r="E201" s="1">
        <v>42369</v>
      </c>
      <c r="F201" s="1">
        <v>42401</v>
      </c>
      <c r="G201" t="s">
        <v>144</v>
      </c>
      <c r="H201" s="81">
        <v>44157</v>
      </c>
      <c r="I201" t="s">
        <v>6</v>
      </c>
      <c r="J201" s="3">
        <v>2762.32</v>
      </c>
    </row>
    <row r="202" spans="1:10" x14ac:dyDescent="0.25">
      <c r="A202" t="s">
        <v>142</v>
      </c>
      <c r="B202" t="s">
        <v>5</v>
      </c>
      <c r="C202" s="82" t="s">
        <v>143</v>
      </c>
      <c r="D202">
        <v>201602</v>
      </c>
      <c r="E202" s="1">
        <v>42401</v>
      </c>
      <c r="F202" s="1">
        <v>42430</v>
      </c>
      <c r="G202" t="s">
        <v>144</v>
      </c>
      <c r="H202" s="81">
        <v>41405</v>
      </c>
      <c r="I202" t="s">
        <v>6</v>
      </c>
      <c r="J202" s="3">
        <v>2526.89</v>
      </c>
    </row>
    <row r="203" spans="1:10" x14ac:dyDescent="0.25">
      <c r="A203" t="s">
        <v>142</v>
      </c>
      <c r="B203" t="s">
        <v>5</v>
      </c>
      <c r="C203" s="82" t="s">
        <v>143</v>
      </c>
      <c r="D203">
        <v>201603</v>
      </c>
      <c r="E203" s="1">
        <v>42430</v>
      </c>
      <c r="F203" s="1">
        <v>42460</v>
      </c>
      <c r="G203" t="s">
        <v>144</v>
      </c>
      <c r="H203" s="81">
        <v>38830</v>
      </c>
      <c r="I203" t="s">
        <v>6</v>
      </c>
      <c r="J203" s="3">
        <v>2492.83</v>
      </c>
    </row>
    <row r="204" spans="1:10" x14ac:dyDescent="0.25">
      <c r="A204" t="s">
        <v>142</v>
      </c>
      <c r="B204" t="s">
        <v>5</v>
      </c>
      <c r="C204" s="82" t="s">
        <v>143</v>
      </c>
      <c r="D204">
        <v>201604</v>
      </c>
      <c r="E204" s="1">
        <v>42460</v>
      </c>
      <c r="F204" s="1">
        <v>42489</v>
      </c>
      <c r="G204" t="s">
        <v>144</v>
      </c>
      <c r="H204" s="81">
        <v>36041</v>
      </c>
      <c r="I204" t="s">
        <v>6</v>
      </c>
      <c r="J204" s="3">
        <v>2171.4699999999998</v>
      </c>
    </row>
    <row r="205" spans="1:10" x14ac:dyDescent="0.25">
      <c r="A205" t="s">
        <v>142</v>
      </c>
      <c r="B205" t="s">
        <v>5</v>
      </c>
      <c r="C205" s="82" t="s">
        <v>143</v>
      </c>
      <c r="D205">
        <v>201605</v>
      </c>
      <c r="E205" s="1">
        <v>42489</v>
      </c>
      <c r="F205" s="1">
        <v>42521</v>
      </c>
      <c r="G205" t="s">
        <v>144</v>
      </c>
      <c r="H205" s="81">
        <v>38262</v>
      </c>
      <c r="I205" t="s">
        <v>6</v>
      </c>
      <c r="J205" s="3">
        <v>2379.86</v>
      </c>
    </row>
    <row r="206" spans="1:10" x14ac:dyDescent="0.25">
      <c r="A206" t="s">
        <v>142</v>
      </c>
      <c r="B206" t="s">
        <v>5</v>
      </c>
      <c r="C206" s="82" t="s">
        <v>143</v>
      </c>
      <c r="D206">
        <v>201606</v>
      </c>
      <c r="E206" s="1">
        <v>42521</v>
      </c>
      <c r="F206" s="1">
        <v>42550</v>
      </c>
      <c r="G206" t="s">
        <v>144</v>
      </c>
      <c r="H206" s="81">
        <v>33769</v>
      </c>
      <c r="I206" t="s">
        <v>6</v>
      </c>
      <c r="J206" s="3">
        <v>2027.22</v>
      </c>
    </row>
    <row r="207" spans="1:10" x14ac:dyDescent="0.25">
      <c r="A207" t="s">
        <v>127</v>
      </c>
      <c r="B207" t="s">
        <v>5</v>
      </c>
      <c r="C207" s="82">
        <v>3183072507</v>
      </c>
      <c r="D207">
        <v>201507</v>
      </c>
      <c r="E207" s="1">
        <v>42186</v>
      </c>
      <c r="F207" s="1">
        <v>42219</v>
      </c>
      <c r="G207" t="s">
        <v>128</v>
      </c>
      <c r="H207" s="81">
        <v>2640</v>
      </c>
      <c r="I207" t="s">
        <v>6</v>
      </c>
      <c r="J207" s="3">
        <v>246.69</v>
      </c>
    </row>
    <row r="208" spans="1:10" x14ac:dyDescent="0.25">
      <c r="A208" t="s">
        <v>127</v>
      </c>
      <c r="B208" t="s">
        <v>5</v>
      </c>
      <c r="C208" s="82">
        <v>3183072507</v>
      </c>
      <c r="D208">
        <v>201508</v>
      </c>
      <c r="E208" s="1">
        <v>42219</v>
      </c>
      <c r="F208" s="1">
        <v>42244</v>
      </c>
      <c r="G208" t="s">
        <v>128</v>
      </c>
      <c r="H208" s="81">
        <v>2160</v>
      </c>
      <c r="I208" t="s">
        <v>6</v>
      </c>
      <c r="J208" s="3">
        <v>202</v>
      </c>
    </row>
    <row r="209" spans="1:10" x14ac:dyDescent="0.25">
      <c r="A209" t="s">
        <v>127</v>
      </c>
      <c r="B209" t="s">
        <v>5</v>
      </c>
      <c r="C209" s="82">
        <v>3183072507</v>
      </c>
      <c r="D209">
        <v>201509</v>
      </c>
      <c r="E209" s="1">
        <v>42244</v>
      </c>
      <c r="F209" s="1">
        <v>42276</v>
      </c>
      <c r="G209" t="s">
        <v>128</v>
      </c>
      <c r="H209" s="81">
        <v>2960</v>
      </c>
      <c r="I209" t="s">
        <v>6</v>
      </c>
      <c r="J209" s="3">
        <v>273.11</v>
      </c>
    </row>
    <row r="210" spans="1:10" x14ac:dyDescent="0.25">
      <c r="A210" t="s">
        <v>127</v>
      </c>
      <c r="B210" t="s">
        <v>5</v>
      </c>
      <c r="C210" s="82">
        <v>3183072507</v>
      </c>
      <c r="D210">
        <v>201510</v>
      </c>
      <c r="E210" s="1">
        <v>42276</v>
      </c>
      <c r="F210" s="1">
        <v>42305</v>
      </c>
      <c r="G210" t="s">
        <v>128</v>
      </c>
      <c r="H210" s="81">
        <v>3080</v>
      </c>
      <c r="I210" t="s">
        <v>6</v>
      </c>
      <c r="J210" s="3">
        <v>283.52</v>
      </c>
    </row>
    <row r="211" spans="1:10" x14ac:dyDescent="0.25">
      <c r="A211" t="s">
        <v>127</v>
      </c>
      <c r="B211" t="s">
        <v>5</v>
      </c>
      <c r="C211" s="82">
        <v>3183072507</v>
      </c>
      <c r="D211">
        <v>201511</v>
      </c>
      <c r="E211" s="1">
        <v>42305</v>
      </c>
      <c r="F211" s="1">
        <v>42341</v>
      </c>
      <c r="G211" t="s">
        <v>128</v>
      </c>
      <c r="H211" s="81">
        <v>3840</v>
      </c>
      <c r="I211" t="s">
        <v>6</v>
      </c>
      <c r="J211" s="3">
        <v>350.19</v>
      </c>
    </row>
    <row r="212" spans="1:10" x14ac:dyDescent="0.25">
      <c r="A212" t="s">
        <v>127</v>
      </c>
      <c r="B212" t="s">
        <v>5</v>
      </c>
      <c r="C212" s="82">
        <v>3183072507</v>
      </c>
      <c r="D212">
        <v>201512</v>
      </c>
      <c r="E212" s="1">
        <v>42341</v>
      </c>
      <c r="F212" s="1">
        <v>42373</v>
      </c>
      <c r="G212" t="s">
        <v>128</v>
      </c>
      <c r="H212" s="81">
        <v>3920</v>
      </c>
      <c r="I212" t="s">
        <v>6</v>
      </c>
      <c r="J212" s="3">
        <v>340.04</v>
      </c>
    </row>
    <row r="213" spans="1:10" x14ac:dyDescent="0.25">
      <c r="A213" t="s">
        <v>127</v>
      </c>
      <c r="B213" t="s">
        <v>5</v>
      </c>
      <c r="C213" s="82">
        <v>3183072507</v>
      </c>
      <c r="D213">
        <v>201601</v>
      </c>
      <c r="E213" s="1">
        <v>42373</v>
      </c>
      <c r="F213" s="1">
        <v>42403</v>
      </c>
      <c r="G213" t="s">
        <v>128</v>
      </c>
      <c r="H213" s="81">
        <v>5280</v>
      </c>
      <c r="I213" t="s">
        <v>6</v>
      </c>
      <c r="J213" s="3">
        <v>472.63</v>
      </c>
    </row>
    <row r="214" spans="1:10" x14ac:dyDescent="0.25">
      <c r="A214" t="s">
        <v>127</v>
      </c>
      <c r="B214" t="s">
        <v>5</v>
      </c>
      <c r="C214" s="82">
        <v>3183072507</v>
      </c>
      <c r="D214">
        <v>201602</v>
      </c>
      <c r="E214" s="1">
        <v>42403</v>
      </c>
      <c r="F214" s="1">
        <v>42430</v>
      </c>
      <c r="G214" t="s">
        <v>128</v>
      </c>
      <c r="H214" s="81">
        <v>4680</v>
      </c>
      <c r="I214" t="s">
        <v>6</v>
      </c>
      <c r="J214" s="3">
        <v>419.45</v>
      </c>
    </row>
    <row r="215" spans="1:10" x14ac:dyDescent="0.25">
      <c r="A215" t="s">
        <v>127</v>
      </c>
      <c r="B215" t="s">
        <v>5</v>
      </c>
      <c r="C215" s="82">
        <v>3183072507</v>
      </c>
      <c r="D215">
        <v>201603</v>
      </c>
      <c r="E215" s="1">
        <v>42430</v>
      </c>
      <c r="F215" s="1">
        <v>42464</v>
      </c>
      <c r="G215" t="s">
        <v>128</v>
      </c>
      <c r="H215" s="81">
        <v>4760</v>
      </c>
      <c r="I215" t="s">
        <v>6</v>
      </c>
      <c r="J215" s="3">
        <v>425.19</v>
      </c>
    </row>
    <row r="216" spans="1:10" x14ac:dyDescent="0.25">
      <c r="A216" t="s">
        <v>127</v>
      </c>
      <c r="B216" t="s">
        <v>5</v>
      </c>
      <c r="C216" s="82">
        <v>3183072507</v>
      </c>
      <c r="D216">
        <v>201604</v>
      </c>
      <c r="E216" s="1">
        <v>42464</v>
      </c>
      <c r="F216" s="1">
        <v>42492</v>
      </c>
      <c r="G216" t="s">
        <v>128</v>
      </c>
      <c r="H216" s="81">
        <v>3400</v>
      </c>
      <c r="I216" t="s">
        <v>6</v>
      </c>
      <c r="J216" s="3">
        <v>312.74</v>
      </c>
    </row>
    <row r="217" spans="1:10" x14ac:dyDescent="0.25">
      <c r="A217" t="s">
        <v>127</v>
      </c>
      <c r="B217" t="s">
        <v>5</v>
      </c>
      <c r="C217" s="82">
        <v>3183072507</v>
      </c>
      <c r="D217">
        <v>201605</v>
      </c>
      <c r="E217" s="1">
        <v>42492</v>
      </c>
      <c r="F217" s="1">
        <v>42521</v>
      </c>
      <c r="G217" t="s">
        <v>128</v>
      </c>
      <c r="H217" s="81">
        <v>3360</v>
      </c>
      <c r="I217" t="s">
        <v>6</v>
      </c>
      <c r="J217" s="3">
        <v>311.33999999999997</v>
      </c>
    </row>
    <row r="218" spans="1:10" x14ac:dyDescent="0.25">
      <c r="A218" t="s">
        <v>127</v>
      </c>
      <c r="B218" t="s">
        <v>5</v>
      </c>
      <c r="C218" s="82">
        <v>3183072507</v>
      </c>
      <c r="D218">
        <v>201606</v>
      </c>
      <c r="E218" s="1">
        <v>42521</v>
      </c>
      <c r="F218" s="1">
        <v>42550</v>
      </c>
      <c r="G218" t="s">
        <v>128</v>
      </c>
      <c r="H218" s="81">
        <v>2560</v>
      </c>
      <c r="I218" t="s">
        <v>6</v>
      </c>
      <c r="J218" s="3">
        <v>239.62</v>
      </c>
    </row>
    <row r="219" spans="1:10" x14ac:dyDescent="0.25">
      <c r="A219" t="s">
        <v>127</v>
      </c>
      <c r="B219" t="s">
        <v>5</v>
      </c>
      <c r="C219" s="82">
        <v>9137792744</v>
      </c>
      <c r="D219">
        <v>201507</v>
      </c>
      <c r="E219" s="1">
        <v>42186</v>
      </c>
      <c r="F219" s="1">
        <v>42219</v>
      </c>
      <c r="G219" t="s">
        <v>132</v>
      </c>
      <c r="H219" s="81">
        <v>2846</v>
      </c>
      <c r="I219" t="s">
        <v>6</v>
      </c>
      <c r="J219" s="3">
        <v>265.16000000000003</v>
      </c>
    </row>
    <row r="220" spans="1:10" x14ac:dyDescent="0.25">
      <c r="A220" t="s">
        <v>127</v>
      </c>
      <c r="B220" t="s">
        <v>5</v>
      </c>
      <c r="C220" s="82">
        <v>9137792744</v>
      </c>
      <c r="D220">
        <v>201508</v>
      </c>
      <c r="E220" s="1">
        <v>42219</v>
      </c>
      <c r="F220" s="1">
        <v>42244</v>
      </c>
      <c r="G220" t="s">
        <v>132</v>
      </c>
      <c r="H220" s="81">
        <v>2057</v>
      </c>
      <c r="I220" t="s">
        <v>6</v>
      </c>
      <c r="J220" s="3">
        <v>192.76</v>
      </c>
    </row>
    <row r="221" spans="1:10" x14ac:dyDescent="0.25">
      <c r="A221" t="s">
        <v>127</v>
      </c>
      <c r="B221" t="s">
        <v>5</v>
      </c>
      <c r="C221" s="82">
        <v>9137792744</v>
      </c>
      <c r="D221">
        <v>201509</v>
      </c>
      <c r="E221" s="1">
        <v>42244</v>
      </c>
      <c r="F221" s="1">
        <v>42276</v>
      </c>
      <c r="G221" t="s">
        <v>132</v>
      </c>
      <c r="H221" s="81">
        <v>2221</v>
      </c>
      <c r="I221" t="s">
        <v>6</v>
      </c>
      <c r="J221" s="3">
        <v>207.44</v>
      </c>
    </row>
    <row r="222" spans="1:10" x14ac:dyDescent="0.25">
      <c r="A222" t="s">
        <v>127</v>
      </c>
      <c r="B222" t="s">
        <v>5</v>
      </c>
      <c r="C222" s="82">
        <v>9137792744</v>
      </c>
      <c r="D222">
        <v>201510</v>
      </c>
      <c r="E222" s="1">
        <v>42276</v>
      </c>
      <c r="F222" s="1">
        <v>42305</v>
      </c>
      <c r="G222" t="s">
        <v>132</v>
      </c>
      <c r="H222" s="81">
        <v>1359</v>
      </c>
      <c r="I222" t="s">
        <v>6</v>
      </c>
      <c r="J222" s="3">
        <v>130.75</v>
      </c>
    </row>
    <row r="223" spans="1:10" x14ac:dyDescent="0.25">
      <c r="A223" t="s">
        <v>127</v>
      </c>
      <c r="B223" t="s">
        <v>5</v>
      </c>
      <c r="C223" s="82">
        <v>9137792744</v>
      </c>
      <c r="D223">
        <v>201511</v>
      </c>
      <c r="E223" s="1">
        <v>42305</v>
      </c>
      <c r="F223" s="1">
        <v>42341</v>
      </c>
      <c r="G223" t="s">
        <v>132</v>
      </c>
      <c r="H223" s="81">
        <v>1161</v>
      </c>
      <c r="I223" t="s">
        <v>6</v>
      </c>
      <c r="J223" s="3">
        <v>113.19</v>
      </c>
    </row>
    <row r="224" spans="1:10" x14ac:dyDescent="0.25">
      <c r="A224" t="s">
        <v>127</v>
      </c>
      <c r="B224" t="s">
        <v>5</v>
      </c>
      <c r="C224" s="82">
        <v>9137792744</v>
      </c>
      <c r="D224">
        <v>201512</v>
      </c>
      <c r="E224" s="1">
        <v>42341</v>
      </c>
      <c r="F224" s="1">
        <v>42373</v>
      </c>
      <c r="G224" t="s">
        <v>132</v>
      </c>
      <c r="H224" s="81">
        <v>919</v>
      </c>
      <c r="I224" t="s">
        <v>6</v>
      </c>
      <c r="J224" s="3">
        <v>91.68</v>
      </c>
    </row>
    <row r="225" spans="1:10" x14ac:dyDescent="0.25">
      <c r="A225" t="s">
        <v>127</v>
      </c>
      <c r="B225" t="s">
        <v>5</v>
      </c>
      <c r="C225" s="82">
        <v>9137792744</v>
      </c>
      <c r="D225">
        <v>201601</v>
      </c>
      <c r="E225" s="1">
        <v>42373</v>
      </c>
      <c r="F225" s="1">
        <v>42403</v>
      </c>
      <c r="G225" t="s">
        <v>132</v>
      </c>
      <c r="H225" s="81">
        <v>741</v>
      </c>
      <c r="I225" t="s">
        <v>6</v>
      </c>
      <c r="J225" s="3">
        <v>75.8</v>
      </c>
    </row>
    <row r="226" spans="1:10" x14ac:dyDescent="0.25">
      <c r="A226" t="s">
        <v>127</v>
      </c>
      <c r="B226" t="s">
        <v>5</v>
      </c>
      <c r="C226" s="82">
        <v>9137792744</v>
      </c>
      <c r="D226">
        <v>201602</v>
      </c>
      <c r="E226" s="1">
        <v>42403</v>
      </c>
      <c r="F226" s="1">
        <v>42430</v>
      </c>
      <c r="G226" t="s">
        <v>132</v>
      </c>
      <c r="H226" s="81">
        <v>662</v>
      </c>
      <c r="I226" t="s">
        <v>6</v>
      </c>
      <c r="J226" s="3">
        <v>68.8</v>
      </c>
    </row>
    <row r="227" spans="1:10" x14ac:dyDescent="0.25">
      <c r="A227" t="s">
        <v>127</v>
      </c>
      <c r="B227" t="s">
        <v>5</v>
      </c>
      <c r="C227" s="82">
        <v>9137792744</v>
      </c>
      <c r="D227">
        <v>201603</v>
      </c>
      <c r="E227" s="1">
        <v>42430</v>
      </c>
      <c r="F227" s="1">
        <v>42464</v>
      </c>
      <c r="G227" t="s">
        <v>132</v>
      </c>
      <c r="H227" s="81">
        <v>1077</v>
      </c>
      <c r="I227" t="s">
        <v>6</v>
      </c>
      <c r="J227" s="3">
        <v>105.62</v>
      </c>
    </row>
    <row r="228" spans="1:10" x14ac:dyDescent="0.25">
      <c r="A228" t="s">
        <v>127</v>
      </c>
      <c r="B228" t="s">
        <v>5</v>
      </c>
      <c r="C228" s="82">
        <v>9137792744</v>
      </c>
      <c r="D228">
        <v>201604</v>
      </c>
      <c r="E228" s="1">
        <v>42464</v>
      </c>
      <c r="F228" s="1">
        <v>42492</v>
      </c>
      <c r="G228" t="s">
        <v>132</v>
      </c>
      <c r="H228" s="81">
        <v>1097</v>
      </c>
      <c r="I228" t="s">
        <v>6</v>
      </c>
      <c r="J228" s="3">
        <v>107.79</v>
      </c>
    </row>
    <row r="229" spans="1:10" x14ac:dyDescent="0.25">
      <c r="A229" t="s">
        <v>127</v>
      </c>
      <c r="B229" t="s">
        <v>5</v>
      </c>
      <c r="C229" s="82">
        <v>9137792744</v>
      </c>
      <c r="D229">
        <v>201605</v>
      </c>
      <c r="E229" s="1">
        <v>42492</v>
      </c>
      <c r="F229" s="1">
        <v>42521</v>
      </c>
      <c r="G229" t="s">
        <v>132</v>
      </c>
      <c r="H229" s="81">
        <v>1513</v>
      </c>
      <c r="I229" t="s">
        <v>6</v>
      </c>
      <c r="J229" s="3">
        <v>145.75</v>
      </c>
    </row>
    <row r="230" spans="1:10" x14ac:dyDescent="0.25">
      <c r="A230" t="s">
        <v>127</v>
      </c>
      <c r="B230" t="s">
        <v>5</v>
      </c>
      <c r="C230" s="82">
        <v>9137792744</v>
      </c>
      <c r="D230">
        <v>201606</v>
      </c>
      <c r="E230" s="1">
        <v>42521</v>
      </c>
      <c r="F230" s="1">
        <v>42550</v>
      </c>
      <c r="G230" t="s">
        <v>132</v>
      </c>
      <c r="H230" s="81">
        <v>2767</v>
      </c>
      <c r="I230" t="s">
        <v>6</v>
      </c>
      <c r="J230" s="3">
        <v>258.17</v>
      </c>
    </row>
    <row r="231" spans="1:10" x14ac:dyDescent="0.25">
      <c r="A231" t="s">
        <v>166</v>
      </c>
      <c r="B231" t="s">
        <v>5</v>
      </c>
      <c r="C231" s="82">
        <v>3195053792</v>
      </c>
      <c r="D231">
        <v>201507</v>
      </c>
      <c r="E231" s="1">
        <v>42184</v>
      </c>
      <c r="F231" s="1">
        <v>42213</v>
      </c>
      <c r="G231" t="s">
        <v>174</v>
      </c>
      <c r="H231" s="81">
        <v>2080</v>
      </c>
      <c r="I231" t="s">
        <v>6</v>
      </c>
      <c r="J231" s="3">
        <v>196.52</v>
      </c>
    </row>
    <row r="232" spans="1:10" x14ac:dyDescent="0.25">
      <c r="A232" t="s">
        <v>166</v>
      </c>
      <c r="B232" t="s">
        <v>5</v>
      </c>
      <c r="C232" s="82">
        <v>3195053792</v>
      </c>
      <c r="D232">
        <v>201508</v>
      </c>
      <c r="E232" s="1">
        <v>42213</v>
      </c>
      <c r="F232" s="1">
        <v>42240</v>
      </c>
      <c r="G232" t="s">
        <v>174</v>
      </c>
      <c r="H232" s="81">
        <v>3440</v>
      </c>
      <c r="I232" t="s">
        <v>6</v>
      </c>
      <c r="J232" s="3">
        <v>309.8</v>
      </c>
    </row>
    <row r="233" spans="1:10" x14ac:dyDescent="0.25">
      <c r="A233" t="s">
        <v>166</v>
      </c>
      <c r="B233" t="s">
        <v>5</v>
      </c>
      <c r="C233" s="82">
        <v>3195053792</v>
      </c>
      <c r="D233">
        <v>201509</v>
      </c>
      <c r="E233" s="1">
        <v>42240</v>
      </c>
      <c r="F233" s="1">
        <v>42271</v>
      </c>
      <c r="G233" t="s">
        <v>174</v>
      </c>
      <c r="H233" s="81">
        <v>3640</v>
      </c>
      <c r="I233" t="s">
        <v>6</v>
      </c>
      <c r="J233" s="3">
        <v>321.45</v>
      </c>
    </row>
    <row r="234" spans="1:10" x14ac:dyDescent="0.25">
      <c r="A234" t="s">
        <v>166</v>
      </c>
      <c r="B234" t="s">
        <v>5</v>
      </c>
      <c r="C234" s="82">
        <v>3195053792</v>
      </c>
      <c r="D234">
        <v>201510</v>
      </c>
      <c r="E234" s="1">
        <v>42271</v>
      </c>
      <c r="F234" s="1">
        <v>42299</v>
      </c>
      <c r="G234" t="s">
        <v>174</v>
      </c>
      <c r="H234" s="81">
        <v>2080</v>
      </c>
      <c r="I234" t="s">
        <v>6</v>
      </c>
      <c r="J234" s="3">
        <v>194.76</v>
      </c>
    </row>
    <row r="235" spans="1:10" x14ac:dyDescent="0.25">
      <c r="A235" t="s">
        <v>166</v>
      </c>
      <c r="B235" t="s">
        <v>5</v>
      </c>
      <c r="C235" s="82">
        <v>3195053792</v>
      </c>
      <c r="D235">
        <v>201511</v>
      </c>
      <c r="E235" s="1">
        <v>42299</v>
      </c>
      <c r="F235" s="1">
        <v>42332</v>
      </c>
      <c r="G235" t="s">
        <v>174</v>
      </c>
      <c r="H235" s="81">
        <v>2080</v>
      </c>
      <c r="I235" t="s">
        <v>6</v>
      </c>
      <c r="J235" s="3">
        <v>194.76</v>
      </c>
    </row>
    <row r="236" spans="1:10" x14ac:dyDescent="0.25">
      <c r="A236" t="s">
        <v>166</v>
      </c>
      <c r="B236" t="s">
        <v>5</v>
      </c>
      <c r="C236" s="82">
        <v>3195053792</v>
      </c>
      <c r="D236">
        <v>201512</v>
      </c>
      <c r="E236" s="1">
        <v>42332</v>
      </c>
      <c r="F236" s="1">
        <v>42361</v>
      </c>
      <c r="G236" t="s">
        <v>174</v>
      </c>
      <c r="H236" s="81">
        <v>2000</v>
      </c>
      <c r="I236" t="s">
        <v>6</v>
      </c>
      <c r="J236" s="3">
        <v>187.65</v>
      </c>
    </row>
    <row r="237" spans="1:10" x14ac:dyDescent="0.25">
      <c r="A237" t="s">
        <v>166</v>
      </c>
      <c r="B237" t="s">
        <v>5</v>
      </c>
      <c r="C237" s="82">
        <v>3195053792</v>
      </c>
      <c r="D237">
        <v>201601</v>
      </c>
      <c r="E237" s="1">
        <v>42361</v>
      </c>
      <c r="F237" s="1">
        <v>42397</v>
      </c>
      <c r="G237" t="s">
        <v>174</v>
      </c>
      <c r="H237" s="81">
        <v>3160</v>
      </c>
      <c r="I237" t="s">
        <v>6</v>
      </c>
      <c r="J237" s="3">
        <v>287.17</v>
      </c>
    </row>
    <row r="238" spans="1:10" x14ac:dyDescent="0.25">
      <c r="A238" t="s">
        <v>166</v>
      </c>
      <c r="B238" t="s">
        <v>5</v>
      </c>
      <c r="C238" s="82">
        <v>3195053792</v>
      </c>
      <c r="D238">
        <v>201602</v>
      </c>
      <c r="E238" s="1">
        <v>42397</v>
      </c>
      <c r="F238" s="1">
        <v>42425</v>
      </c>
      <c r="G238" t="s">
        <v>174</v>
      </c>
      <c r="H238" s="81">
        <v>2200</v>
      </c>
      <c r="I238" t="s">
        <v>6</v>
      </c>
      <c r="J238" s="3">
        <v>205.12</v>
      </c>
    </row>
    <row r="239" spans="1:10" x14ac:dyDescent="0.25">
      <c r="A239" t="s">
        <v>166</v>
      </c>
      <c r="B239" t="s">
        <v>5</v>
      </c>
      <c r="C239" s="82">
        <v>3195053792</v>
      </c>
      <c r="D239">
        <v>201603</v>
      </c>
      <c r="E239" s="1">
        <v>42425</v>
      </c>
      <c r="F239" s="1">
        <v>42457</v>
      </c>
      <c r="G239" t="s">
        <v>174</v>
      </c>
      <c r="H239" s="81">
        <v>2080</v>
      </c>
      <c r="I239" t="s">
        <v>6</v>
      </c>
      <c r="J239" s="3">
        <v>194.49</v>
      </c>
    </row>
    <row r="240" spans="1:10" x14ac:dyDescent="0.25">
      <c r="A240" t="s">
        <v>166</v>
      </c>
      <c r="B240" t="s">
        <v>5</v>
      </c>
      <c r="C240" s="82">
        <v>3195053792</v>
      </c>
      <c r="D240">
        <v>201604</v>
      </c>
      <c r="E240" s="1">
        <v>42457</v>
      </c>
      <c r="F240" s="1">
        <v>42488</v>
      </c>
      <c r="G240" t="s">
        <v>174</v>
      </c>
      <c r="H240" s="81">
        <v>2000</v>
      </c>
      <c r="I240" t="s">
        <v>6</v>
      </c>
      <c r="J240" s="3">
        <v>187.95</v>
      </c>
    </row>
    <row r="241" spans="1:10" x14ac:dyDescent="0.25">
      <c r="A241" t="s">
        <v>166</v>
      </c>
      <c r="B241" t="s">
        <v>5</v>
      </c>
      <c r="C241" s="82">
        <v>3195053792</v>
      </c>
      <c r="D241">
        <v>201605</v>
      </c>
      <c r="E241" s="1">
        <v>42488</v>
      </c>
      <c r="F241" s="1">
        <v>42516</v>
      </c>
      <c r="G241" t="s">
        <v>174</v>
      </c>
      <c r="H241" s="81">
        <v>2280</v>
      </c>
      <c r="I241" t="s">
        <v>6</v>
      </c>
      <c r="J241" s="3">
        <v>214.4</v>
      </c>
    </row>
    <row r="242" spans="1:10" x14ac:dyDescent="0.25">
      <c r="A242" t="s">
        <v>166</v>
      </c>
      <c r="B242" t="s">
        <v>5</v>
      </c>
      <c r="C242" s="82">
        <v>3195053792</v>
      </c>
      <c r="D242">
        <v>201606</v>
      </c>
      <c r="E242" s="1">
        <v>42516</v>
      </c>
      <c r="F242" s="1">
        <v>42544</v>
      </c>
      <c r="G242" t="s">
        <v>174</v>
      </c>
      <c r="H242" s="81">
        <v>3680</v>
      </c>
      <c r="I242" t="s">
        <v>6</v>
      </c>
      <c r="J242" s="3">
        <v>326.75</v>
      </c>
    </row>
    <row r="243" spans="1:10" x14ac:dyDescent="0.25">
      <c r="A243" t="s">
        <v>53</v>
      </c>
      <c r="B243" t="s">
        <v>5</v>
      </c>
      <c r="C243" s="82" t="s">
        <v>55</v>
      </c>
      <c r="D243">
        <v>201507</v>
      </c>
      <c r="E243" s="1">
        <v>42185</v>
      </c>
      <c r="F243" s="1">
        <v>42216</v>
      </c>
      <c r="G243" t="s">
        <v>55</v>
      </c>
      <c r="H243" s="81">
        <v>2830</v>
      </c>
      <c r="I243" t="s">
        <v>6</v>
      </c>
      <c r="J243" s="3">
        <v>166</v>
      </c>
    </row>
    <row r="244" spans="1:10" x14ac:dyDescent="0.25">
      <c r="A244" t="s">
        <v>53</v>
      </c>
      <c r="B244" t="s">
        <v>5</v>
      </c>
      <c r="C244" s="82" t="s">
        <v>55</v>
      </c>
      <c r="D244">
        <v>201508</v>
      </c>
      <c r="E244" s="1">
        <v>42216</v>
      </c>
      <c r="F244" s="1">
        <v>42243</v>
      </c>
      <c r="G244" t="s">
        <v>55</v>
      </c>
      <c r="H244" s="81">
        <v>2123</v>
      </c>
      <c r="I244" t="s">
        <v>6</v>
      </c>
      <c r="J244" s="3">
        <v>128.74</v>
      </c>
    </row>
    <row r="245" spans="1:10" x14ac:dyDescent="0.25">
      <c r="A245" t="s">
        <v>53</v>
      </c>
      <c r="B245" t="s">
        <v>5</v>
      </c>
      <c r="C245" s="82" t="s">
        <v>55</v>
      </c>
      <c r="D245">
        <v>201509</v>
      </c>
      <c r="E245" s="1">
        <v>42243</v>
      </c>
      <c r="F245" s="1">
        <v>42276</v>
      </c>
      <c r="G245" t="s">
        <v>55</v>
      </c>
      <c r="H245" s="81">
        <v>3778</v>
      </c>
      <c r="I245" t="s">
        <v>6</v>
      </c>
      <c r="J245" s="3">
        <v>221.03</v>
      </c>
    </row>
    <row r="246" spans="1:10" x14ac:dyDescent="0.25">
      <c r="A246" t="s">
        <v>53</v>
      </c>
      <c r="B246" t="s">
        <v>5</v>
      </c>
      <c r="C246" s="82" t="s">
        <v>55</v>
      </c>
      <c r="D246">
        <v>201510</v>
      </c>
      <c r="E246" s="1">
        <v>42276</v>
      </c>
      <c r="F246" s="1">
        <v>42305</v>
      </c>
      <c r="G246" t="s">
        <v>55</v>
      </c>
      <c r="H246" s="81">
        <v>2994</v>
      </c>
      <c r="I246" t="s">
        <v>6</v>
      </c>
      <c r="J246" s="3">
        <v>179.03</v>
      </c>
    </row>
    <row r="247" spans="1:10" x14ac:dyDescent="0.25">
      <c r="A247" t="s">
        <v>53</v>
      </c>
      <c r="B247" t="s">
        <v>5</v>
      </c>
      <c r="C247" s="82" t="s">
        <v>55</v>
      </c>
      <c r="D247">
        <v>201511</v>
      </c>
      <c r="E247" s="1">
        <v>42305</v>
      </c>
      <c r="F247" s="1">
        <v>42339</v>
      </c>
      <c r="G247" t="s">
        <v>55</v>
      </c>
      <c r="H247" s="81">
        <v>2747</v>
      </c>
      <c r="I247" t="s">
        <v>6</v>
      </c>
      <c r="J247" s="3">
        <v>166.15</v>
      </c>
    </row>
    <row r="248" spans="1:10" x14ac:dyDescent="0.25">
      <c r="A248" t="s">
        <v>53</v>
      </c>
      <c r="B248" t="s">
        <v>5</v>
      </c>
      <c r="C248" s="82" t="s">
        <v>55</v>
      </c>
      <c r="D248">
        <v>201512</v>
      </c>
      <c r="E248" s="1">
        <v>42339</v>
      </c>
      <c r="F248" s="1">
        <v>42369</v>
      </c>
      <c r="G248" t="s">
        <v>55</v>
      </c>
      <c r="H248" s="81">
        <v>1882</v>
      </c>
      <c r="I248" t="s">
        <v>6</v>
      </c>
      <c r="J248" s="3">
        <v>118.89</v>
      </c>
    </row>
    <row r="249" spans="1:10" x14ac:dyDescent="0.25">
      <c r="A249" t="s">
        <v>53</v>
      </c>
      <c r="B249" t="s">
        <v>5</v>
      </c>
      <c r="C249" s="82" t="s">
        <v>55</v>
      </c>
      <c r="D249">
        <v>201601</v>
      </c>
      <c r="E249" s="1">
        <v>42369</v>
      </c>
      <c r="F249" s="1">
        <v>42401</v>
      </c>
      <c r="G249" t="s">
        <v>55</v>
      </c>
      <c r="H249" s="81">
        <v>2645</v>
      </c>
      <c r="I249" t="s">
        <v>6</v>
      </c>
      <c r="J249" s="3">
        <v>165.46</v>
      </c>
    </row>
    <row r="250" spans="1:10" x14ac:dyDescent="0.25">
      <c r="A250" t="s">
        <v>53</v>
      </c>
      <c r="B250" t="s">
        <v>5</v>
      </c>
      <c r="C250" s="82" t="s">
        <v>55</v>
      </c>
      <c r="D250">
        <v>201602</v>
      </c>
      <c r="E250" s="1">
        <v>42401</v>
      </c>
      <c r="F250" s="1">
        <v>42430</v>
      </c>
      <c r="G250" t="s">
        <v>55</v>
      </c>
      <c r="H250" s="81">
        <v>2356</v>
      </c>
      <c r="I250" t="s">
        <v>6</v>
      </c>
      <c r="J250" s="3">
        <v>143.78</v>
      </c>
    </row>
    <row r="251" spans="1:10" x14ac:dyDescent="0.25">
      <c r="A251" t="s">
        <v>53</v>
      </c>
      <c r="B251" t="s">
        <v>5</v>
      </c>
      <c r="C251" s="82" t="s">
        <v>55</v>
      </c>
      <c r="D251">
        <v>201603</v>
      </c>
      <c r="E251" s="1">
        <v>42430</v>
      </c>
      <c r="F251" s="1">
        <v>42460</v>
      </c>
      <c r="G251" t="s">
        <v>55</v>
      </c>
      <c r="H251" s="81">
        <v>2061</v>
      </c>
      <c r="I251" t="s">
        <v>6</v>
      </c>
      <c r="J251" s="3">
        <v>132.31</v>
      </c>
    </row>
    <row r="252" spans="1:10" x14ac:dyDescent="0.25">
      <c r="A252" t="s">
        <v>53</v>
      </c>
      <c r="B252" t="s">
        <v>5</v>
      </c>
      <c r="C252" s="82" t="s">
        <v>55</v>
      </c>
      <c r="D252">
        <v>201604</v>
      </c>
      <c r="E252" s="1">
        <v>42460</v>
      </c>
      <c r="F252" s="1">
        <v>42489</v>
      </c>
      <c r="G252" t="s">
        <v>55</v>
      </c>
      <c r="H252" s="81">
        <v>2616</v>
      </c>
      <c r="I252" t="s">
        <v>6</v>
      </c>
      <c r="J252" s="3">
        <v>157.61000000000001</v>
      </c>
    </row>
    <row r="253" spans="1:10" x14ac:dyDescent="0.25">
      <c r="A253" t="s">
        <v>53</v>
      </c>
      <c r="B253" t="s">
        <v>5</v>
      </c>
      <c r="C253" s="82" t="s">
        <v>55</v>
      </c>
      <c r="D253">
        <v>201605</v>
      </c>
      <c r="E253" s="1">
        <v>42489</v>
      </c>
      <c r="F253" s="1">
        <v>42521</v>
      </c>
      <c r="G253" t="s">
        <v>55</v>
      </c>
      <c r="H253" s="81">
        <v>1824</v>
      </c>
      <c r="I253" t="s">
        <v>6</v>
      </c>
      <c r="J253" s="3">
        <v>113.45</v>
      </c>
    </row>
    <row r="254" spans="1:10" x14ac:dyDescent="0.25">
      <c r="A254" t="s">
        <v>53</v>
      </c>
      <c r="B254" t="s">
        <v>5</v>
      </c>
      <c r="C254" s="82" t="s">
        <v>55</v>
      </c>
      <c r="D254">
        <v>201606</v>
      </c>
      <c r="E254" s="1">
        <v>42521</v>
      </c>
      <c r="F254" s="1">
        <v>42550</v>
      </c>
      <c r="G254" t="s">
        <v>55</v>
      </c>
      <c r="H254" s="81">
        <v>1253</v>
      </c>
      <c r="I254" t="s">
        <v>6</v>
      </c>
      <c r="J254" s="3">
        <v>75.22</v>
      </c>
    </row>
    <row r="255" spans="1:10" x14ac:dyDescent="0.25">
      <c r="A255" t="s">
        <v>53</v>
      </c>
      <c r="B255" t="s">
        <v>5</v>
      </c>
      <c r="C255" s="82" t="s">
        <v>56</v>
      </c>
      <c r="D255">
        <v>201507</v>
      </c>
      <c r="E255" s="1">
        <v>42185</v>
      </c>
      <c r="F255" s="1">
        <v>42216</v>
      </c>
      <c r="G255" t="s">
        <v>56</v>
      </c>
      <c r="H255" s="81">
        <v>2281</v>
      </c>
      <c r="I255" t="s">
        <v>6</v>
      </c>
      <c r="J255" s="3">
        <v>133.80000000000001</v>
      </c>
    </row>
    <row r="256" spans="1:10" x14ac:dyDescent="0.25">
      <c r="A256" t="s">
        <v>53</v>
      </c>
      <c r="B256" t="s">
        <v>5</v>
      </c>
      <c r="C256" s="82" t="s">
        <v>56</v>
      </c>
      <c r="D256">
        <v>201508</v>
      </c>
      <c r="E256" s="1">
        <v>42216</v>
      </c>
      <c r="F256" s="1">
        <v>42243</v>
      </c>
      <c r="G256" t="s">
        <v>56</v>
      </c>
      <c r="H256" s="81">
        <v>1982</v>
      </c>
      <c r="I256" t="s">
        <v>6</v>
      </c>
      <c r="J256" s="3">
        <v>120.19</v>
      </c>
    </row>
    <row r="257" spans="1:10" x14ac:dyDescent="0.25">
      <c r="A257" t="s">
        <v>53</v>
      </c>
      <c r="B257" t="s">
        <v>5</v>
      </c>
      <c r="C257" s="82" t="s">
        <v>56</v>
      </c>
      <c r="D257">
        <v>201509</v>
      </c>
      <c r="E257" s="1">
        <v>42243</v>
      </c>
      <c r="F257" s="1">
        <v>42276</v>
      </c>
      <c r="G257" t="s">
        <v>56</v>
      </c>
      <c r="H257" s="81">
        <v>2667</v>
      </c>
      <c r="I257" t="s">
        <v>6</v>
      </c>
      <c r="J257" s="3">
        <v>156.03</v>
      </c>
    </row>
    <row r="258" spans="1:10" x14ac:dyDescent="0.25">
      <c r="A258" t="s">
        <v>53</v>
      </c>
      <c r="B258" t="s">
        <v>5</v>
      </c>
      <c r="C258" s="82" t="s">
        <v>56</v>
      </c>
      <c r="D258">
        <v>201510</v>
      </c>
      <c r="E258" s="1">
        <v>42276</v>
      </c>
      <c r="F258" s="1">
        <v>42305</v>
      </c>
      <c r="G258" t="s">
        <v>56</v>
      </c>
      <c r="H258" s="81">
        <v>2155</v>
      </c>
      <c r="I258" t="s">
        <v>6</v>
      </c>
      <c r="J258" s="3">
        <v>128.86000000000001</v>
      </c>
    </row>
    <row r="259" spans="1:10" x14ac:dyDescent="0.25">
      <c r="A259" t="s">
        <v>53</v>
      </c>
      <c r="B259" t="s">
        <v>5</v>
      </c>
      <c r="C259" s="82" t="s">
        <v>56</v>
      </c>
      <c r="D259">
        <v>201511</v>
      </c>
      <c r="E259" s="1">
        <v>42305</v>
      </c>
      <c r="F259" s="1">
        <v>42339</v>
      </c>
      <c r="G259" t="s">
        <v>56</v>
      </c>
      <c r="H259" s="81">
        <v>2289</v>
      </c>
      <c r="I259" t="s">
        <v>6</v>
      </c>
      <c r="J259" s="3">
        <v>138.44999999999999</v>
      </c>
    </row>
    <row r="260" spans="1:10" x14ac:dyDescent="0.25">
      <c r="A260" t="s">
        <v>53</v>
      </c>
      <c r="B260" t="s">
        <v>5</v>
      </c>
      <c r="C260" s="82" t="s">
        <v>56</v>
      </c>
      <c r="D260">
        <v>201512</v>
      </c>
      <c r="E260" s="1">
        <v>42339</v>
      </c>
      <c r="F260" s="1">
        <v>42369</v>
      </c>
      <c r="G260" t="s">
        <v>56</v>
      </c>
      <c r="H260" s="81">
        <v>1979</v>
      </c>
      <c r="I260" t="s">
        <v>6</v>
      </c>
      <c r="J260" s="3">
        <v>125.02</v>
      </c>
    </row>
    <row r="261" spans="1:10" x14ac:dyDescent="0.25">
      <c r="A261" t="s">
        <v>53</v>
      </c>
      <c r="B261" t="s">
        <v>5</v>
      </c>
      <c r="C261" s="82" t="s">
        <v>56</v>
      </c>
      <c r="D261">
        <v>201601</v>
      </c>
      <c r="E261" s="1">
        <v>42369</v>
      </c>
      <c r="F261" s="1">
        <v>42401</v>
      </c>
      <c r="G261" t="s">
        <v>56</v>
      </c>
      <c r="H261" s="81">
        <v>1985</v>
      </c>
      <c r="I261" t="s">
        <v>6</v>
      </c>
      <c r="J261" s="3">
        <v>124.18</v>
      </c>
    </row>
    <row r="262" spans="1:10" x14ac:dyDescent="0.25">
      <c r="A262" t="s">
        <v>53</v>
      </c>
      <c r="B262" t="s">
        <v>5</v>
      </c>
      <c r="C262" s="82" t="s">
        <v>56</v>
      </c>
      <c r="D262">
        <v>201602</v>
      </c>
      <c r="E262" s="1">
        <v>42401</v>
      </c>
      <c r="F262" s="1">
        <v>42430</v>
      </c>
      <c r="G262" t="s">
        <v>56</v>
      </c>
      <c r="H262" s="81">
        <v>1936</v>
      </c>
      <c r="I262" t="s">
        <v>6</v>
      </c>
      <c r="J262" s="3">
        <v>118.15</v>
      </c>
    </row>
    <row r="263" spans="1:10" x14ac:dyDescent="0.25">
      <c r="A263" t="s">
        <v>53</v>
      </c>
      <c r="B263" t="s">
        <v>5</v>
      </c>
      <c r="C263" s="82" t="s">
        <v>56</v>
      </c>
      <c r="D263">
        <v>201603</v>
      </c>
      <c r="E263" s="1">
        <v>42430</v>
      </c>
      <c r="F263" s="1">
        <v>42460</v>
      </c>
      <c r="G263" t="s">
        <v>56</v>
      </c>
      <c r="H263" s="81">
        <v>1999</v>
      </c>
      <c r="I263" t="s">
        <v>6</v>
      </c>
      <c r="J263" s="3">
        <v>128.33000000000001</v>
      </c>
    </row>
    <row r="264" spans="1:10" x14ac:dyDescent="0.25">
      <c r="A264" t="s">
        <v>53</v>
      </c>
      <c r="B264" t="s">
        <v>5</v>
      </c>
      <c r="C264" s="82" t="s">
        <v>56</v>
      </c>
      <c r="D264">
        <v>201604</v>
      </c>
      <c r="E264" s="1">
        <v>42460</v>
      </c>
      <c r="F264" s="1">
        <v>42489</v>
      </c>
      <c r="G264" t="s">
        <v>56</v>
      </c>
      <c r="H264" s="81">
        <v>1994</v>
      </c>
      <c r="I264" t="s">
        <v>6</v>
      </c>
      <c r="J264" s="3">
        <v>120.14</v>
      </c>
    </row>
    <row r="265" spans="1:10" x14ac:dyDescent="0.25">
      <c r="A265" t="s">
        <v>53</v>
      </c>
      <c r="B265" t="s">
        <v>5</v>
      </c>
      <c r="C265" s="82" t="s">
        <v>56</v>
      </c>
      <c r="D265">
        <v>201605</v>
      </c>
      <c r="E265" s="1">
        <v>42489</v>
      </c>
      <c r="F265" s="1">
        <v>42521</v>
      </c>
      <c r="G265" t="s">
        <v>56</v>
      </c>
      <c r="H265" s="81">
        <v>2155</v>
      </c>
      <c r="I265" t="s">
        <v>6</v>
      </c>
      <c r="J265" s="3">
        <v>134.04</v>
      </c>
    </row>
    <row r="266" spans="1:10" x14ac:dyDescent="0.25">
      <c r="A266" t="s">
        <v>53</v>
      </c>
      <c r="B266" t="s">
        <v>5</v>
      </c>
      <c r="C266" s="82" t="s">
        <v>56</v>
      </c>
      <c r="D266">
        <v>201606</v>
      </c>
      <c r="E266" s="1">
        <v>42521</v>
      </c>
      <c r="F266" s="1">
        <v>42550</v>
      </c>
      <c r="G266" t="s">
        <v>56</v>
      </c>
      <c r="H266" s="81">
        <v>2007</v>
      </c>
      <c r="I266" t="s">
        <v>6</v>
      </c>
      <c r="J266" s="3">
        <v>120.48</v>
      </c>
    </row>
    <row r="267" spans="1:10" x14ac:dyDescent="0.25">
      <c r="A267" t="s">
        <v>136</v>
      </c>
      <c r="B267" t="s">
        <v>5</v>
      </c>
      <c r="C267" s="82" t="s">
        <v>137</v>
      </c>
      <c r="D267">
        <v>201507</v>
      </c>
      <c r="E267" s="1">
        <v>42185</v>
      </c>
      <c r="F267" s="1">
        <v>42216</v>
      </c>
      <c r="G267" t="s">
        <v>138</v>
      </c>
      <c r="H267" s="81">
        <v>116958</v>
      </c>
      <c r="I267" t="s">
        <v>6</v>
      </c>
      <c r="J267" s="3">
        <v>6860.53</v>
      </c>
    </row>
    <row r="268" spans="1:10" x14ac:dyDescent="0.25">
      <c r="A268" t="s">
        <v>136</v>
      </c>
      <c r="B268" t="s">
        <v>5</v>
      </c>
      <c r="C268" s="82" t="s">
        <v>137</v>
      </c>
      <c r="D268">
        <v>201508</v>
      </c>
      <c r="E268" s="1">
        <v>42216</v>
      </c>
      <c r="F268" s="1">
        <v>42243</v>
      </c>
      <c r="G268" t="s">
        <v>138</v>
      </c>
      <c r="H268" s="81">
        <v>83579</v>
      </c>
      <c r="I268" t="s">
        <v>6</v>
      </c>
      <c r="J268" s="3">
        <v>5068.16</v>
      </c>
    </row>
    <row r="269" spans="1:10" x14ac:dyDescent="0.25">
      <c r="A269" t="s">
        <v>136</v>
      </c>
      <c r="B269" t="s">
        <v>5</v>
      </c>
      <c r="C269" s="82" t="s">
        <v>137</v>
      </c>
      <c r="D269">
        <v>201509</v>
      </c>
      <c r="E269" s="1">
        <v>42243</v>
      </c>
      <c r="F269" s="1">
        <v>42276</v>
      </c>
      <c r="G269" t="s">
        <v>138</v>
      </c>
      <c r="H269" s="81">
        <v>147336</v>
      </c>
      <c r="I269" t="s">
        <v>6</v>
      </c>
      <c r="J269" s="3">
        <v>8619.8700000000008</v>
      </c>
    </row>
    <row r="270" spans="1:10" x14ac:dyDescent="0.25">
      <c r="A270" t="s">
        <v>136</v>
      </c>
      <c r="B270" t="s">
        <v>5</v>
      </c>
      <c r="C270" s="82" t="s">
        <v>137</v>
      </c>
      <c r="D270">
        <v>201510</v>
      </c>
      <c r="E270" s="1">
        <v>42276</v>
      </c>
      <c r="F270" s="1">
        <v>42305</v>
      </c>
      <c r="G270" t="s">
        <v>138</v>
      </c>
      <c r="H270" s="81">
        <v>133113</v>
      </c>
      <c r="I270" t="s">
        <v>6</v>
      </c>
      <c r="J270" s="3">
        <v>7959.48</v>
      </c>
    </row>
    <row r="271" spans="1:10" x14ac:dyDescent="0.25">
      <c r="A271" t="s">
        <v>136</v>
      </c>
      <c r="B271" t="s">
        <v>5</v>
      </c>
      <c r="C271" s="82" t="s">
        <v>137</v>
      </c>
      <c r="D271">
        <v>201511</v>
      </c>
      <c r="E271" s="1">
        <v>42305</v>
      </c>
      <c r="F271" s="1">
        <v>42339</v>
      </c>
      <c r="G271" t="s">
        <v>138</v>
      </c>
      <c r="H271" s="81">
        <v>149712</v>
      </c>
      <c r="I271" t="s">
        <v>6</v>
      </c>
      <c r="J271" s="3">
        <v>9055.34</v>
      </c>
    </row>
    <row r="272" spans="1:10" x14ac:dyDescent="0.25">
      <c r="A272" t="s">
        <v>136</v>
      </c>
      <c r="B272" t="s">
        <v>5</v>
      </c>
      <c r="C272" s="82" t="s">
        <v>137</v>
      </c>
      <c r="D272">
        <v>201512</v>
      </c>
      <c r="E272" s="1">
        <v>42339</v>
      </c>
      <c r="F272" s="1">
        <v>42369</v>
      </c>
      <c r="G272" t="s">
        <v>138</v>
      </c>
      <c r="H272" s="81">
        <v>120502</v>
      </c>
      <c r="I272" t="s">
        <v>6</v>
      </c>
      <c r="J272" s="3">
        <v>7612.39</v>
      </c>
    </row>
    <row r="273" spans="1:10" x14ac:dyDescent="0.25">
      <c r="A273" t="s">
        <v>136</v>
      </c>
      <c r="B273" t="s">
        <v>5</v>
      </c>
      <c r="C273" s="82" t="s">
        <v>137</v>
      </c>
      <c r="D273">
        <v>201601</v>
      </c>
      <c r="E273" s="1">
        <v>42369</v>
      </c>
      <c r="F273" s="1">
        <v>42401</v>
      </c>
      <c r="G273" t="s">
        <v>138</v>
      </c>
      <c r="H273" s="81">
        <v>131362</v>
      </c>
      <c r="I273" t="s">
        <v>6</v>
      </c>
      <c r="J273" s="3">
        <v>8217.6</v>
      </c>
    </row>
    <row r="274" spans="1:10" x14ac:dyDescent="0.25">
      <c r="A274" t="s">
        <v>136</v>
      </c>
      <c r="B274" t="s">
        <v>5</v>
      </c>
      <c r="C274" s="82" t="s">
        <v>137</v>
      </c>
      <c r="D274">
        <v>201602</v>
      </c>
      <c r="E274" s="1">
        <v>42401</v>
      </c>
      <c r="F274" s="1">
        <v>42430</v>
      </c>
      <c r="G274" t="s">
        <v>138</v>
      </c>
      <c r="H274" s="81">
        <v>132352</v>
      </c>
      <c r="I274" t="s">
        <v>6</v>
      </c>
      <c r="J274" s="3">
        <v>8077.26</v>
      </c>
    </row>
    <row r="275" spans="1:10" x14ac:dyDescent="0.25">
      <c r="A275" t="s">
        <v>136</v>
      </c>
      <c r="B275" t="s">
        <v>5</v>
      </c>
      <c r="C275" s="82" t="s">
        <v>137</v>
      </c>
      <c r="D275">
        <v>201603</v>
      </c>
      <c r="E275" s="1">
        <v>42430</v>
      </c>
      <c r="F275" s="1">
        <v>42460</v>
      </c>
      <c r="G275" t="s">
        <v>138</v>
      </c>
      <c r="H275" s="81">
        <v>123011</v>
      </c>
      <c r="I275" t="s">
        <v>6</v>
      </c>
      <c r="J275" s="3">
        <v>7897.12</v>
      </c>
    </row>
    <row r="276" spans="1:10" x14ac:dyDescent="0.25">
      <c r="A276" t="s">
        <v>136</v>
      </c>
      <c r="B276" t="s">
        <v>5</v>
      </c>
      <c r="C276" s="82" t="s">
        <v>137</v>
      </c>
      <c r="D276">
        <v>201604</v>
      </c>
      <c r="E276" s="1">
        <v>42460</v>
      </c>
      <c r="F276" s="1">
        <v>42489</v>
      </c>
      <c r="G276" t="s">
        <v>138</v>
      </c>
      <c r="H276" s="81">
        <v>126650</v>
      </c>
      <c r="I276" t="s">
        <v>6</v>
      </c>
      <c r="J276" s="3">
        <v>7630.66</v>
      </c>
    </row>
    <row r="277" spans="1:10" x14ac:dyDescent="0.25">
      <c r="A277" t="s">
        <v>136</v>
      </c>
      <c r="B277" t="s">
        <v>5</v>
      </c>
      <c r="C277" s="82" t="s">
        <v>137</v>
      </c>
      <c r="D277">
        <v>201605</v>
      </c>
      <c r="E277" s="1">
        <v>42489</v>
      </c>
      <c r="F277" s="1">
        <v>42521</v>
      </c>
      <c r="G277" t="s">
        <v>138</v>
      </c>
      <c r="H277" s="81">
        <v>117035</v>
      </c>
      <c r="I277" t="s">
        <v>6</v>
      </c>
      <c r="J277" s="3">
        <v>7279.47</v>
      </c>
    </row>
    <row r="278" spans="1:10" x14ac:dyDescent="0.25">
      <c r="A278" t="s">
        <v>136</v>
      </c>
      <c r="B278" t="s">
        <v>5</v>
      </c>
      <c r="C278" s="82" t="s">
        <v>137</v>
      </c>
      <c r="D278">
        <v>201606</v>
      </c>
      <c r="E278" s="1">
        <v>42521</v>
      </c>
      <c r="F278" s="1">
        <v>42550</v>
      </c>
      <c r="G278" t="s">
        <v>138</v>
      </c>
      <c r="H278" s="81">
        <v>93997</v>
      </c>
      <c r="I278" t="s">
        <v>6</v>
      </c>
      <c r="J278" s="3">
        <v>5642.83</v>
      </c>
    </row>
    <row r="279" spans="1:10" x14ac:dyDescent="0.25">
      <c r="A279" t="s">
        <v>168</v>
      </c>
      <c r="B279" t="s">
        <v>5</v>
      </c>
      <c r="C279" s="82" t="s">
        <v>169</v>
      </c>
      <c r="D279">
        <v>201507</v>
      </c>
      <c r="E279" s="1">
        <v>42185</v>
      </c>
      <c r="F279" s="1">
        <v>42216</v>
      </c>
      <c r="G279" t="s">
        <v>170</v>
      </c>
      <c r="H279" s="81">
        <v>21503</v>
      </c>
      <c r="I279" t="s">
        <v>6</v>
      </c>
      <c r="J279" s="3">
        <v>1261.32</v>
      </c>
    </row>
    <row r="280" spans="1:10" x14ac:dyDescent="0.25">
      <c r="A280" t="s">
        <v>168</v>
      </c>
      <c r="B280" t="s">
        <v>5</v>
      </c>
      <c r="C280" s="82" t="s">
        <v>169</v>
      </c>
      <c r="D280">
        <v>201508</v>
      </c>
      <c r="E280" s="1">
        <v>42216</v>
      </c>
      <c r="F280" s="1">
        <v>42243</v>
      </c>
      <c r="G280" t="s">
        <v>170</v>
      </c>
      <c r="H280" s="81">
        <v>19424</v>
      </c>
      <c r="I280" t="s">
        <v>6</v>
      </c>
      <c r="J280" s="3">
        <v>1177.8499999999999</v>
      </c>
    </row>
    <row r="281" spans="1:10" x14ac:dyDescent="0.25">
      <c r="A281" t="s">
        <v>168</v>
      </c>
      <c r="B281" t="s">
        <v>5</v>
      </c>
      <c r="C281" s="82" t="s">
        <v>169</v>
      </c>
      <c r="D281">
        <v>201509</v>
      </c>
      <c r="E281" s="1">
        <v>42243</v>
      </c>
      <c r="F281" s="1">
        <v>42276</v>
      </c>
      <c r="G281" t="s">
        <v>170</v>
      </c>
      <c r="H281" s="81">
        <v>62040</v>
      </c>
      <c r="I281" t="s">
        <v>6</v>
      </c>
      <c r="J281" s="3">
        <v>3629.64</v>
      </c>
    </row>
    <row r="282" spans="1:10" x14ac:dyDescent="0.25">
      <c r="A282" t="s">
        <v>168</v>
      </c>
      <c r="B282" t="s">
        <v>5</v>
      </c>
      <c r="C282" s="82" t="s">
        <v>169</v>
      </c>
      <c r="D282">
        <v>201510</v>
      </c>
      <c r="E282" s="1">
        <v>42276</v>
      </c>
      <c r="F282" s="1">
        <v>42305</v>
      </c>
      <c r="G282" t="s">
        <v>170</v>
      </c>
      <c r="H282" s="81">
        <v>39015</v>
      </c>
      <c r="I282" t="s">
        <v>6</v>
      </c>
      <c r="J282" s="3">
        <v>2332.9</v>
      </c>
    </row>
    <row r="283" spans="1:10" x14ac:dyDescent="0.25">
      <c r="A283" t="s">
        <v>168</v>
      </c>
      <c r="B283" t="s">
        <v>5</v>
      </c>
      <c r="C283" s="82" t="s">
        <v>169</v>
      </c>
      <c r="D283">
        <v>201511</v>
      </c>
      <c r="E283" s="1">
        <v>42305</v>
      </c>
      <c r="F283" s="1">
        <v>42339</v>
      </c>
      <c r="G283" t="s">
        <v>170</v>
      </c>
      <c r="H283" s="81">
        <v>68936</v>
      </c>
      <c r="I283" t="s">
        <v>6</v>
      </c>
      <c r="J283" s="3">
        <v>4169.6000000000004</v>
      </c>
    </row>
    <row r="284" spans="1:10" x14ac:dyDescent="0.25">
      <c r="A284" t="s">
        <v>168</v>
      </c>
      <c r="B284" t="s">
        <v>5</v>
      </c>
      <c r="C284" s="82" t="s">
        <v>169</v>
      </c>
      <c r="D284">
        <v>201512</v>
      </c>
      <c r="E284" s="1">
        <v>42339</v>
      </c>
      <c r="F284" s="1">
        <v>42369</v>
      </c>
      <c r="G284" t="s">
        <v>170</v>
      </c>
      <c r="H284" s="81">
        <v>61922</v>
      </c>
      <c r="I284" t="s">
        <v>6</v>
      </c>
      <c r="J284" s="3">
        <v>3911.75</v>
      </c>
    </row>
    <row r="285" spans="1:10" x14ac:dyDescent="0.25">
      <c r="A285" t="s">
        <v>168</v>
      </c>
      <c r="B285" t="s">
        <v>5</v>
      </c>
      <c r="C285" s="82" t="s">
        <v>169</v>
      </c>
      <c r="D285">
        <v>201601</v>
      </c>
      <c r="E285" s="1">
        <v>42369</v>
      </c>
      <c r="F285" s="1">
        <v>42401</v>
      </c>
      <c r="G285" t="s">
        <v>170</v>
      </c>
      <c r="H285" s="81">
        <v>70682</v>
      </c>
      <c r="I285" t="s">
        <v>6</v>
      </c>
      <c r="J285" s="3">
        <v>4421.6499999999996</v>
      </c>
    </row>
    <row r="286" spans="1:10" x14ac:dyDescent="0.25">
      <c r="A286" t="s">
        <v>168</v>
      </c>
      <c r="B286" t="s">
        <v>5</v>
      </c>
      <c r="C286" s="82" t="s">
        <v>169</v>
      </c>
      <c r="D286">
        <v>201602</v>
      </c>
      <c r="E286" s="1">
        <v>42401</v>
      </c>
      <c r="F286" s="1">
        <v>42430</v>
      </c>
      <c r="G286" t="s">
        <v>170</v>
      </c>
      <c r="H286" s="81">
        <v>66336</v>
      </c>
      <c r="I286" t="s">
        <v>6</v>
      </c>
      <c r="J286" s="3">
        <v>4048.4</v>
      </c>
    </row>
    <row r="287" spans="1:10" x14ac:dyDescent="0.25">
      <c r="A287" t="s">
        <v>168</v>
      </c>
      <c r="B287" t="s">
        <v>5</v>
      </c>
      <c r="C287" s="82" t="s">
        <v>169</v>
      </c>
      <c r="D287">
        <v>201603</v>
      </c>
      <c r="E287" s="1">
        <v>42430</v>
      </c>
      <c r="F287" s="1">
        <v>42460</v>
      </c>
      <c r="G287" t="s">
        <v>170</v>
      </c>
      <c r="H287" s="81">
        <v>61882</v>
      </c>
      <c r="I287" t="s">
        <v>6</v>
      </c>
      <c r="J287" s="3">
        <v>3972.73</v>
      </c>
    </row>
    <row r="288" spans="1:10" x14ac:dyDescent="0.25">
      <c r="A288" t="s">
        <v>168</v>
      </c>
      <c r="B288" t="s">
        <v>5</v>
      </c>
      <c r="C288" s="82" t="s">
        <v>169</v>
      </c>
      <c r="D288">
        <v>201604</v>
      </c>
      <c r="E288" s="1">
        <v>42460</v>
      </c>
      <c r="F288" s="1">
        <v>42489</v>
      </c>
      <c r="G288" t="s">
        <v>170</v>
      </c>
      <c r="H288" s="81">
        <v>60224</v>
      </c>
      <c r="I288" t="s">
        <v>6</v>
      </c>
      <c r="J288" s="3">
        <v>3628.49</v>
      </c>
    </row>
    <row r="289" spans="1:10" x14ac:dyDescent="0.25">
      <c r="A289" t="s">
        <v>168</v>
      </c>
      <c r="B289" t="s">
        <v>5</v>
      </c>
      <c r="C289" s="82" t="s">
        <v>169</v>
      </c>
      <c r="D289">
        <v>201605</v>
      </c>
      <c r="E289" s="1">
        <v>42489</v>
      </c>
      <c r="F289" s="1">
        <v>42521</v>
      </c>
      <c r="G289" t="s">
        <v>170</v>
      </c>
      <c r="H289" s="81">
        <v>63288</v>
      </c>
      <c r="I289" t="s">
        <v>6</v>
      </c>
      <c r="J289" s="3">
        <v>3936.46</v>
      </c>
    </row>
    <row r="290" spans="1:10" x14ac:dyDescent="0.25">
      <c r="A290" t="s">
        <v>168</v>
      </c>
      <c r="B290" t="s">
        <v>5</v>
      </c>
      <c r="C290" s="82" t="s">
        <v>169</v>
      </c>
      <c r="D290">
        <v>201606</v>
      </c>
      <c r="E290" s="1">
        <v>42521</v>
      </c>
      <c r="F290" s="1">
        <v>42550</v>
      </c>
      <c r="G290" t="s">
        <v>170</v>
      </c>
      <c r="H290" s="81">
        <v>54140</v>
      </c>
      <c r="I290" t="s">
        <v>6</v>
      </c>
      <c r="J290" s="3">
        <v>3250.14</v>
      </c>
    </row>
    <row r="291" spans="1:10" x14ac:dyDescent="0.25">
      <c r="A291" t="s">
        <v>145</v>
      </c>
      <c r="B291" t="s">
        <v>5</v>
      </c>
      <c r="C291" s="82" t="s">
        <v>146</v>
      </c>
      <c r="D291">
        <v>201507</v>
      </c>
      <c r="E291" s="1">
        <v>42185</v>
      </c>
      <c r="F291" s="1">
        <v>42216</v>
      </c>
      <c r="G291" t="s">
        <v>147</v>
      </c>
      <c r="H291" s="81">
        <v>26414</v>
      </c>
      <c r="I291" t="s">
        <v>6</v>
      </c>
      <c r="J291" s="3">
        <v>1549.39</v>
      </c>
    </row>
    <row r="292" spans="1:10" x14ac:dyDescent="0.25">
      <c r="A292" t="s">
        <v>145</v>
      </c>
      <c r="B292" t="s">
        <v>5</v>
      </c>
      <c r="C292" s="82" t="s">
        <v>146</v>
      </c>
      <c r="D292">
        <v>201508</v>
      </c>
      <c r="E292" s="1">
        <v>42216</v>
      </c>
      <c r="F292" s="1">
        <v>42243</v>
      </c>
      <c r="G292" t="s">
        <v>147</v>
      </c>
      <c r="H292" s="81">
        <v>23146</v>
      </c>
      <c r="I292" t="s">
        <v>6</v>
      </c>
      <c r="J292" s="3">
        <v>1403.55</v>
      </c>
    </row>
    <row r="293" spans="1:10" x14ac:dyDescent="0.25">
      <c r="A293" t="s">
        <v>145</v>
      </c>
      <c r="B293" t="s">
        <v>5</v>
      </c>
      <c r="C293" s="82" t="s">
        <v>146</v>
      </c>
      <c r="D293">
        <v>201509</v>
      </c>
      <c r="E293" s="1">
        <v>42243</v>
      </c>
      <c r="F293" s="1">
        <v>42276</v>
      </c>
      <c r="G293" t="s">
        <v>147</v>
      </c>
      <c r="H293" s="81">
        <v>29718</v>
      </c>
      <c r="I293" t="s">
        <v>6</v>
      </c>
      <c r="J293" s="3">
        <v>1738.65</v>
      </c>
    </row>
    <row r="294" spans="1:10" x14ac:dyDescent="0.25">
      <c r="A294" t="s">
        <v>145</v>
      </c>
      <c r="B294" t="s">
        <v>5</v>
      </c>
      <c r="C294" s="82" t="s">
        <v>146</v>
      </c>
      <c r="D294">
        <v>201510</v>
      </c>
      <c r="E294" s="1">
        <v>42276</v>
      </c>
      <c r="F294" s="1">
        <v>42305</v>
      </c>
      <c r="G294" t="s">
        <v>147</v>
      </c>
      <c r="H294" s="81">
        <v>26759</v>
      </c>
      <c r="I294" t="s">
        <v>6</v>
      </c>
      <c r="J294" s="3">
        <v>1600.05</v>
      </c>
    </row>
    <row r="295" spans="1:10" x14ac:dyDescent="0.25">
      <c r="A295" t="s">
        <v>145</v>
      </c>
      <c r="B295" t="s">
        <v>5</v>
      </c>
      <c r="C295" s="82" t="s">
        <v>146</v>
      </c>
      <c r="D295">
        <v>201511</v>
      </c>
      <c r="E295" s="1">
        <v>42305</v>
      </c>
      <c r="F295" s="1">
        <v>42339</v>
      </c>
      <c r="G295" t="s">
        <v>147</v>
      </c>
      <c r="H295" s="81">
        <v>31484</v>
      </c>
      <c r="I295" t="s">
        <v>6</v>
      </c>
      <c r="J295" s="3">
        <v>1904.31</v>
      </c>
    </row>
    <row r="296" spans="1:10" x14ac:dyDescent="0.25">
      <c r="A296" t="s">
        <v>145</v>
      </c>
      <c r="B296" t="s">
        <v>5</v>
      </c>
      <c r="C296" s="82" t="s">
        <v>146</v>
      </c>
      <c r="D296">
        <v>201512</v>
      </c>
      <c r="E296" s="1">
        <v>42339</v>
      </c>
      <c r="F296" s="1">
        <v>42369</v>
      </c>
      <c r="G296" t="s">
        <v>147</v>
      </c>
      <c r="H296" s="81">
        <v>28785</v>
      </c>
      <c r="I296" t="s">
        <v>6</v>
      </c>
      <c r="J296" s="3">
        <v>1818.41</v>
      </c>
    </row>
    <row r="297" spans="1:10" x14ac:dyDescent="0.25">
      <c r="A297" t="s">
        <v>145</v>
      </c>
      <c r="B297" t="s">
        <v>5</v>
      </c>
      <c r="C297" s="82" t="s">
        <v>146</v>
      </c>
      <c r="D297">
        <v>201601</v>
      </c>
      <c r="E297" s="1">
        <v>42369</v>
      </c>
      <c r="F297" s="1">
        <v>42401</v>
      </c>
      <c r="G297" t="s">
        <v>147</v>
      </c>
      <c r="H297" s="81">
        <v>31894</v>
      </c>
      <c r="I297" t="s">
        <v>6</v>
      </c>
      <c r="J297" s="3">
        <v>1995.19</v>
      </c>
    </row>
    <row r="298" spans="1:10" x14ac:dyDescent="0.25">
      <c r="A298" t="s">
        <v>145</v>
      </c>
      <c r="B298" t="s">
        <v>5</v>
      </c>
      <c r="C298" s="82" t="s">
        <v>146</v>
      </c>
      <c r="D298">
        <v>201602</v>
      </c>
      <c r="E298" s="1">
        <v>42401</v>
      </c>
      <c r="F298" s="1">
        <v>42430</v>
      </c>
      <c r="G298" t="s">
        <v>147</v>
      </c>
      <c r="H298" s="81">
        <v>30096</v>
      </c>
      <c r="I298" t="s">
        <v>6</v>
      </c>
      <c r="J298" s="3">
        <v>1836.72</v>
      </c>
    </row>
    <row r="299" spans="1:10" x14ac:dyDescent="0.25">
      <c r="A299" t="s">
        <v>145</v>
      </c>
      <c r="B299" t="s">
        <v>5</v>
      </c>
      <c r="C299" s="82" t="s">
        <v>146</v>
      </c>
      <c r="D299">
        <v>201603</v>
      </c>
      <c r="E299" s="1">
        <v>42430</v>
      </c>
      <c r="F299" s="1">
        <v>42460</v>
      </c>
      <c r="G299" t="s">
        <v>147</v>
      </c>
      <c r="H299" s="81">
        <v>29422</v>
      </c>
      <c r="I299" t="s">
        <v>6</v>
      </c>
      <c r="J299" s="3">
        <v>1888.85</v>
      </c>
    </row>
    <row r="300" spans="1:10" x14ac:dyDescent="0.25">
      <c r="A300" t="s">
        <v>145</v>
      </c>
      <c r="B300" t="s">
        <v>5</v>
      </c>
      <c r="C300" s="82" t="s">
        <v>146</v>
      </c>
      <c r="D300">
        <v>201604</v>
      </c>
      <c r="E300" s="1">
        <v>42460</v>
      </c>
      <c r="F300" s="1">
        <v>42489</v>
      </c>
      <c r="G300" t="s">
        <v>147</v>
      </c>
      <c r="H300" s="81">
        <v>27841</v>
      </c>
      <c r="I300" t="s">
        <v>6</v>
      </c>
      <c r="J300" s="3">
        <v>1677.42</v>
      </c>
    </row>
    <row r="301" spans="1:10" x14ac:dyDescent="0.25">
      <c r="A301" t="s">
        <v>145</v>
      </c>
      <c r="B301" t="s">
        <v>5</v>
      </c>
      <c r="C301" s="82" t="s">
        <v>146</v>
      </c>
      <c r="D301">
        <v>201605</v>
      </c>
      <c r="E301" s="1">
        <v>42489</v>
      </c>
      <c r="F301" s="1">
        <v>42521</v>
      </c>
      <c r="G301" t="s">
        <v>147</v>
      </c>
      <c r="H301" s="81">
        <v>27701</v>
      </c>
      <c r="I301" t="s">
        <v>6</v>
      </c>
      <c r="J301" s="3">
        <v>1722.98</v>
      </c>
    </row>
    <row r="302" spans="1:10" x14ac:dyDescent="0.25">
      <c r="A302" t="s">
        <v>145</v>
      </c>
      <c r="B302" t="s">
        <v>5</v>
      </c>
      <c r="C302" s="82" t="s">
        <v>146</v>
      </c>
      <c r="D302">
        <v>201606</v>
      </c>
      <c r="E302" s="1">
        <v>42521</v>
      </c>
      <c r="F302" s="1">
        <v>42550</v>
      </c>
      <c r="G302" t="s">
        <v>147</v>
      </c>
      <c r="H302" s="81">
        <v>23718</v>
      </c>
      <c r="I302" t="s">
        <v>6</v>
      </c>
      <c r="J302" s="3">
        <v>1423.84</v>
      </c>
    </row>
    <row r="303" spans="1:10" x14ac:dyDescent="0.25">
      <c r="A303" t="s">
        <v>159</v>
      </c>
      <c r="B303" t="s">
        <v>5</v>
      </c>
      <c r="C303" s="82" t="s">
        <v>160</v>
      </c>
      <c r="D303">
        <v>201507</v>
      </c>
      <c r="E303" s="1">
        <v>42185</v>
      </c>
      <c r="F303" s="1">
        <v>42216</v>
      </c>
      <c r="G303" t="s">
        <v>161</v>
      </c>
      <c r="H303" s="81">
        <v>97216</v>
      </c>
      <c r="I303" t="s">
        <v>6</v>
      </c>
      <c r="J303" s="3">
        <v>5702.5</v>
      </c>
    </row>
    <row r="304" spans="1:10" x14ac:dyDescent="0.25">
      <c r="A304" t="s">
        <v>159</v>
      </c>
      <c r="B304" t="s">
        <v>5</v>
      </c>
      <c r="C304" s="82" t="s">
        <v>160</v>
      </c>
      <c r="D304">
        <v>201508</v>
      </c>
      <c r="E304" s="1">
        <v>42216</v>
      </c>
      <c r="F304" s="1">
        <v>42243</v>
      </c>
      <c r="G304" t="s">
        <v>161</v>
      </c>
      <c r="H304" s="81">
        <v>41672</v>
      </c>
      <c r="I304" t="s">
        <v>6</v>
      </c>
      <c r="J304" s="3">
        <v>2526.9499999999998</v>
      </c>
    </row>
    <row r="305" spans="1:10" x14ac:dyDescent="0.25">
      <c r="A305" t="s">
        <v>159</v>
      </c>
      <c r="B305" t="s">
        <v>5</v>
      </c>
      <c r="C305" s="82" t="s">
        <v>160</v>
      </c>
      <c r="D305">
        <v>201509</v>
      </c>
      <c r="E305" s="1">
        <v>42243</v>
      </c>
      <c r="F305" s="1">
        <v>42276</v>
      </c>
      <c r="G305" t="s">
        <v>161</v>
      </c>
      <c r="H305" s="81">
        <v>190087</v>
      </c>
      <c r="I305" t="s">
        <v>6</v>
      </c>
      <c r="J305" s="3">
        <v>11121.01</v>
      </c>
    </row>
    <row r="306" spans="1:10" x14ac:dyDescent="0.25">
      <c r="A306" t="s">
        <v>159</v>
      </c>
      <c r="B306" t="s">
        <v>5</v>
      </c>
      <c r="C306" s="82" t="s">
        <v>160</v>
      </c>
      <c r="D306">
        <v>201510</v>
      </c>
      <c r="E306" s="1">
        <v>42276</v>
      </c>
      <c r="F306" s="1">
        <v>42305</v>
      </c>
      <c r="G306" t="s">
        <v>161</v>
      </c>
      <c r="H306" s="81">
        <v>107828</v>
      </c>
      <c r="I306" t="s">
        <v>6</v>
      </c>
      <c r="J306" s="3">
        <v>6447.56</v>
      </c>
    </row>
    <row r="307" spans="1:10" x14ac:dyDescent="0.25">
      <c r="A307" t="s">
        <v>159</v>
      </c>
      <c r="B307" t="s">
        <v>5</v>
      </c>
      <c r="C307" s="82" t="s">
        <v>160</v>
      </c>
      <c r="D307">
        <v>201511</v>
      </c>
      <c r="E307" s="1">
        <v>42305</v>
      </c>
      <c r="F307" s="1">
        <v>42339</v>
      </c>
      <c r="G307" t="s">
        <v>161</v>
      </c>
      <c r="H307" s="81">
        <v>175535</v>
      </c>
      <c r="I307" t="s">
        <v>6</v>
      </c>
      <c r="J307" s="3">
        <v>10617.25</v>
      </c>
    </row>
    <row r="308" spans="1:10" x14ac:dyDescent="0.25">
      <c r="A308" t="s">
        <v>159</v>
      </c>
      <c r="B308" t="s">
        <v>5</v>
      </c>
      <c r="C308" s="82" t="s">
        <v>160</v>
      </c>
      <c r="D308">
        <v>201512</v>
      </c>
      <c r="E308" s="1">
        <v>42339</v>
      </c>
      <c r="F308" s="1">
        <v>42369</v>
      </c>
      <c r="G308" t="s">
        <v>161</v>
      </c>
      <c r="H308" s="81">
        <v>128096</v>
      </c>
      <c r="I308" t="s">
        <v>6</v>
      </c>
      <c r="J308" s="3">
        <v>8092.12</v>
      </c>
    </row>
    <row r="309" spans="1:10" x14ac:dyDescent="0.25">
      <c r="A309" t="s">
        <v>159</v>
      </c>
      <c r="B309" t="s">
        <v>5</v>
      </c>
      <c r="C309" s="82" t="s">
        <v>160</v>
      </c>
      <c r="D309">
        <v>201601</v>
      </c>
      <c r="E309" s="1">
        <v>42369</v>
      </c>
      <c r="F309" s="1">
        <v>42401</v>
      </c>
      <c r="G309" t="s">
        <v>161</v>
      </c>
      <c r="H309" s="81">
        <v>61502</v>
      </c>
      <c r="I309" t="s">
        <v>6</v>
      </c>
      <c r="J309" s="3">
        <v>3847.37</v>
      </c>
    </row>
    <row r="310" spans="1:10" x14ac:dyDescent="0.25">
      <c r="A310" t="s">
        <v>159</v>
      </c>
      <c r="B310" t="s">
        <v>5</v>
      </c>
      <c r="C310" s="82" t="s">
        <v>160</v>
      </c>
      <c r="D310">
        <v>201602</v>
      </c>
      <c r="E310" s="1">
        <v>42401</v>
      </c>
      <c r="F310" s="1">
        <v>42430</v>
      </c>
      <c r="G310" t="s">
        <v>161</v>
      </c>
      <c r="H310" s="81">
        <v>54831</v>
      </c>
      <c r="I310" t="s">
        <v>6</v>
      </c>
      <c r="J310" s="3">
        <v>3346.26</v>
      </c>
    </row>
    <row r="311" spans="1:10" x14ac:dyDescent="0.25">
      <c r="A311" t="s">
        <v>159</v>
      </c>
      <c r="B311" t="s">
        <v>5</v>
      </c>
      <c r="C311" s="82" t="s">
        <v>160</v>
      </c>
      <c r="D311">
        <v>201603</v>
      </c>
      <c r="E311" s="1">
        <v>42430</v>
      </c>
      <c r="F311" s="1">
        <v>42460</v>
      </c>
      <c r="G311" t="s">
        <v>161</v>
      </c>
      <c r="H311" s="81">
        <v>160566</v>
      </c>
      <c r="I311" t="s">
        <v>6</v>
      </c>
      <c r="J311" s="3">
        <v>10308.1</v>
      </c>
    </row>
    <row r="312" spans="1:10" x14ac:dyDescent="0.25">
      <c r="A312" t="s">
        <v>159</v>
      </c>
      <c r="B312" t="s">
        <v>5</v>
      </c>
      <c r="C312" s="82" t="s">
        <v>160</v>
      </c>
      <c r="D312">
        <v>201604</v>
      </c>
      <c r="E312" s="1">
        <v>42460</v>
      </c>
      <c r="F312" s="1">
        <v>42489</v>
      </c>
      <c r="G312" t="s">
        <v>161</v>
      </c>
      <c r="H312" s="81">
        <v>183318</v>
      </c>
      <c r="I312" t="s">
        <v>6</v>
      </c>
      <c r="J312" s="3">
        <v>11044.9</v>
      </c>
    </row>
    <row r="313" spans="1:10" x14ac:dyDescent="0.25">
      <c r="A313" t="s">
        <v>159</v>
      </c>
      <c r="B313" t="s">
        <v>5</v>
      </c>
      <c r="C313" s="82" t="s">
        <v>160</v>
      </c>
      <c r="D313">
        <v>201605</v>
      </c>
      <c r="E313" s="1">
        <v>42489</v>
      </c>
      <c r="F313" s="1">
        <v>42521</v>
      </c>
      <c r="G313" t="s">
        <v>161</v>
      </c>
      <c r="H313" s="81">
        <v>128993</v>
      </c>
      <c r="I313" t="s">
        <v>6</v>
      </c>
      <c r="J313" s="3">
        <v>8023.25</v>
      </c>
    </row>
    <row r="314" spans="1:10" x14ac:dyDescent="0.25">
      <c r="A314" t="s">
        <v>159</v>
      </c>
      <c r="B314" t="s">
        <v>5</v>
      </c>
      <c r="C314" s="82" t="s">
        <v>160</v>
      </c>
      <c r="D314">
        <v>201606</v>
      </c>
      <c r="E314" s="1">
        <v>42521</v>
      </c>
      <c r="F314" s="1">
        <v>42550</v>
      </c>
      <c r="G314" t="s">
        <v>161</v>
      </c>
      <c r="H314" s="81">
        <v>90749</v>
      </c>
      <c r="I314" t="s">
        <v>6</v>
      </c>
      <c r="J314" s="3">
        <v>5447.85</v>
      </c>
    </row>
    <row r="315" spans="1:10" x14ac:dyDescent="0.25">
      <c r="A315" t="s">
        <v>148</v>
      </c>
      <c r="B315" t="s">
        <v>5</v>
      </c>
      <c r="C315" s="82" t="s">
        <v>149</v>
      </c>
      <c r="D315">
        <v>201507</v>
      </c>
      <c r="E315" s="1">
        <v>42185</v>
      </c>
      <c r="F315" s="1">
        <v>42216</v>
      </c>
      <c r="G315" t="s">
        <v>150</v>
      </c>
      <c r="H315" s="81">
        <v>71027</v>
      </c>
      <c r="I315" t="s">
        <v>6</v>
      </c>
      <c r="J315" s="3">
        <v>4166.3</v>
      </c>
    </row>
    <row r="316" spans="1:10" x14ac:dyDescent="0.25">
      <c r="A316" t="s">
        <v>148</v>
      </c>
      <c r="B316" t="s">
        <v>5</v>
      </c>
      <c r="C316" s="82" t="s">
        <v>149</v>
      </c>
      <c r="D316">
        <v>201508</v>
      </c>
      <c r="E316" s="1">
        <v>42216</v>
      </c>
      <c r="F316" s="1">
        <v>42243</v>
      </c>
      <c r="G316" t="s">
        <v>150</v>
      </c>
      <c r="H316" s="81">
        <v>90747</v>
      </c>
      <c r="I316" t="s">
        <v>6</v>
      </c>
      <c r="J316" s="3">
        <v>5502.82</v>
      </c>
    </row>
    <row r="317" spans="1:10" x14ac:dyDescent="0.25">
      <c r="A317" t="s">
        <v>148</v>
      </c>
      <c r="B317" t="s">
        <v>5</v>
      </c>
      <c r="C317" s="82" t="s">
        <v>149</v>
      </c>
      <c r="D317">
        <v>201509</v>
      </c>
      <c r="E317" s="1">
        <v>42243</v>
      </c>
      <c r="F317" s="1">
        <v>42276</v>
      </c>
      <c r="G317" t="s">
        <v>150</v>
      </c>
      <c r="H317" s="81">
        <v>164890</v>
      </c>
      <c r="I317" t="s">
        <v>6</v>
      </c>
      <c r="J317" s="3">
        <v>9646.86</v>
      </c>
    </row>
    <row r="318" spans="1:10" x14ac:dyDescent="0.25">
      <c r="A318" t="s">
        <v>148</v>
      </c>
      <c r="B318" t="s">
        <v>5</v>
      </c>
      <c r="C318" s="82" t="s">
        <v>149</v>
      </c>
      <c r="D318">
        <v>201510</v>
      </c>
      <c r="E318" s="1">
        <v>42276</v>
      </c>
      <c r="F318" s="1">
        <v>42305</v>
      </c>
      <c r="G318" t="s">
        <v>150</v>
      </c>
      <c r="H318" s="81">
        <v>101222</v>
      </c>
      <c r="I318" t="s">
        <v>6</v>
      </c>
      <c r="J318" s="3">
        <v>6052.56</v>
      </c>
    </row>
    <row r="319" spans="1:10" x14ac:dyDescent="0.25">
      <c r="A319" t="s">
        <v>148</v>
      </c>
      <c r="B319" t="s">
        <v>5</v>
      </c>
      <c r="C319" s="82" t="s">
        <v>149</v>
      </c>
      <c r="D319">
        <v>201511</v>
      </c>
      <c r="E319" s="1">
        <v>42305</v>
      </c>
      <c r="F319" s="1">
        <v>42339</v>
      </c>
      <c r="G319" t="s">
        <v>150</v>
      </c>
      <c r="H319" s="81">
        <v>172287</v>
      </c>
      <c r="I319" t="s">
        <v>6</v>
      </c>
      <c r="J319" s="3">
        <v>10420.790000000001</v>
      </c>
    </row>
    <row r="320" spans="1:10" x14ac:dyDescent="0.25">
      <c r="A320" t="s">
        <v>148</v>
      </c>
      <c r="B320" t="s">
        <v>5</v>
      </c>
      <c r="C320" s="82" t="s">
        <v>149</v>
      </c>
      <c r="D320">
        <v>201512</v>
      </c>
      <c r="E320" s="1">
        <v>42339</v>
      </c>
      <c r="F320" s="1">
        <v>42369</v>
      </c>
      <c r="G320" t="s">
        <v>150</v>
      </c>
      <c r="H320" s="81">
        <v>136511</v>
      </c>
      <c r="I320" t="s">
        <v>6</v>
      </c>
      <c r="J320" s="3">
        <v>8623.7099999999991</v>
      </c>
    </row>
    <row r="321" spans="1:10" x14ac:dyDescent="0.25">
      <c r="A321" t="s">
        <v>148</v>
      </c>
      <c r="B321" t="s">
        <v>5</v>
      </c>
      <c r="C321" s="82" t="s">
        <v>149</v>
      </c>
      <c r="D321">
        <v>201601</v>
      </c>
      <c r="E321" s="1">
        <v>42369</v>
      </c>
      <c r="F321" s="1">
        <v>42401</v>
      </c>
      <c r="G321" t="s">
        <v>150</v>
      </c>
      <c r="H321" s="81">
        <v>146934</v>
      </c>
      <c r="I321" t="s">
        <v>6</v>
      </c>
      <c r="J321" s="3">
        <v>9191.73</v>
      </c>
    </row>
    <row r="322" spans="1:10" x14ac:dyDescent="0.25">
      <c r="A322" t="s">
        <v>148</v>
      </c>
      <c r="B322" t="s">
        <v>5</v>
      </c>
      <c r="C322" s="82" t="s">
        <v>149</v>
      </c>
      <c r="D322">
        <v>201602</v>
      </c>
      <c r="E322" s="1">
        <v>42401</v>
      </c>
      <c r="F322" s="1">
        <v>42430</v>
      </c>
      <c r="G322" t="s">
        <v>150</v>
      </c>
      <c r="H322" s="81">
        <v>168666</v>
      </c>
      <c r="I322" t="s">
        <v>6</v>
      </c>
      <c r="J322" s="3">
        <v>10293.459999999999</v>
      </c>
    </row>
    <row r="323" spans="1:10" x14ac:dyDescent="0.25">
      <c r="A323" t="s">
        <v>148</v>
      </c>
      <c r="B323" t="s">
        <v>5</v>
      </c>
      <c r="C323" s="82" t="s">
        <v>149</v>
      </c>
      <c r="D323">
        <v>201603</v>
      </c>
      <c r="E323" s="1">
        <v>42430</v>
      </c>
      <c r="F323" s="1">
        <v>42460</v>
      </c>
      <c r="G323" t="s">
        <v>150</v>
      </c>
      <c r="H323" s="81">
        <v>159569</v>
      </c>
      <c r="I323" t="s">
        <v>6</v>
      </c>
      <c r="J323" s="3">
        <v>10244.09</v>
      </c>
    </row>
    <row r="324" spans="1:10" x14ac:dyDescent="0.25">
      <c r="A324" t="s">
        <v>148</v>
      </c>
      <c r="B324" t="s">
        <v>5</v>
      </c>
      <c r="C324" s="82" t="s">
        <v>149</v>
      </c>
      <c r="D324">
        <v>201604</v>
      </c>
      <c r="E324" s="1">
        <v>42460</v>
      </c>
      <c r="F324" s="1">
        <v>42489</v>
      </c>
      <c r="G324" t="s">
        <v>150</v>
      </c>
      <c r="H324" s="81">
        <v>152467</v>
      </c>
      <c r="I324" t="s">
        <v>6</v>
      </c>
      <c r="J324" s="3">
        <v>9186.1299999999992</v>
      </c>
    </row>
    <row r="325" spans="1:10" x14ac:dyDescent="0.25">
      <c r="A325" t="s">
        <v>148</v>
      </c>
      <c r="B325" t="s">
        <v>5</v>
      </c>
      <c r="C325" s="82" t="s">
        <v>149</v>
      </c>
      <c r="D325">
        <v>201605</v>
      </c>
      <c r="E325" s="1">
        <v>42489</v>
      </c>
      <c r="F325" s="1">
        <v>42521</v>
      </c>
      <c r="G325" t="s">
        <v>150</v>
      </c>
      <c r="H325" s="81">
        <v>149665</v>
      </c>
      <c r="I325" t="s">
        <v>6</v>
      </c>
      <c r="J325" s="3">
        <v>9309.02</v>
      </c>
    </row>
    <row r="326" spans="1:10" x14ac:dyDescent="0.25">
      <c r="A326" t="s">
        <v>148</v>
      </c>
      <c r="B326" t="s">
        <v>5</v>
      </c>
      <c r="C326" s="82" t="s">
        <v>149</v>
      </c>
      <c r="D326">
        <v>201606</v>
      </c>
      <c r="E326" s="1">
        <v>42521</v>
      </c>
      <c r="F326" s="1">
        <v>42550</v>
      </c>
      <c r="G326" t="s">
        <v>150</v>
      </c>
      <c r="H326" s="81">
        <v>124235</v>
      </c>
      <c r="I326" t="s">
        <v>6</v>
      </c>
      <c r="J326" s="3">
        <v>7458.08</v>
      </c>
    </row>
    <row r="327" spans="1:10" x14ac:dyDescent="0.25">
      <c r="A327" t="s">
        <v>151</v>
      </c>
      <c r="B327" t="s">
        <v>5</v>
      </c>
      <c r="C327" s="82" t="s">
        <v>152</v>
      </c>
      <c r="D327">
        <v>201507</v>
      </c>
      <c r="E327" s="1">
        <v>42185</v>
      </c>
      <c r="F327" s="1">
        <v>42216</v>
      </c>
      <c r="G327" t="s">
        <v>153</v>
      </c>
      <c r="H327" s="81">
        <v>38380</v>
      </c>
      <c r="I327" t="s">
        <v>6</v>
      </c>
      <c r="J327" s="3">
        <v>2251.3000000000002</v>
      </c>
    </row>
    <row r="328" spans="1:10" x14ac:dyDescent="0.25">
      <c r="A328" t="s">
        <v>151</v>
      </c>
      <c r="B328" t="s">
        <v>5</v>
      </c>
      <c r="C328" s="82" t="s">
        <v>152</v>
      </c>
      <c r="D328">
        <v>201508</v>
      </c>
      <c r="E328" s="1">
        <v>42216</v>
      </c>
      <c r="F328" s="1">
        <v>42243</v>
      </c>
      <c r="G328" t="s">
        <v>153</v>
      </c>
      <c r="H328" s="81">
        <v>44567</v>
      </c>
      <c r="I328" t="s">
        <v>6</v>
      </c>
      <c r="J328" s="3">
        <v>2702.51</v>
      </c>
    </row>
    <row r="329" spans="1:10" x14ac:dyDescent="0.25">
      <c r="A329" t="s">
        <v>151</v>
      </c>
      <c r="B329" t="s">
        <v>5</v>
      </c>
      <c r="C329" s="82" t="s">
        <v>152</v>
      </c>
      <c r="D329">
        <v>201509</v>
      </c>
      <c r="E329" s="1">
        <v>42243</v>
      </c>
      <c r="F329" s="1">
        <v>42276</v>
      </c>
      <c r="G329" t="s">
        <v>153</v>
      </c>
      <c r="H329" s="81">
        <v>70386</v>
      </c>
      <c r="I329" t="s">
        <v>6</v>
      </c>
      <c r="J329" s="3">
        <v>4117.92</v>
      </c>
    </row>
    <row r="330" spans="1:10" x14ac:dyDescent="0.25">
      <c r="A330" t="s">
        <v>151</v>
      </c>
      <c r="B330" t="s">
        <v>5</v>
      </c>
      <c r="C330" s="82" t="s">
        <v>152</v>
      </c>
      <c r="D330">
        <v>201510</v>
      </c>
      <c r="E330" s="1">
        <v>42276</v>
      </c>
      <c r="F330" s="1">
        <v>42305</v>
      </c>
      <c r="G330" t="s">
        <v>153</v>
      </c>
      <c r="H330" s="81">
        <v>46506</v>
      </c>
      <c r="I330" t="s">
        <v>6</v>
      </c>
      <c r="J330" s="3">
        <v>2780.82</v>
      </c>
    </row>
    <row r="331" spans="1:10" x14ac:dyDescent="0.25">
      <c r="A331" t="s">
        <v>151</v>
      </c>
      <c r="B331" t="s">
        <v>5</v>
      </c>
      <c r="C331" s="82" t="s">
        <v>152</v>
      </c>
      <c r="D331">
        <v>201511</v>
      </c>
      <c r="E331" s="1">
        <v>42305</v>
      </c>
      <c r="F331" s="1">
        <v>42339</v>
      </c>
      <c r="G331" t="s">
        <v>153</v>
      </c>
      <c r="H331" s="81">
        <v>74174</v>
      </c>
      <c r="I331" t="s">
        <v>6</v>
      </c>
      <c r="J331" s="3">
        <v>4486.42</v>
      </c>
    </row>
    <row r="332" spans="1:10" x14ac:dyDescent="0.25">
      <c r="A332" t="s">
        <v>151</v>
      </c>
      <c r="B332" t="s">
        <v>5</v>
      </c>
      <c r="C332" s="82" t="s">
        <v>152</v>
      </c>
      <c r="D332">
        <v>201512</v>
      </c>
      <c r="E332" s="1">
        <v>42339</v>
      </c>
      <c r="F332" s="1">
        <v>42369</v>
      </c>
      <c r="G332" t="s">
        <v>153</v>
      </c>
      <c r="H332" s="81">
        <v>57481</v>
      </c>
      <c r="I332" t="s">
        <v>6</v>
      </c>
      <c r="J332" s="3">
        <v>3631.21</v>
      </c>
    </row>
    <row r="333" spans="1:10" x14ac:dyDescent="0.25">
      <c r="A333" t="s">
        <v>151</v>
      </c>
      <c r="B333" t="s">
        <v>5</v>
      </c>
      <c r="C333" s="82" t="s">
        <v>152</v>
      </c>
      <c r="D333">
        <v>201601</v>
      </c>
      <c r="E333" s="1">
        <v>42369</v>
      </c>
      <c r="F333" s="1">
        <v>42401</v>
      </c>
      <c r="G333" t="s">
        <v>153</v>
      </c>
      <c r="H333" s="81">
        <v>67988</v>
      </c>
      <c r="I333" t="s">
        <v>6</v>
      </c>
      <c r="J333" s="3">
        <v>4253.12</v>
      </c>
    </row>
    <row r="334" spans="1:10" x14ac:dyDescent="0.25">
      <c r="A334" t="s">
        <v>151</v>
      </c>
      <c r="B334" t="s">
        <v>5</v>
      </c>
      <c r="C334" s="82" t="s">
        <v>152</v>
      </c>
      <c r="D334">
        <v>201602</v>
      </c>
      <c r="E334" s="1">
        <v>42401</v>
      </c>
      <c r="F334" s="1">
        <v>42430</v>
      </c>
      <c r="G334" t="s">
        <v>153</v>
      </c>
      <c r="H334" s="81">
        <v>67078</v>
      </c>
      <c r="I334" t="s">
        <v>6</v>
      </c>
      <c r="J334" s="3">
        <v>4093.68</v>
      </c>
    </row>
    <row r="335" spans="1:10" x14ac:dyDescent="0.25">
      <c r="A335" t="s">
        <v>151</v>
      </c>
      <c r="B335" t="s">
        <v>5</v>
      </c>
      <c r="C335" s="82" t="s">
        <v>152</v>
      </c>
      <c r="D335">
        <v>201603</v>
      </c>
      <c r="E335" s="1">
        <v>42430</v>
      </c>
      <c r="F335" s="1">
        <v>42460</v>
      </c>
      <c r="G335" t="s">
        <v>153</v>
      </c>
      <c r="H335" s="81">
        <v>64308</v>
      </c>
      <c r="I335" t="s">
        <v>6</v>
      </c>
      <c r="J335" s="3">
        <v>4128.4799999999996</v>
      </c>
    </row>
    <row r="336" spans="1:10" x14ac:dyDescent="0.25">
      <c r="A336" t="s">
        <v>151</v>
      </c>
      <c r="B336" t="s">
        <v>5</v>
      </c>
      <c r="C336" s="82" t="s">
        <v>152</v>
      </c>
      <c r="D336">
        <v>201604</v>
      </c>
      <c r="E336" s="1">
        <v>42460</v>
      </c>
      <c r="F336" s="1">
        <v>42489</v>
      </c>
      <c r="G336" t="s">
        <v>153</v>
      </c>
      <c r="H336" s="81">
        <v>63835</v>
      </c>
      <c r="I336" t="s">
        <v>6</v>
      </c>
      <c r="J336" s="3">
        <v>3846.06</v>
      </c>
    </row>
    <row r="337" spans="1:10" x14ac:dyDescent="0.25">
      <c r="A337" t="s">
        <v>151</v>
      </c>
      <c r="B337" t="s">
        <v>5</v>
      </c>
      <c r="C337" s="82" t="s">
        <v>152</v>
      </c>
      <c r="D337">
        <v>201605</v>
      </c>
      <c r="E337" s="1">
        <v>42489</v>
      </c>
      <c r="F337" s="1">
        <v>42521</v>
      </c>
      <c r="G337" t="s">
        <v>153</v>
      </c>
      <c r="H337" s="81">
        <v>67675</v>
      </c>
      <c r="I337" t="s">
        <v>6</v>
      </c>
      <c r="J337" s="3">
        <v>4209.32</v>
      </c>
    </row>
    <row r="338" spans="1:10" x14ac:dyDescent="0.25">
      <c r="A338" t="s">
        <v>151</v>
      </c>
      <c r="B338" t="s">
        <v>5</v>
      </c>
      <c r="C338" s="82" t="s">
        <v>152</v>
      </c>
      <c r="D338">
        <v>201606</v>
      </c>
      <c r="E338" s="1">
        <v>42521</v>
      </c>
      <c r="F338" s="1">
        <v>42550</v>
      </c>
      <c r="G338" t="s">
        <v>153</v>
      </c>
      <c r="H338" s="81">
        <v>58039</v>
      </c>
      <c r="I338" t="s">
        <v>6</v>
      </c>
      <c r="J338" s="3">
        <v>3484.2</v>
      </c>
    </row>
    <row r="339" spans="1:10" x14ac:dyDescent="0.25">
      <c r="A339" t="s">
        <v>7</v>
      </c>
      <c r="B339" t="s">
        <v>5</v>
      </c>
      <c r="C339" s="82">
        <v>29904307</v>
      </c>
      <c r="D339">
        <v>201507</v>
      </c>
      <c r="E339" s="1">
        <v>42185</v>
      </c>
      <c r="F339" s="1">
        <v>42216</v>
      </c>
      <c r="G339" t="s">
        <v>639</v>
      </c>
      <c r="H339" s="81">
        <v>8080</v>
      </c>
      <c r="I339" t="s">
        <v>6</v>
      </c>
      <c r="J339" s="3">
        <v>693.63</v>
      </c>
    </row>
    <row r="340" spans="1:10" x14ac:dyDescent="0.25">
      <c r="A340" t="s">
        <v>7</v>
      </c>
      <c r="B340" t="s">
        <v>5</v>
      </c>
      <c r="C340" s="82">
        <v>29904307</v>
      </c>
      <c r="D340">
        <v>201508</v>
      </c>
      <c r="E340" s="1">
        <v>42216</v>
      </c>
      <c r="F340" s="1">
        <v>42244</v>
      </c>
      <c r="G340" t="s">
        <v>639</v>
      </c>
      <c r="H340" s="81">
        <v>7780</v>
      </c>
      <c r="I340" t="s">
        <v>6</v>
      </c>
      <c r="J340" s="3">
        <v>668.69</v>
      </c>
    </row>
    <row r="341" spans="1:10" x14ac:dyDescent="0.25">
      <c r="A341" t="s">
        <v>7</v>
      </c>
      <c r="B341" t="s">
        <v>5</v>
      </c>
      <c r="C341" s="82">
        <v>29904307</v>
      </c>
      <c r="D341">
        <v>201509</v>
      </c>
      <c r="E341" s="1">
        <v>42244</v>
      </c>
      <c r="F341" s="1">
        <v>42276</v>
      </c>
      <c r="G341" t="s">
        <v>639</v>
      </c>
      <c r="H341" s="81">
        <v>9800</v>
      </c>
      <c r="I341" t="s">
        <v>6</v>
      </c>
      <c r="J341" s="3">
        <v>802.77</v>
      </c>
    </row>
    <row r="342" spans="1:10" x14ac:dyDescent="0.25">
      <c r="A342" t="s">
        <v>7</v>
      </c>
      <c r="B342" t="s">
        <v>5</v>
      </c>
      <c r="C342" s="82">
        <v>29904307</v>
      </c>
      <c r="D342">
        <v>201510</v>
      </c>
      <c r="E342" s="1">
        <v>42276</v>
      </c>
      <c r="F342" s="1">
        <v>42306</v>
      </c>
      <c r="G342" t="s">
        <v>639</v>
      </c>
      <c r="H342" s="81">
        <v>10300</v>
      </c>
      <c r="I342" t="s">
        <v>6</v>
      </c>
      <c r="J342" s="3">
        <v>844.41</v>
      </c>
    </row>
    <row r="343" spans="1:10" x14ac:dyDescent="0.25">
      <c r="A343" t="s">
        <v>7</v>
      </c>
      <c r="B343" t="s">
        <v>5</v>
      </c>
      <c r="C343" s="82">
        <v>29904307</v>
      </c>
      <c r="D343">
        <v>201511</v>
      </c>
      <c r="E343" s="1">
        <v>42306</v>
      </c>
      <c r="F343" s="1">
        <v>42340</v>
      </c>
      <c r="G343" t="s">
        <v>639</v>
      </c>
      <c r="H343" s="81">
        <v>12620</v>
      </c>
      <c r="I343" t="s">
        <v>6</v>
      </c>
      <c r="J343" s="3">
        <v>1009</v>
      </c>
    </row>
    <row r="344" spans="1:10" x14ac:dyDescent="0.25">
      <c r="A344" t="s">
        <v>7</v>
      </c>
      <c r="B344" t="s">
        <v>5</v>
      </c>
      <c r="C344" s="82">
        <v>29904307</v>
      </c>
      <c r="D344">
        <v>201512</v>
      </c>
      <c r="E344" s="1">
        <v>42340</v>
      </c>
      <c r="F344" s="1">
        <v>42369</v>
      </c>
      <c r="G344" t="s">
        <v>639</v>
      </c>
      <c r="H344" s="81">
        <v>11280</v>
      </c>
      <c r="I344" t="s">
        <v>6</v>
      </c>
      <c r="J344" s="3">
        <v>916.19</v>
      </c>
    </row>
    <row r="345" spans="1:10" x14ac:dyDescent="0.25">
      <c r="A345" t="s">
        <v>7</v>
      </c>
      <c r="B345" t="s">
        <v>5</v>
      </c>
      <c r="C345" s="82">
        <v>29904307</v>
      </c>
      <c r="D345">
        <v>201601</v>
      </c>
      <c r="E345" s="1">
        <v>42369</v>
      </c>
      <c r="F345" s="1">
        <v>42403</v>
      </c>
      <c r="G345" t="s">
        <v>639</v>
      </c>
      <c r="H345" s="81">
        <v>13280</v>
      </c>
      <c r="I345" t="s">
        <v>6</v>
      </c>
      <c r="J345" s="3">
        <v>1070.52</v>
      </c>
    </row>
    <row r="346" spans="1:10" x14ac:dyDescent="0.25">
      <c r="A346" t="s">
        <v>7</v>
      </c>
      <c r="B346" t="s">
        <v>5</v>
      </c>
      <c r="C346" s="82">
        <v>29904307</v>
      </c>
      <c r="D346">
        <v>201602</v>
      </c>
      <c r="E346" s="1">
        <v>42403</v>
      </c>
      <c r="F346" s="1">
        <v>42429</v>
      </c>
      <c r="G346" t="s">
        <v>639</v>
      </c>
      <c r="H346" s="81">
        <v>9920</v>
      </c>
      <c r="I346" t="s">
        <v>6</v>
      </c>
      <c r="J346" s="3">
        <v>838.24</v>
      </c>
    </row>
    <row r="347" spans="1:10" x14ac:dyDescent="0.25">
      <c r="A347" t="s">
        <v>7</v>
      </c>
      <c r="B347" t="s">
        <v>5</v>
      </c>
      <c r="C347" s="82">
        <v>29904307</v>
      </c>
      <c r="D347">
        <v>201603</v>
      </c>
      <c r="E347" s="1">
        <v>42429</v>
      </c>
      <c r="F347" s="1">
        <v>42464</v>
      </c>
      <c r="G347" t="s">
        <v>639</v>
      </c>
      <c r="H347" s="81">
        <v>11660</v>
      </c>
      <c r="I347" t="s">
        <v>6</v>
      </c>
      <c r="J347" s="3">
        <v>957.01</v>
      </c>
    </row>
    <row r="348" spans="1:10" x14ac:dyDescent="0.25">
      <c r="A348" t="s">
        <v>7</v>
      </c>
      <c r="B348" t="s">
        <v>5</v>
      </c>
      <c r="C348" s="82">
        <v>29904307</v>
      </c>
      <c r="D348">
        <v>201604</v>
      </c>
      <c r="E348" s="1">
        <v>42464</v>
      </c>
      <c r="F348" s="1">
        <v>42492</v>
      </c>
      <c r="G348" t="s">
        <v>639</v>
      </c>
      <c r="H348" s="81">
        <v>8220</v>
      </c>
      <c r="I348" t="s">
        <v>6</v>
      </c>
      <c r="J348" s="3">
        <v>721.83</v>
      </c>
    </row>
    <row r="349" spans="1:10" x14ac:dyDescent="0.25">
      <c r="A349" t="s">
        <v>7</v>
      </c>
      <c r="B349" t="s">
        <v>5</v>
      </c>
      <c r="C349" s="82">
        <v>29904307</v>
      </c>
      <c r="D349">
        <v>201605</v>
      </c>
      <c r="E349" s="1">
        <v>42492</v>
      </c>
      <c r="F349" s="1">
        <v>42521</v>
      </c>
      <c r="G349" t="s">
        <v>639</v>
      </c>
      <c r="H349" s="81">
        <v>7960</v>
      </c>
      <c r="I349" t="s">
        <v>6</v>
      </c>
      <c r="J349" s="3">
        <v>708.85</v>
      </c>
    </row>
    <row r="350" spans="1:10" x14ac:dyDescent="0.25">
      <c r="A350" t="s">
        <v>7</v>
      </c>
      <c r="B350" t="s">
        <v>5</v>
      </c>
      <c r="C350" s="82">
        <v>29904307</v>
      </c>
      <c r="D350">
        <v>201606</v>
      </c>
      <c r="E350" s="1">
        <v>42521</v>
      </c>
      <c r="F350" s="1">
        <v>42549</v>
      </c>
      <c r="G350" t="s">
        <v>639</v>
      </c>
      <c r="H350" s="81">
        <v>7140</v>
      </c>
      <c r="I350" t="s">
        <v>6</v>
      </c>
      <c r="J350" s="3">
        <v>624.01</v>
      </c>
    </row>
    <row r="351" spans="1:10" x14ac:dyDescent="0.25">
      <c r="A351" t="s">
        <v>7</v>
      </c>
      <c r="B351" t="s">
        <v>5</v>
      </c>
      <c r="C351" s="82">
        <v>8615115865</v>
      </c>
      <c r="D351">
        <v>201507</v>
      </c>
      <c r="E351" s="1">
        <v>42185</v>
      </c>
      <c r="F351" s="1">
        <v>42216</v>
      </c>
      <c r="G351" t="s">
        <v>640</v>
      </c>
      <c r="H351" s="81">
        <v>360</v>
      </c>
      <c r="I351" t="s">
        <v>6</v>
      </c>
      <c r="J351" s="3">
        <v>42.4</v>
      </c>
    </row>
    <row r="352" spans="1:10" x14ac:dyDescent="0.25">
      <c r="A352" t="s">
        <v>7</v>
      </c>
      <c r="B352" t="s">
        <v>5</v>
      </c>
      <c r="C352" s="82">
        <v>8615115865</v>
      </c>
      <c r="D352">
        <v>201508</v>
      </c>
      <c r="E352" s="1">
        <v>42216</v>
      </c>
      <c r="F352" s="1">
        <v>42244</v>
      </c>
      <c r="G352" t="s">
        <v>640</v>
      </c>
      <c r="H352" s="81">
        <v>360</v>
      </c>
      <c r="I352" t="s">
        <v>6</v>
      </c>
      <c r="J352" s="3">
        <v>42.4</v>
      </c>
    </row>
    <row r="353" spans="1:10" x14ac:dyDescent="0.25">
      <c r="A353" t="s">
        <v>7</v>
      </c>
      <c r="B353" t="s">
        <v>5</v>
      </c>
      <c r="C353" s="82">
        <v>8615115865</v>
      </c>
      <c r="D353">
        <v>201509</v>
      </c>
      <c r="E353" s="1">
        <v>42244</v>
      </c>
      <c r="F353" s="1">
        <v>42276</v>
      </c>
      <c r="G353" t="s">
        <v>640</v>
      </c>
      <c r="H353" s="81">
        <v>420</v>
      </c>
      <c r="I353" t="s">
        <v>6</v>
      </c>
      <c r="J353" s="3">
        <v>47.45</v>
      </c>
    </row>
    <row r="354" spans="1:10" x14ac:dyDescent="0.25">
      <c r="A354" t="s">
        <v>7</v>
      </c>
      <c r="B354" t="s">
        <v>5</v>
      </c>
      <c r="C354" s="82">
        <v>8615115865</v>
      </c>
      <c r="D354">
        <v>201510</v>
      </c>
      <c r="E354" s="1">
        <v>42276</v>
      </c>
      <c r="F354" s="1">
        <v>42307</v>
      </c>
      <c r="G354" t="s">
        <v>640</v>
      </c>
      <c r="H354" s="81">
        <v>680</v>
      </c>
      <c r="I354" t="s">
        <v>6</v>
      </c>
      <c r="J354" s="3">
        <v>70.47</v>
      </c>
    </row>
    <row r="355" spans="1:10" x14ac:dyDescent="0.25">
      <c r="A355" t="s">
        <v>7</v>
      </c>
      <c r="B355" t="s">
        <v>5</v>
      </c>
      <c r="C355" s="82">
        <v>8615115865</v>
      </c>
      <c r="D355">
        <v>201511</v>
      </c>
      <c r="E355" s="1">
        <v>42307</v>
      </c>
      <c r="F355" s="1">
        <v>42340</v>
      </c>
      <c r="G355" t="s">
        <v>640</v>
      </c>
      <c r="H355" s="81">
        <v>2360</v>
      </c>
      <c r="I355" t="s">
        <v>6</v>
      </c>
      <c r="J355" s="3">
        <v>219.61</v>
      </c>
    </row>
    <row r="356" spans="1:10" x14ac:dyDescent="0.25">
      <c r="A356" t="s">
        <v>7</v>
      </c>
      <c r="B356" t="s">
        <v>5</v>
      </c>
      <c r="C356" s="82">
        <v>8615115865</v>
      </c>
      <c r="D356">
        <v>201512</v>
      </c>
      <c r="E356" s="1">
        <v>42340</v>
      </c>
      <c r="F356" s="1">
        <v>42373</v>
      </c>
      <c r="G356" t="s">
        <v>640</v>
      </c>
      <c r="H356" s="81">
        <v>2440</v>
      </c>
      <c r="I356" t="s">
        <v>6</v>
      </c>
      <c r="J356" s="3">
        <v>226.66</v>
      </c>
    </row>
    <row r="357" spans="1:10" x14ac:dyDescent="0.25">
      <c r="A357" t="s">
        <v>7</v>
      </c>
      <c r="B357" t="s">
        <v>5</v>
      </c>
      <c r="C357" s="82">
        <v>8615115865</v>
      </c>
      <c r="D357">
        <v>201601</v>
      </c>
      <c r="E357" s="1">
        <v>42373</v>
      </c>
      <c r="F357" s="1">
        <v>42403</v>
      </c>
      <c r="G357" t="s">
        <v>640</v>
      </c>
      <c r="H357" s="81">
        <v>4340</v>
      </c>
      <c r="I357" t="s">
        <v>6</v>
      </c>
      <c r="J357" s="3">
        <v>394.79</v>
      </c>
    </row>
    <row r="358" spans="1:10" x14ac:dyDescent="0.25">
      <c r="A358" t="s">
        <v>7</v>
      </c>
      <c r="B358" t="s">
        <v>5</v>
      </c>
      <c r="C358" s="82">
        <v>8615115865</v>
      </c>
      <c r="D358">
        <v>201602</v>
      </c>
      <c r="E358" s="1">
        <v>42403</v>
      </c>
      <c r="F358" s="1">
        <v>42429</v>
      </c>
      <c r="G358" t="s">
        <v>640</v>
      </c>
      <c r="H358" s="81">
        <v>4280</v>
      </c>
      <c r="I358" t="s">
        <v>6</v>
      </c>
      <c r="J358" s="3">
        <v>389.46</v>
      </c>
    </row>
    <row r="359" spans="1:10" x14ac:dyDescent="0.25">
      <c r="A359" t="s">
        <v>7</v>
      </c>
      <c r="B359" t="s">
        <v>5</v>
      </c>
      <c r="C359" s="82">
        <v>8615115865</v>
      </c>
      <c r="D359">
        <v>201603</v>
      </c>
      <c r="E359" s="1">
        <v>42429</v>
      </c>
      <c r="F359" s="1">
        <v>42464</v>
      </c>
      <c r="G359" t="s">
        <v>640</v>
      </c>
      <c r="H359" s="81">
        <v>4180</v>
      </c>
      <c r="I359" t="s">
        <v>6</v>
      </c>
      <c r="J359" s="3">
        <v>380.74</v>
      </c>
    </row>
    <row r="360" spans="1:10" x14ac:dyDescent="0.25">
      <c r="A360" t="s">
        <v>7</v>
      </c>
      <c r="B360" t="s">
        <v>5</v>
      </c>
      <c r="C360" s="82">
        <v>8615115865</v>
      </c>
      <c r="D360">
        <v>201604</v>
      </c>
      <c r="E360" s="1">
        <v>42464</v>
      </c>
      <c r="F360" s="1">
        <v>42492</v>
      </c>
      <c r="G360" t="s">
        <v>640</v>
      </c>
      <c r="H360" s="81">
        <v>3180</v>
      </c>
      <c r="I360" t="s">
        <v>6</v>
      </c>
      <c r="J360" s="3">
        <v>293.18</v>
      </c>
    </row>
    <row r="361" spans="1:10" x14ac:dyDescent="0.25">
      <c r="A361" t="s">
        <v>7</v>
      </c>
      <c r="B361" t="s">
        <v>5</v>
      </c>
      <c r="C361" s="82">
        <v>8615115865</v>
      </c>
      <c r="D361">
        <v>201605</v>
      </c>
      <c r="E361" s="1">
        <v>42492</v>
      </c>
      <c r="F361" s="1">
        <v>42521</v>
      </c>
      <c r="G361" t="s">
        <v>640</v>
      </c>
      <c r="H361" s="81">
        <v>1940</v>
      </c>
      <c r="I361" t="s">
        <v>6</v>
      </c>
      <c r="J361" s="3">
        <v>184.04</v>
      </c>
    </row>
    <row r="362" spans="1:10" x14ac:dyDescent="0.25">
      <c r="A362" t="s">
        <v>7</v>
      </c>
      <c r="B362" t="s">
        <v>5</v>
      </c>
      <c r="C362" s="82">
        <v>8615115865</v>
      </c>
      <c r="D362">
        <v>201606</v>
      </c>
      <c r="E362" s="1">
        <v>42521</v>
      </c>
      <c r="F362" s="1">
        <v>42549</v>
      </c>
      <c r="G362" t="s">
        <v>640</v>
      </c>
      <c r="H362" s="81">
        <v>400</v>
      </c>
      <c r="I362" t="s">
        <v>6</v>
      </c>
      <c r="J362" s="3">
        <v>47.03</v>
      </c>
    </row>
    <row r="363" spans="1:10" x14ac:dyDescent="0.25">
      <c r="A363" t="s">
        <v>7</v>
      </c>
      <c r="B363" t="s">
        <v>5</v>
      </c>
      <c r="C363" s="82">
        <v>5893043470</v>
      </c>
      <c r="D363">
        <v>201507</v>
      </c>
      <c r="E363" s="1">
        <v>42185</v>
      </c>
      <c r="F363" s="1">
        <v>42216</v>
      </c>
      <c r="G363" t="s">
        <v>642</v>
      </c>
      <c r="H363" s="81">
        <v>800</v>
      </c>
      <c r="I363" t="s">
        <v>6</v>
      </c>
      <c r="J363" s="3">
        <v>81.819999999999993</v>
      </c>
    </row>
    <row r="364" spans="1:10" x14ac:dyDescent="0.25">
      <c r="A364" t="s">
        <v>7</v>
      </c>
      <c r="B364" t="s">
        <v>5</v>
      </c>
      <c r="C364" s="82">
        <v>5893043470</v>
      </c>
      <c r="D364">
        <v>201508</v>
      </c>
      <c r="E364" s="1">
        <v>42216</v>
      </c>
      <c r="F364" s="1">
        <v>42244</v>
      </c>
      <c r="G364" t="s">
        <v>642</v>
      </c>
      <c r="H364" s="81">
        <v>720</v>
      </c>
      <c r="I364" t="s">
        <v>6</v>
      </c>
      <c r="J364" s="3">
        <v>74.650000000000006</v>
      </c>
    </row>
    <row r="365" spans="1:10" x14ac:dyDescent="0.25">
      <c r="A365" t="s">
        <v>7</v>
      </c>
      <c r="B365" t="s">
        <v>5</v>
      </c>
      <c r="C365" s="82">
        <v>5893043470</v>
      </c>
      <c r="D365">
        <v>201509</v>
      </c>
      <c r="E365" s="1">
        <v>42244</v>
      </c>
      <c r="F365" s="1">
        <v>42276</v>
      </c>
      <c r="G365" t="s">
        <v>642</v>
      </c>
      <c r="H365" s="81">
        <v>820</v>
      </c>
      <c r="I365" t="s">
        <v>6</v>
      </c>
      <c r="J365" s="3">
        <v>82.99</v>
      </c>
    </row>
    <row r="366" spans="1:10" x14ac:dyDescent="0.25">
      <c r="A366" t="s">
        <v>7</v>
      </c>
      <c r="B366" t="s">
        <v>5</v>
      </c>
      <c r="C366" s="82">
        <v>5893043470</v>
      </c>
      <c r="D366">
        <v>201510</v>
      </c>
      <c r="E366" s="1">
        <v>42276</v>
      </c>
      <c r="F366" s="1">
        <v>42307</v>
      </c>
      <c r="G366" t="s">
        <v>642</v>
      </c>
      <c r="H366" s="81">
        <v>900</v>
      </c>
      <c r="I366" t="s">
        <v>6</v>
      </c>
      <c r="J366" s="3">
        <v>90.03</v>
      </c>
    </row>
    <row r="367" spans="1:10" x14ac:dyDescent="0.25">
      <c r="A367" t="s">
        <v>7</v>
      </c>
      <c r="B367" t="s">
        <v>5</v>
      </c>
      <c r="C367" s="82">
        <v>5893043470</v>
      </c>
      <c r="D367">
        <v>201511</v>
      </c>
      <c r="E367" s="1">
        <v>42307</v>
      </c>
      <c r="F367" s="1">
        <v>42340</v>
      </c>
      <c r="G367" t="s">
        <v>642</v>
      </c>
      <c r="H367" s="81">
        <v>1480</v>
      </c>
      <c r="I367" t="s">
        <v>6</v>
      </c>
      <c r="J367" s="3">
        <v>141.49</v>
      </c>
    </row>
    <row r="368" spans="1:10" x14ac:dyDescent="0.25">
      <c r="A368" t="s">
        <v>7</v>
      </c>
      <c r="B368" t="s">
        <v>5</v>
      </c>
      <c r="C368" s="82">
        <v>5893043470</v>
      </c>
      <c r="D368">
        <v>201512</v>
      </c>
      <c r="E368" s="1">
        <v>42340</v>
      </c>
      <c r="F368" s="1">
        <v>42369</v>
      </c>
      <c r="G368" t="s">
        <v>642</v>
      </c>
      <c r="H368" s="81">
        <v>1500</v>
      </c>
      <c r="I368" t="s">
        <v>6</v>
      </c>
      <c r="J368" s="3">
        <v>143.31</v>
      </c>
    </row>
    <row r="369" spans="1:10" x14ac:dyDescent="0.25">
      <c r="A369" t="s">
        <v>7</v>
      </c>
      <c r="B369" t="s">
        <v>5</v>
      </c>
      <c r="C369" s="82">
        <v>5893043470</v>
      </c>
      <c r="D369">
        <v>201601</v>
      </c>
      <c r="E369" s="1">
        <v>42369</v>
      </c>
      <c r="F369" s="1">
        <v>42403</v>
      </c>
      <c r="G369" t="s">
        <v>642</v>
      </c>
      <c r="H369" s="81">
        <v>3420</v>
      </c>
      <c r="I369" t="s">
        <v>6</v>
      </c>
      <c r="J369" s="3">
        <v>305.07</v>
      </c>
    </row>
    <row r="370" spans="1:10" x14ac:dyDescent="0.25">
      <c r="A370" t="s">
        <v>7</v>
      </c>
      <c r="B370" t="s">
        <v>5</v>
      </c>
      <c r="C370" s="82">
        <v>5893043470</v>
      </c>
      <c r="D370">
        <v>201602</v>
      </c>
      <c r="E370" s="1">
        <v>42403</v>
      </c>
      <c r="F370" s="1">
        <v>42429</v>
      </c>
      <c r="G370" t="s">
        <v>642</v>
      </c>
      <c r="H370" s="81">
        <v>2540</v>
      </c>
      <c r="I370" t="s">
        <v>6</v>
      </c>
      <c r="J370" s="3">
        <v>235.23</v>
      </c>
    </row>
    <row r="371" spans="1:10" x14ac:dyDescent="0.25">
      <c r="A371" t="s">
        <v>7</v>
      </c>
      <c r="B371" t="s">
        <v>5</v>
      </c>
      <c r="C371" s="82">
        <v>5893043470</v>
      </c>
      <c r="D371">
        <v>201603</v>
      </c>
      <c r="E371" s="1">
        <v>42429</v>
      </c>
      <c r="F371" s="1">
        <v>42464</v>
      </c>
      <c r="G371" t="s">
        <v>642</v>
      </c>
      <c r="H371" s="81">
        <v>1840</v>
      </c>
      <c r="I371" t="s">
        <v>6</v>
      </c>
      <c r="J371" s="3">
        <v>173.27</v>
      </c>
    </row>
    <row r="372" spans="1:10" x14ac:dyDescent="0.25">
      <c r="A372" t="s">
        <v>7</v>
      </c>
      <c r="B372" t="s">
        <v>5</v>
      </c>
      <c r="C372" s="82">
        <v>5893043470</v>
      </c>
      <c r="D372">
        <v>201604</v>
      </c>
      <c r="E372" s="1">
        <v>42464</v>
      </c>
      <c r="F372" s="1">
        <v>42492</v>
      </c>
      <c r="G372" t="s">
        <v>642</v>
      </c>
      <c r="H372" s="81">
        <v>1620</v>
      </c>
      <c r="I372" t="s">
        <v>6</v>
      </c>
      <c r="J372" s="3">
        <v>154.33000000000001</v>
      </c>
    </row>
    <row r="373" spans="1:10" x14ac:dyDescent="0.25">
      <c r="A373" t="s">
        <v>7</v>
      </c>
      <c r="B373" t="s">
        <v>5</v>
      </c>
      <c r="C373" s="82">
        <v>5893043470</v>
      </c>
      <c r="D373">
        <v>201605</v>
      </c>
      <c r="E373" s="1">
        <v>42492</v>
      </c>
      <c r="F373" s="1">
        <v>42521</v>
      </c>
      <c r="G373" t="s">
        <v>642</v>
      </c>
      <c r="H373" s="81">
        <v>1120</v>
      </c>
      <c r="I373" t="s">
        <v>6</v>
      </c>
      <c r="J373" s="3">
        <v>110.54</v>
      </c>
    </row>
    <row r="374" spans="1:10" x14ac:dyDescent="0.25">
      <c r="A374" t="s">
        <v>7</v>
      </c>
      <c r="B374" t="s">
        <v>5</v>
      </c>
      <c r="C374" s="82">
        <v>5893043470</v>
      </c>
      <c r="D374">
        <v>201606</v>
      </c>
      <c r="E374" s="1">
        <v>42521</v>
      </c>
      <c r="F374" s="1">
        <v>42549</v>
      </c>
      <c r="G374" t="s">
        <v>642</v>
      </c>
      <c r="H374" s="81">
        <v>1200</v>
      </c>
      <c r="I374" t="s">
        <v>6</v>
      </c>
      <c r="J374" s="3">
        <v>117.69</v>
      </c>
    </row>
    <row r="375" spans="1:10" x14ac:dyDescent="0.25">
      <c r="A375" t="s">
        <v>7</v>
      </c>
      <c r="B375" t="s">
        <v>5</v>
      </c>
      <c r="C375" s="82">
        <v>8270931044</v>
      </c>
      <c r="D375">
        <v>201512</v>
      </c>
      <c r="E375" s="1">
        <v>42341</v>
      </c>
      <c r="F375" s="1">
        <v>42388</v>
      </c>
      <c r="G375" t="s">
        <v>643</v>
      </c>
      <c r="H375" s="81">
        <v>20</v>
      </c>
      <c r="I375" t="s">
        <v>6</v>
      </c>
      <c r="J375" s="3">
        <v>32.64</v>
      </c>
    </row>
    <row r="376" spans="1:10" x14ac:dyDescent="0.25">
      <c r="A376" t="s">
        <v>7</v>
      </c>
      <c r="B376" t="s">
        <v>5</v>
      </c>
      <c r="C376" s="82">
        <v>8270931044</v>
      </c>
      <c r="D376">
        <v>201602</v>
      </c>
      <c r="E376" s="1">
        <v>42388</v>
      </c>
      <c r="F376" s="1">
        <v>42429</v>
      </c>
      <c r="G376" t="s">
        <v>643</v>
      </c>
      <c r="H376" s="81">
        <v>820</v>
      </c>
      <c r="I376" t="s">
        <v>6</v>
      </c>
      <c r="J376" s="3">
        <v>86.53</v>
      </c>
    </row>
    <row r="377" spans="1:10" x14ac:dyDescent="0.25">
      <c r="A377" t="s">
        <v>7</v>
      </c>
      <c r="B377" t="s">
        <v>5</v>
      </c>
      <c r="C377" s="82">
        <v>8270931044</v>
      </c>
      <c r="D377">
        <v>201603</v>
      </c>
      <c r="E377" s="1">
        <v>42429</v>
      </c>
      <c r="F377" s="1">
        <v>42464</v>
      </c>
      <c r="G377" t="s">
        <v>643</v>
      </c>
      <c r="H377" s="81">
        <v>2360</v>
      </c>
      <c r="I377" t="s">
        <v>6</v>
      </c>
      <c r="J377" s="3">
        <v>219.39</v>
      </c>
    </row>
    <row r="378" spans="1:10" x14ac:dyDescent="0.25">
      <c r="A378" t="s">
        <v>7</v>
      </c>
      <c r="B378" t="s">
        <v>5</v>
      </c>
      <c r="C378" s="82">
        <v>8270931044</v>
      </c>
      <c r="D378">
        <v>201604</v>
      </c>
      <c r="E378" s="1">
        <v>42464</v>
      </c>
      <c r="F378" s="1">
        <v>42492</v>
      </c>
      <c r="G378" t="s">
        <v>643</v>
      </c>
      <c r="H378" s="81">
        <v>1920</v>
      </c>
      <c r="I378" t="s">
        <v>6</v>
      </c>
      <c r="J378" s="3">
        <v>180.97</v>
      </c>
    </row>
    <row r="379" spans="1:10" x14ac:dyDescent="0.25">
      <c r="A379" t="s">
        <v>7</v>
      </c>
      <c r="B379" t="s">
        <v>5</v>
      </c>
      <c r="C379" s="82">
        <v>8270931044</v>
      </c>
      <c r="D379">
        <v>201605</v>
      </c>
      <c r="E379" s="1">
        <v>42492</v>
      </c>
      <c r="F379" s="1">
        <v>42521</v>
      </c>
      <c r="G379" t="s">
        <v>643</v>
      </c>
      <c r="H379" s="81">
        <v>1100</v>
      </c>
      <c r="I379" t="s">
        <v>6</v>
      </c>
      <c r="J379" s="3">
        <v>108.74</v>
      </c>
    </row>
    <row r="380" spans="1:10" x14ac:dyDescent="0.25">
      <c r="A380" t="s">
        <v>7</v>
      </c>
      <c r="B380" t="s">
        <v>5</v>
      </c>
      <c r="C380" s="82">
        <v>8270931044</v>
      </c>
      <c r="D380">
        <v>201606</v>
      </c>
      <c r="E380" s="1">
        <v>42521</v>
      </c>
      <c r="F380" s="1">
        <v>42549</v>
      </c>
      <c r="G380" t="s">
        <v>643</v>
      </c>
      <c r="H380" s="81">
        <v>380</v>
      </c>
      <c r="I380" t="s">
        <v>6</v>
      </c>
      <c r="J380" s="3">
        <v>44.19</v>
      </c>
    </row>
    <row r="381" spans="1:10" x14ac:dyDescent="0.25">
      <c r="H381" s="2">
        <f>SUM(H3:H380)</f>
        <v>22107794</v>
      </c>
      <c r="I381" t="s">
        <v>6</v>
      </c>
      <c r="J381" s="4">
        <f>SUM(J3:J380)</f>
        <v>1372872.5699999996</v>
      </c>
    </row>
    <row r="382" spans="1:10" ht="15.75" thickBot="1" x14ac:dyDescent="0.3">
      <c r="G382" s="20" t="s">
        <v>575</v>
      </c>
      <c r="H382" s="81">
        <v>-251322</v>
      </c>
      <c r="I382" t="s">
        <v>6</v>
      </c>
      <c r="J382" s="3">
        <v>-15330.15</v>
      </c>
    </row>
    <row r="383" spans="1:10" ht="15.75" thickBot="1" x14ac:dyDescent="0.3">
      <c r="H383" s="91">
        <f>SUM(H381:H382)</f>
        <v>21856472</v>
      </c>
      <c r="I383" t="s">
        <v>6</v>
      </c>
      <c r="J383" s="6">
        <f>SUM(J381:J382)</f>
        <v>1357542.4199999997</v>
      </c>
    </row>
    <row r="384" spans="1:10" ht="15.75" thickBot="1" x14ac:dyDescent="0.3">
      <c r="H384" s="91">
        <f>21856472*3412/1000000</f>
        <v>74574.282464000004</v>
      </c>
      <c r="I384" t="s">
        <v>12</v>
      </c>
      <c r="J384" s="3"/>
    </row>
    <row r="385" spans="1:10" x14ac:dyDescent="0.25">
      <c r="H385" s="99"/>
      <c r="J385" s="3"/>
    </row>
    <row r="386" spans="1:10" x14ac:dyDescent="0.25">
      <c r="A386" t="s">
        <v>121</v>
      </c>
      <c r="B386" t="s">
        <v>49</v>
      </c>
      <c r="C386" s="82">
        <v>3554847602</v>
      </c>
      <c r="D386">
        <v>201507</v>
      </c>
      <c r="E386" s="1">
        <v>42186</v>
      </c>
      <c r="F386" s="1">
        <v>42216</v>
      </c>
      <c r="G386" t="s">
        <v>122</v>
      </c>
      <c r="H386" s="81">
        <v>66</v>
      </c>
      <c r="I386" t="s">
        <v>27</v>
      </c>
      <c r="J386" s="3">
        <v>423.64</v>
      </c>
    </row>
    <row r="387" spans="1:10" x14ac:dyDescent="0.25">
      <c r="A387" t="s">
        <v>121</v>
      </c>
      <c r="B387" t="s">
        <v>49</v>
      </c>
      <c r="C387" s="82">
        <v>3554847602</v>
      </c>
      <c r="D387">
        <v>201508</v>
      </c>
      <c r="E387" s="1">
        <v>42217</v>
      </c>
      <c r="F387" s="1">
        <v>42247</v>
      </c>
      <c r="G387" t="s">
        <v>122</v>
      </c>
      <c r="H387" s="81">
        <v>48</v>
      </c>
      <c r="I387" t="s">
        <v>27</v>
      </c>
      <c r="J387" s="3">
        <v>330.53</v>
      </c>
    </row>
    <row r="388" spans="1:10" x14ac:dyDescent="0.25">
      <c r="A388" t="s">
        <v>121</v>
      </c>
      <c r="B388" t="s">
        <v>49</v>
      </c>
      <c r="C388" s="82">
        <v>3554847602</v>
      </c>
      <c r="D388">
        <v>201509</v>
      </c>
      <c r="E388" s="1">
        <v>42248</v>
      </c>
      <c r="F388" s="1">
        <v>42277</v>
      </c>
      <c r="G388" t="s">
        <v>122</v>
      </c>
      <c r="H388" s="81">
        <v>62</v>
      </c>
      <c r="I388" t="s">
        <v>27</v>
      </c>
      <c r="J388" s="3">
        <v>415.76</v>
      </c>
    </row>
    <row r="389" spans="1:10" x14ac:dyDescent="0.25">
      <c r="A389" t="s">
        <v>121</v>
      </c>
      <c r="B389" t="s">
        <v>49</v>
      </c>
      <c r="C389" s="82">
        <v>3554847602</v>
      </c>
      <c r="D389">
        <v>201510</v>
      </c>
      <c r="E389" s="1">
        <v>42278</v>
      </c>
      <c r="F389" s="1">
        <v>42308</v>
      </c>
      <c r="G389" t="s">
        <v>122</v>
      </c>
      <c r="H389" s="81">
        <v>0</v>
      </c>
      <c r="I389" t="s">
        <v>27</v>
      </c>
      <c r="J389" s="3">
        <v>20.45</v>
      </c>
    </row>
    <row r="390" spans="1:10" x14ac:dyDescent="0.25">
      <c r="A390" t="s">
        <v>121</v>
      </c>
      <c r="B390" t="s">
        <v>49</v>
      </c>
      <c r="C390" s="82">
        <v>3554847602</v>
      </c>
      <c r="D390">
        <v>201511</v>
      </c>
      <c r="E390" s="1">
        <v>42309</v>
      </c>
      <c r="F390" s="1">
        <v>42338</v>
      </c>
      <c r="G390" t="s">
        <v>122</v>
      </c>
      <c r="H390" s="81">
        <v>0</v>
      </c>
      <c r="I390" t="s">
        <v>27</v>
      </c>
      <c r="J390" s="3">
        <v>20.45</v>
      </c>
    </row>
    <row r="391" spans="1:10" x14ac:dyDescent="0.25">
      <c r="A391" t="s">
        <v>121</v>
      </c>
      <c r="B391" t="s">
        <v>49</v>
      </c>
      <c r="C391" s="82">
        <v>3554847602</v>
      </c>
      <c r="D391">
        <v>201512</v>
      </c>
      <c r="E391" s="1">
        <v>42309</v>
      </c>
      <c r="F391" s="1">
        <v>42369</v>
      </c>
      <c r="G391" t="s">
        <v>122</v>
      </c>
      <c r="H391" s="81">
        <v>81</v>
      </c>
      <c r="I391" t="s">
        <v>27</v>
      </c>
      <c r="J391" s="3">
        <v>547.38</v>
      </c>
    </row>
    <row r="392" spans="1:10" x14ac:dyDescent="0.25">
      <c r="A392" t="s">
        <v>121</v>
      </c>
      <c r="B392" t="s">
        <v>49</v>
      </c>
      <c r="C392" s="82">
        <v>3554847602</v>
      </c>
      <c r="D392">
        <v>201601</v>
      </c>
      <c r="E392" s="1">
        <v>42370</v>
      </c>
      <c r="F392" s="1">
        <v>42400</v>
      </c>
      <c r="G392" t="s">
        <v>122</v>
      </c>
      <c r="H392" s="81">
        <v>112</v>
      </c>
      <c r="I392" t="s">
        <v>27</v>
      </c>
      <c r="J392" s="3">
        <v>734.44</v>
      </c>
    </row>
    <row r="393" spans="1:10" x14ac:dyDescent="0.25">
      <c r="A393" t="s">
        <v>121</v>
      </c>
      <c r="B393" t="s">
        <v>49</v>
      </c>
      <c r="C393" s="82">
        <v>3554847602</v>
      </c>
      <c r="D393">
        <v>201602</v>
      </c>
      <c r="E393" s="1">
        <v>42401</v>
      </c>
      <c r="F393" s="1">
        <v>42429</v>
      </c>
      <c r="G393" t="s">
        <v>122</v>
      </c>
      <c r="H393" s="81">
        <v>107</v>
      </c>
      <c r="I393" t="s">
        <v>27</v>
      </c>
      <c r="J393" s="3">
        <v>728.37</v>
      </c>
    </row>
    <row r="394" spans="1:10" x14ac:dyDescent="0.25">
      <c r="A394" t="s">
        <v>121</v>
      </c>
      <c r="B394" t="s">
        <v>49</v>
      </c>
      <c r="C394" s="82">
        <v>3554847602</v>
      </c>
      <c r="D394">
        <v>201603</v>
      </c>
      <c r="E394" s="1">
        <v>42430</v>
      </c>
      <c r="F394" s="1">
        <v>42460</v>
      </c>
      <c r="G394" t="s">
        <v>122</v>
      </c>
      <c r="H394" s="81">
        <v>81</v>
      </c>
      <c r="I394" t="s">
        <v>27</v>
      </c>
      <c r="J394" s="3">
        <v>537.39</v>
      </c>
    </row>
    <row r="395" spans="1:10" x14ac:dyDescent="0.25">
      <c r="A395" t="s">
        <v>121</v>
      </c>
      <c r="B395" t="s">
        <v>49</v>
      </c>
      <c r="C395" s="82">
        <v>3554847602</v>
      </c>
      <c r="D395">
        <v>201604</v>
      </c>
      <c r="E395" s="1">
        <v>42461</v>
      </c>
      <c r="F395" s="1">
        <v>42490</v>
      </c>
      <c r="G395" t="s">
        <v>122</v>
      </c>
      <c r="H395" s="81">
        <v>36</v>
      </c>
      <c r="I395" t="s">
        <v>27</v>
      </c>
      <c r="J395" s="3">
        <v>256.3</v>
      </c>
    </row>
    <row r="396" spans="1:10" x14ac:dyDescent="0.25">
      <c r="A396" t="s">
        <v>121</v>
      </c>
      <c r="B396" t="s">
        <v>49</v>
      </c>
      <c r="C396" s="82">
        <v>3554847602</v>
      </c>
      <c r="D396">
        <v>201605</v>
      </c>
      <c r="E396" s="1">
        <v>42491</v>
      </c>
      <c r="F396" s="1">
        <v>42521</v>
      </c>
      <c r="G396" t="s">
        <v>122</v>
      </c>
      <c r="H396" s="81">
        <v>73</v>
      </c>
      <c r="I396" t="s">
        <v>27</v>
      </c>
      <c r="J396" s="3">
        <v>501.75</v>
      </c>
    </row>
    <row r="397" spans="1:10" x14ac:dyDescent="0.25">
      <c r="A397" t="s">
        <v>121</v>
      </c>
      <c r="B397" t="s">
        <v>49</v>
      </c>
      <c r="C397" s="82">
        <v>3554847602</v>
      </c>
      <c r="D397">
        <v>201606</v>
      </c>
      <c r="E397" s="1">
        <v>42522</v>
      </c>
      <c r="F397" s="1">
        <v>42551</v>
      </c>
      <c r="G397" t="s">
        <v>122</v>
      </c>
      <c r="H397" s="81">
        <v>57</v>
      </c>
      <c r="I397" t="s">
        <v>27</v>
      </c>
      <c r="J397" s="3">
        <v>377.42</v>
      </c>
    </row>
    <row r="398" spans="1:10" x14ac:dyDescent="0.25">
      <c r="A398" t="s">
        <v>125</v>
      </c>
      <c r="B398" t="s">
        <v>49</v>
      </c>
      <c r="C398" s="82">
        <v>3494647708</v>
      </c>
      <c r="D398">
        <v>201507</v>
      </c>
      <c r="E398" s="1">
        <v>42186</v>
      </c>
      <c r="F398" s="1">
        <v>42216</v>
      </c>
      <c r="G398" t="s">
        <v>126</v>
      </c>
      <c r="H398" s="81">
        <v>0</v>
      </c>
      <c r="I398" t="s">
        <v>27</v>
      </c>
      <c r="J398" s="3">
        <v>12.1</v>
      </c>
    </row>
    <row r="399" spans="1:10" x14ac:dyDescent="0.25">
      <c r="A399" t="s">
        <v>125</v>
      </c>
      <c r="B399" t="s">
        <v>49</v>
      </c>
      <c r="C399" s="82">
        <v>3494647708</v>
      </c>
      <c r="D399">
        <v>201508</v>
      </c>
      <c r="E399" s="1">
        <v>42217</v>
      </c>
      <c r="F399" s="1">
        <v>42247</v>
      </c>
      <c r="G399" t="s">
        <v>126</v>
      </c>
      <c r="H399" s="81">
        <v>0</v>
      </c>
      <c r="I399" t="s">
        <v>27</v>
      </c>
      <c r="J399" s="3">
        <v>21.32</v>
      </c>
    </row>
    <row r="400" spans="1:10" x14ac:dyDescent="0.25">
      <c r="A400" t="s">
        <v>125</v>
      </c>
      <c r="B400" t="s">
        <v>49</v>
      </c>
      <c r="C400" s="82">
        <v>3494647708</v>
      </c>
      <c r="D400">
        <v>201509</v>
      </c>
      <c r="E400" s="1">
        <v>42248</v>
      </c>
      <c r="F400" s="1">
        <v>42277</v>
      </c>
      <c r="G400" t="s">
        <v>126</v>
      </c>
      <c r="H400" s="81">
        <v>0</v>
      </c>
      <c r="I400" t="s">
        <v>27</v>
      </c>
      <c r="J400" s="3">
        <v>21.32</v>
      </c>
    </row>
    <row r="401" spans="1:10" x14ac:dyDescent="0.25">
      <c r="A401" t="s">
        <v>125</v>
      </c>
      <c r="B401" t="s">
        <v>49</v>
      </c>
      <c r="C401" s="82">
        <v>3494647708</v>
      </c>
      <c r="D401">
        <v>201510</v>
      </c>
      <c r="E401" s="1">
        <v>42278</v>
      </c>
      <c r="F401" s="1">
        <v>42308</v>
      </c>
      <c r="G401" t="s">
        <v>126</v>
      </c>
      <c r="H401" s="81">
        <v>4</v>
      </c>
      <c r="I401" t="s">
        <v>27</v>
      </c>
      <c r="J401" s="3">
        <v>48.49</v>
      </c>
    </row>
    <row r="402" spans="1:10" x14ac:dyDescent="0.25">
      <c r="A402" t="s">
        <v>125</v>
      </c>
      <c r="B402" t="s">
        <v>49</v>
      </c>
      <c r="C402" s="82">
        <v>3494647708</v>
      </c>
      <c r="D402">
        <v>201511</v>
      </c>
      <c r="E402" s="1">
        <v>42309</v>
      </c>
      <c r="F402" s="1">
        <v>42338</v>
      </c>
      <c r="G402" t="s">
        <v>126</v>
      </c>
      <c r="H402" s="81">
        <v>0</v>
      </c>
      <c r="I402" t="s">
        <v>27</v>
      </c>
      <c r="J402" s="3">
        <v>20.45</v>
      </c>
    </row>
    <row r="403" spans="1:10" x14ac:dyDescent="0.25">
      <c r="A403" t="s">
        <v>125</v>
      </c>
      <c r="B403" t="s">
        <v>49</v>
      </c>
      <c r="C403" s="82">
        <v>3494647708</v>
      </c>
      <c r="D403">
        <v>201512</v>
      </c>
      <c r="E403" s="1">
        <v>42339</v>
      </c>
      <c r="F403" s="1">
        <v>42369</v>
      </c>
      <c r="G403" t="s">
        <v>126</v>
      </c>
      <c r="H403" s="81">
        <v>13</v>
      </c>
      <c r="I403" t="s">
        <v>27</v>
      </c>
      <c r="J403" s="3">
        <v>113.43</v>
      </c>
    </row>
    <row r="404" spans="1:10" x14ac:dyDescent="0.25">
      <c r="A404" t="s">
        <v>125</v>
      </c>
      <c r="B404" t="s">
        <v>49</v>
      </c>
      <c r="C404" s="82">
        <v>3494647708</v>
      </c>
      <c r="D404">
        <v>201601</v>
      </c>
      <c r="E404" s="1">
        <v>42370</v>
      </c>
      <c r="F404" s="1">
        <v>42400</v>
      </c>
      <c r="G404" t="s">
        <v>126</v>
      </c>
      <c r="H404" s="81">
        <v>18</v>
      </c>
      <c r="I404" t="s">
        <v>27</v>
      </c>
      <c r="J404" s="3">
        <v>143.01</v>
      </c>
    </row>
    <row r="405" spans="1:10" x14ac:dyDescent="0.25">
      <c r="A405" t="s">
        <v>125</v>
      </c>
      <c r="B405" t="s">
        <v>49</v>
      </c>
      <c r="C405" s="82">
        <v>3494647708</v>
      </c>
      <c r="D405">
        <v>201602</v>
      </c>
      <c r="E405" s="1">
        <v>42401</v>
      </c>
      <c r="F405" s="1">
        <v>42429</v>
      </c>
      <c r="G405" t="s">
        <v>126</v>
      </c>
      <c r="H405" s="81">
        <v>14</v>
      </c>
      <c r="I405" t="s">
        <v>27</v>
      </c>
      <c r="J405" s="3">
        <v>119.76</v>
      </c>
    </row>
    <row r="406" spans="1:10" x14ac:dyDescent="0.25">
      <c r="A406" t="s">
        <v>125</v>
      </c>
      <c r="B406" t="s">
        <v>49</v>
      </c>
      <c r="C406" s="82">
        <v>3494647708</v>
      </c>
      <c r="D406">
        <v>201603</v>
      </c>
      <c r="E406" s="1">
        <v>42430</v>
      </c>
      <c r="F406" s="1">
        <v>42460</v>
      </c>
      <c r="G406" t="s">
        <v>126</v>
      </c>
      <c r="H406" s="81">
        <v>7</v>
      </c>
      <c r="I406" t="s">
        <v>27</v>
      </c>
      <c r="J406" s="3">
        <v>69.63</v>
      </c>
    </row>
    <row r="407" spans="1:10" x14ac:dyDescent="0.25">
      <c r="A407" t="s">
        <v>125</v>
      </c>
      <c r="B407" t="s">
        <v>49</v>
      </c>
      <c r="C407" s="82">
        <v>3494647708</v>
      </c>
      <c r="D407">
        <v>201604</v>
      </c>
      <c r="E407" s="1">
        <v>42461</v>
      </c>
      <c r="F407" s="1">
        <v>42490</v>
      </c>
      <c r="G407" t="s">
        <v>126</v>
      </c>
      <c r="H407" s="81">
        <v>50.68</v>
      </c>
      <c r="I407" t="s">
        <v>27</v>
      </c>
      <c r="J407" s="3">
        <v>50.68</v>
      </c>
    </row>
    <row r="408" spans="1:10" x14ac:dyDescent="0.25">
      <c r="A408" t="s">
        <v>125</v>
      </c>
      <c r="B408" t="s">
        <v>49</v>
      </c>
      <c r="C408" s="82">
        <v>3494647708</v>
      </c>
      <c r="D408">
        <v>201605</v>
      </c>
      <c r="E408" s="1">
        <v>42491</v>
      </c>
      <c r="F408" s="1">
        <v>42521</v>
      </c>
      <c r="G408" t="s">
        <v>126</v>
      </c>
      <c r="H408" s="81">
        <v>0</v>
      </c>
      <c r="I408" t="s">
        <v>27</v>
      </c>
      <c r="J408" s="3">
        <v>23.91</v>
      </c>
    </row>
    <row r="409" spans="1:10" x14ac:dyDescent="0.25">
      <c r="A409" t="s">
        <v>125</v>
      </c>
      <c r="B409" t="s">
        <v>49</v>
      </c>
      <c r="C409" s="82">
        <v>3494647708</v>
      </c>
      <c r="D409">
        <v>201606</v>
      </c>
      <c r="E409" s="1">
        <v>42523</v>
      </c>
      <c r="F409" s="1">
        <v>42551</v>
      </c>
      <c r="G409" t="s">
        <v>126</v>
      </c>
      <c r="H409" s="81">
        <v>0</v>
      </c>
      <c r="I409" t="s">
        <v>27</v>
      </c>
      <c r="J409" s="3">
        <v>20.45</v>
      </c>
    </row>
    <row r="410" spans="1:10" x14ac:dyDescent="0.25">
      <c r="A410" t="s">
        <v>4</v>
      </c>
      <c r="B410" t="s">
        <v>49</v>
      </c>
      <c r="C410" s="82">
        <v>3494643103</v>
      </c>
      <c r="D410">
        <v>201508</v>
      </c>
      <c r="E410" s="1">
        <v>42217</v>
      </c>
      <c r="F410" s="1">
        <v>42247</v>
      </c>
      <c r="G410" t="s">
        <v>123</v>
      </c>
      <c r="H410" s="81">
        <v>0</v>
      </c>
      <c r="I410" t="s">
        <v>27</v>
      </c>
      <c r="J410" s="3">
        <v>20.45</v>
      </c>
    </row>
    <row r="411" spans="1:10" x14ac:dyDescent="0.25">
      <c r="A411" t="s">
        <v>4</v>
      </c>
      <c r="B411" t="s">
        <v>49</v>
      </c>
      <c r="C411" s="82">
        <v>3494643103</v>
      </c>
      <c r="D411">
        <v>201509</v>
      </c>
      <c r="E411" s="1">
        <v>42248</v>
      </c>
      <c r="F411" s="1">
        <v>42277</v>
      </c>
      <c r="G411" t="s">
        <v>123</v>
      </c>
      <c r="H411" s="81">
        <v>55</v>
      </c>
      <c r="I411" t="s">
        <v>27</v>
      </c>
      <c r="J411" s="3">
        <v>373.82</v>
      </c>
    </row>
    <row r="412" spans="1:10" x14ac:dyDescent="0.25">
      <c r="A412" t="s">
        <v>4</v>
      </c>
      <c r="B412" t="s">
        <v>49</v>
      </c>
      <c r="C412" s="82">
        <v>3494643103</v>
      </c>
      <c r="D412">
        <v>201510</v>
      </c>
      <c r="E412" s="1">
        <v>42278</v>
      </c>
      <c r="F412" s="1">
        <v>42308</v>
      </c>
      <c r="G412" t="s">
        <v>123</v>
      </c>
      <c r="H412" s="81">
        <v>394</v>
      </c>
      <c r="I412" t="s">
        <v>27</v>
      </c>
      <c r="J412" s="3">
        <v>2387.3200000000002</v>
      </c>
    </row>
    <row r="413" spans="1:10" x14ac:dyDescent="0.25">
      <c r="A413" t="s">
        <v>4</v>
      </c>
      <c r="B413" t="s">
        <v>49</v>
      </c>
      <c r="C413" s="82">
        <v>3494643103</v>
      </c>
      <c r="D413">
        <v>201511</v>
      </c>
      <c r="E413" s="1">
        <v>42309</v>
      </c>
      <c r="F413" s="1">
        <v>42338</v>
      </c>
      <c r="G413" t="s">
        <v>123</v>
      </c>
      <c r="H413" s="81">
        <v>878</v>
      </c>
      <c r="I413" t="s">
        <v>27</v>
      </c>
      <c r="J413" s="3">
        <v>4553.1099999999997</v>
      </c>
    </row>
    <row r="414" spans="1:10" x14ac:dyDescent="0.25">
      <c r="A414" t="s">
        <v>4</v>
      </c>
      <c r="B414" t="s">
        <v>49</v>
      </c>
      <c r="C414" s="82">
        <v>3494643103</v>
      </c>
      <c r="D414">
        <v>201512</v>
      </c>
      <c r="E414" s="1">
        <v>42339</v>
      </c>
      <c r="F414" s="1">
        <v>42369</v>
      </c>
      <c r="G414" t="s">
        <v>123</v>
      </c>
      <c r="H414" s="81">
        <v>526</v>
      </c>
      <c r="I414" t="s">
        <v>27</v>
      </c>
      <c r="J414" s="3">
        <v>3114</v>
      </c>
    </row>
    <row r="415" spans="1:10" x14ac:dyDescent="0.25">
      <c r="A415" t="s">
        <v>4</v>
      </c>
      <c r="B415" t="s">
        <v>49</v>
      </c>
      <c r="C415" s="82">
        <v>3494643103</v>
      </c>
      <c r="D415">
        <v>201601</v>
      </c>
      <c r="E415" s="1">
        <v>42370</v>
      </c>
      <c r="F415" s="1">
        <v>42400</v>
      </c>
      <c r="G415" t="s">
        <v>123</v>
      </c>
      <c r="H415" s="81">
        <v>801</v>
      </c>
      <c r="I415" t="s">
        <v>27</v>
      </c>
      <c r="J415" s="3">
        <v>4652.07</v>
      </c>
    </row>
    <row r="416" spans="1:10" x14ac:dyDescent="0.25">
      <c r="A416" t="s">
        <v>4</v>
      </c>
      <c r="B416" t="s">
        <v>49</v>
      </c>
      <c r="C416" s="82">
        <v>3494643103</v>
      </c>
      <c r="D416">
        <v>201602</v>
      </c>
      <c r="E416" s="1">
        <v>42401</v>
      </c>
      <c r="F416" s="1">
        <v>42429</v>
      </c>
      <c r="G416" t="s">
        <v>123</v>
      </c>
      <c r="H416" s="81">
        <v>577</v>
      </c>
      <c r="I416" t="s">
        <v>27</v>
      </c>
      <c r="J416" s="3">
        <v>3490.8</v>
      </c>
    </row>
    <row r="417" spans="1:10" x14ac:dyDescent="0.25">
      <c r="A417" t="s">
        <v>4</v>
      </c>
      <c r="B417" t="s">
        <v>49</v>
      </c>
      <c r="C417" s="82">
        <v>3494643103</v>
      </c>
      <c r="D417">
        <v>201603</v>
      </c>
      <c r="E417" s="1">
        <v>42430</v>
      </c>
      <c r="F417" s="1">
        <v>42460</v>
      </c>
      <c r="G417" t="s">
        <v>123</v>
      </c>
      <c r="H417" s="81">
        <v>317</v>
      </c>
      <c r="I417" t="s">
        <v>27</v>
      </c>
      <c r="J417" s="3">
        <v>1871.03</v>
      </c>
    </row>
    <row r="418" spans="1:10" x14ac:dyDescent="0.25">
      <c r="A418" t="s">
        <v>4</v>
      </c>
      <c r="B418" t="s">
        <v>49</v>
      </c>
      <c r="C418" s="82">
        <v>3494643103</v>
      </c>
      <c r="D418">
        <v>201604</v>
      </c>
      <c r="E418" s="1">
        <v>42461</v>
      </c>
      <c r="F418" s="1">
        <v>42490</v>
      </c>
      <c r="G418" t="s">
        <v>123</v>
      </c>
      <c r="H418" s="81">
        <v>181</v>
      </c>
      <c r="I418" t="s">
        <v>27</v>
      </c>
      <c r="J418" s="3">
        <v>1103.08</v>
      </c>
    </row>
    <row r="419" spans="1:10" x14ac:dyDescent="0.25">
      <c r="A419" t="s">
        <v>4</v>
      </c>
      <c r="B419" t="s">
        <v>49</v>
      </c>
      <c r="C419" s="82">
        <v>3494643103</v>
      </c>
      <c r="D419">
        <v>201605</v>
      </c>
      <c r="E419" s="1">
        <v>42491</v>
      </c>
      <c r="F419" s="1">
        <v>42521</v>
      </c>
      <c r="G419" t="s">
        <v>123</v>
      </c>
      <c r="H419" s="81">
        <v>71</v>
      </c>
      <c r="I419" t="s">
        <v>27</v>
      </c>
      <c r="J419" s="3">
        <v>488.74</v>
      </c>
    </row>
    <row r="420" spans="1:10" x14ac:dyDescent="0.25">
      <c r="A420" t="s">
        <v>4</v>
      </c>
      <c r="B420" t="s">
        <v>49</v>
      </c>
      <c r="C420" s="82">
        <v>3494643103</v>
      </c>
      <c r="D420">
        <v>201606</v>
      </c>
      <c r="E420" s="1">
        <v>42522</v>
      </c>
      <c r="F420" s="1">
        <v>42551</v>
      </c>
      <c r="G420" t="s">
        <v>123</v>
      </c>
      <c r="H420" s="81">
        <v>0</v>
      </c>
      <c r="I420" t="s">
        <v>27</v>
      </c>
      <c r="J420" s="3">
        <v>20.45</v>
      </c>
    </row>
    <row r="421" spans="1:10" x14ac:dyDescent="0.25">
      <c r="A421" t="s">
        <v>4</v>
      </c>
      <c r="B421" t="s">
        <v>49</v>
      </c>
      <c r="C421" s="82">
        <v>3506022007</v>
      </c>
      <c r="D421">
        <v>201507</v>
      </c>
      <c r="E421" s="1">
        <v>42186</v>
      </c>
      <c r="F421" s="1">
        <v>42216</v>
      </c>
      <c r="G421" t="s">
        <v>233</v>
      </c>
      <c r="H421" s="81">
        <v>1</v>
      </c>
      <c r="I421" t="s">
        <v>27</v>
      </c>
      <c r="J421" s="3">
        <v>5.13</v>
      </c>
    </row>
    <row r="422" spans="1:10" x14ac:dyDescent="0.25">
      <c r="A422" t="s">
        <v>4</v>
      </c>
      <c r="B422" t="s">
        <v>49</v>
      </c>
      <c r="C422" s="82">
        <v>3506022007</v>
      </c>
      <c r="D422">
        <v>201508</v>
      </c>
      <c r="E422" s="1">
        <v>42217</v>
      </c>
      <c r="F422" s="1">
        <v>42247</v>
      </c>
      <c r="G422" t="s">
        <v>233</v>
      </c>
      <c r="H422" s="81">
        <v>2</v>
      </c>
      <c r="I422" t="s">
        <v>27</v>
      </c>
      <c r="J422" s="3">
        <v>7.46</v>
      </c>
    </row>
    <row r="423" spans="1:10" x14ac:dyDescent="0.25">
      <c r="A423" t="s">
        <v>4</v>
      </c>
      <c r="B423" t="s">
        <v>49</v>
      </c>
      <c r="C423" s="82">
        <v>3506022007</v>
      </c>
      <c r="D423">
        <v>201509</v>
      </c>
      <c r="E423" s="1">
        <v>42248</v>
      </c>
      <c r="F423" s="1">
        <v>42277</v>
      </c>
      <c r="G423" t="s">
        <v>233</v>
      </c>
      <c r="H423" s="81">
        <v>2</v>
      </c>
      <c r="I423" t="s">
        <v>27</v>
      </c>
      <c r="J423" s="3">
        <v>27.33</v>
      </c>
    </row>
    <row r="424" spans="1:10" x14ac:dyDescent="0.25">
      <c r="A424" t="s">
        <v>4</v>
      </c>
      <c r="B424" t="s">
        <v>49</v>
      </c>
      <c r="C424" s="82">
        <v>3506022007</v>
      </c>
      <c r="D424">
        <v>201510</v>
      </c>
      <c r="E424" s="1">
        <v>42278</v>
      </c>
      <c r="F424" s="1">
        <v>42308</v>
      </c>
      <c r="G424" t="s">
        <v>233</v>
      </c>
      <c r="H424" s="81">
        <v>0</v>
      </c>
      <c r="I424" t="s">
        <v>27</v>
      </c>
      <c r="J424" s="3">
        <v>15.72</v>
      </c>
    </row>
    <row r="425" spans="1:10" x14ac:dyDescent="0.25">
      <c r="A425" t="s">
        <v>4</v>
      </c>
      <c r="B425" t="s">
        <v>49</v>
      </c>
      <c r="C425" s="82">
        <v>3506022007</v>
      </c>
      <c r="D425">
        <v>201511</v>
      </c>
      <c r="E425" s="1">
        <v>42309</v>
      </c>
      <c r="F425" s="1">
        <v>42338</v>
      </c>
      <c r="G425" t="s">
        <v>233</v>
      </c>
      <c r="H425" s="81">
        <v>0</v>
      </c>
      <c r="I425" t="s">
        <v>27</v>
      </c>
      <c r="J425" s="3">
        <v>20.45</v>
      </c>
    </row>
    <row r="426" spans="1:10" x14ac:dyDescent="0.25">
      <c r="A426" t="s">
        <v>4</v>
      </c>
      <c r="B426" t="s">
        <v>49</v>
      </c>
      <c r="C426" s="82">
        <v>3506022007</v>
      </c>
      <c r="D426">
        <v>201512</v>
      </c>
      <c r="E426" s="1">
        <v>42339</v>
      </c>
      <c r="F426" s="1">
        <v>42369</v>
      </c>
      <c r="G426" t="s">
        <v>233</v>
      </c>
      <c r="H426" s="81">
        <v>1</v>
      </c>
      <c r="I426" t="s">
        <v>27</v>
      </c>
      <c r="J426" s="3">
        <v>23</v>
      </c>
    </row>
    <row r="427" spans="1:10" x14ac:dyDescent="0.25">
      <c r="A427" t="s">
        <v>4</v>
      </c>
      <c r="B427" t="s">
        <v>49</v>
      </c>
      <c r="C427" s="82">
        <v>3506022007</v>
      </c>
      <c r="D427">
        <v>201601</v>
      </c>
      <c r="E427" s="1">
        <v>42370</v>
      </c>
      <c r="F427" s="1">
        <v>42400</v>
      </c>
      <c r="G427" t="s">
        <v>233</v>
      </c>
      <c r="H427" s="81">
        <v>2</v>
      </c>
      <c r="I427" t="s">
        <v>27</v>
      </c>
      <c r="J427" s="3">
        <v>28.58</v>
      </c>
    </row>
    <row r="428" spans="1:10" x14ac:dyDescent="0.25">
      <c r="A428" t="s">
        <v>4</v>
      </c>
      <c r="B428" t="s">
        <v>49</v>
      </c>
      <c r="C428" s="82">
        <v>3506022007</v>
      </c>
      <c r="D428">
        <v>201602</v>
      </c>
      <c r="E428" s="1">
        <v>42401</v>
      </c>
      <c r="F428" s="1">
        <v>42429</v>
      </c>
      <c r="G428" t="s">
        <v>233</v>
      </c>
      <c r="H428" s="81">
        <v>2</v>
      </c>
      <c r="I428" t="s">
        <v>27</v>
      </c>
      <c r="J428" s="3">
        <v>28.58</v>
      </c>
    </row>
    <row r="429" spans="1:10" x14ac:dyDescent="0.25">
      <c r="A429" t="s">
        <v>4</v>
      </c>
      <c r="B429" t="s">
        <v>49</v>
      </c>
      <c r="C429" s="82">
        <v>3506022007</v>
      </c>
      <c r="D429">
        <v>201603</v>
      </c>
      <c r="E429" s="1">
        <v>42430</v>
      </c>
      <c r="F429" s="1">
        <v>42460</v>
      </c>
      <c r="G429" t="s">
        <v>233</v>
      </c>
      <c r="H429" s="81">
        <v>1</v>
      </c>
      <c r="I429" t="s">
        <v>27</v>
      </c>
      <c r="J429" s="3">
        <v>21.96</v>
      </c>
    </row>
    <row r="430" spans="1:10" x14ac:dyDescent="0.25">
      <c r="A430" t="s">
        <v>4</v>
      </c>
      <c r="B430" t="s">
        <v>49</v>
      </c>
      <c r="C430" s="82">
        <v>3506022007</v>
      </c>
      <c r="D430">
        <v>201604</v>
      </c>
      <c r="E430" s="1">
        <v>42461</v>
      </c>
      <c r="F430" s="1">
        <v>42490</v>
      </c>
      <c r="G430" t="s">
        <v>233</v>
      </c>
      <c r="H430" s="81">
        <v>2</v>
      </c>
      <c r="I430" t="s">
        <v>27</v>
      </c>
      <c r="J430" s="3">
        <v>28.71</v>
      </c>
    </row>
    <row r="431" spans="1:10" x14ac:dyDescent="0.25">
      <c r="A431" t="s">
        <v>4</v>
      </c>
      <c r="B431" t="s">
        <v>49</v>
      </c>
      <c r="C431" s="82">
        <v>3506022007</v>
      </c>
      <c r="D431">
        <v>201605</v>
      </c>
      <c r="E431" s="1">
        <v>42491</v>
      </c>
      <c r="F431" s="1">
        <v>42521</v>
      </c>
      <c r="G431" t="s">
        <v>233</v>
      </c>
      <c r="H431" s="81">
        <v>0</v>
      </c>
      <c r="I431" t="s">
        <v>27</v>
      </c>
      <c r="J431" s="3">
        <v>24.14</v>
      </c>
    </row>
    <row r="432" spans="1:10" x14ac:dyDescent="0.25">
      <c r="A432" t="s">
        <v>4</v>
      </c>
      <c r="B432" t="s">
        <v>49</v>
      </c>
      <c r="C432" s="82">
        <v>3506022007</v>
      </c>
      <c r="D432">
        <v>201606</v>
      </c>
      <c r="E432" s="1">
        <v>42522</v>
      </c>
      <c r="F432" s="1">
        <v>42551</v>
      </c>
      <c r="G432" t="s">
        <v>233</v>
      </c>
      <c r="H432" s="81">
        <v>2</v>
      </c>
      <c r="I432" t="s">
        <v>27</v>
      </c>
      <c r="J432" s="3">
        <v>24.93</v>
      </c>
    </row>
    <row r="433" spans="1:10" x14ac:dyDescent="0.25">
      <c r="A433" t="s">
        <v>223</v>
      </c>
      <c r="B433" t="s">
        <v>49</v>
      </c>
      <c r="C433" s="82">
        <v>3926000302</v>
      </c>
      <c r="D433">
        <v>201507</v>
      </c>
      <c r="E433" s="1">
        <v>42186</v>
      </c>
      <c r="F433" s="1">
        <v>42216</v>
      </c>
      <c r="G433" t="s">
        <v>224</v>
      </c>
      <c r="H433" s="81">
        <v>0</v>
      </c>
      <c r="I433" t="s">
        <v>27</v>
      </c>
      <c r="J433" s="3">
        <v>10.01</v>
      </c>
    </row>
    <row r="434" spans="1:10" x14ac:dyDescent="0.25">
      <c r="A434" t="s">
        <v>223</v>
      </c>
      <c r="B434" t="s">
        <v>49</v>
      </c>
      <c r="C434" s="82">
        <v>3926000302</v>
      </c>
      <c r="D434">
        <v>201508</v>
      </c>
      <c r="E434" s="1">
        <v>42217</v>
      </c>
      <c r="F434" s="1">
        <v>42247</v>
      </c>
      <c r="G434" t="s">
        <v>224</v>
      </c>
      <c r="H434" s="81">
        <v>0</v>
      </c>
      <c r="I434" t="s">
        <v>27</v>
      </c>
      <c r="J434" s="3">
        <v>21.16</v>
      </c>
    </row>
    <row r="435" spans="1:10" x14ac:dyDescent="0.25">
      <c r="A435" t="s">
        <v>223</v>
      </c>
      <c r="B435" t="s">
        <v>49</v>
      </c>
      <c r="C435" s="82">
        <v>3926000302</v>
      </c>
      <c r="D435">
        <v>201509</v>
      </c>
      <c r="E435" s="1">
        <v>42248</v>
      </c>
      <c r="F435" s="1">
        <v>42277</v>
      </c>
      <c r="G435" t="s">
        <v>224</v>
      </c>
      <c r="H435" s="81">
        <v>0</v>
      </c>
      <c r="I435" t="s">
        <v>27</v>
      </c>
      <c r="J435" s="3">
        <v>22.62</v>
      </c>
    </row>
    <row r="436" spans="1:10" x14ac:dyDescent="0.25">
      <c r="A436" t="s">
        <v>223</v>
      </c>
      <c r="B436" t="s">
        <v>49</v>
      </c>
      <c r="C436" s="82">
        <v>3926000302</v>
      </c>
      <c r="D436">
        <v>201510</v>
      </c>
      <c r="E436" s="1">
        <v>42278</v>
      </c>
      <c r="F436" s="1">
        <v>42308</v>
      </c>
      <c r="G436" t="s">
        <v>224</v>
      </c>
      <c r="H436" s="81">
        <v>13</v>
      </c>
      <c r="I436" t="s">
        <v>27</v>
      </c>
      <c r="J436" s="3">
        <v>111.51</v>
      </c>
    </row>
    <row r="437" spans="1:10" x14ac:dyDescent="0.25">
      <c r="A437" t="s">
        <v>223</v>
      </c>
      <c r="B437" t="s">
        <v>49</v>
      </c>
      <c r="C437" s="82">
        <v>3926000302</v>
      </c>
      <c r="D437">
        <v>201511</v>
      </c>
      <c r="E437" s="1">
        <v>42309</v>
      </c>
      <c r="F437" s="1">
        <v>42338</v>
      </c>
      <c r="G437" t="s">
        <v>224</v>
      </c>
      <c r="H437" s="81">
        <v>26</v>
      </c>
      <c r="I437" t="s">
        <v>27</v>
      </c>
      <c r="J437" s="3">
        <v>195.11</v>
      </c>
    </row>
    <row r="438" spans="1:10" x14ac:dyDescent="0.25">
      <c r="A438" t="s">
        <v>223</v>
      </c>
      <c r="B438" t="s">
        <v>49</v>
      </c>
      <c r="C438" s="82">
        <v>3926000302</v>
      </c>
      <c r="D438">
        <v>201512</v>
      </c>
      <c r="E438" s="1">
        <v>42339</v>
      </c>
      <c r="F438" s="1">
        <v>42369</v>
      </c>
      <c r="G438" t="s">
        <v>224</v>
      </c>
      <c r="H438" s="81">
        <v>22</v>
      </c>
      <c r="I438" t="s">
        <v>27</v>
      </c>
      <c r="J438" s="3">
        <v>169.02</v>
      </c>
    </row>
    <row r="439" spans="1:10" x14ac:dyDescent="0.25">
      <c r="A439" t="s">
        <v>223</v>
      </c>
      <c r="B439" t="s">
        <v>49</v>
      </c>
      <c r="C439" s="82">
        <v>3926000302</v>
      </c>
      <c r="D439">
        <v>201601</v>
      </c>
      <c r="E439" s="1">
        <v>42370</v>
      </c>
      <c r="F439" s="1">
        <v>42400</v>
      </c>
      <c r="G439" t="s">
        <v>224</v>
      </c>
      <c r="H439" s="81">
        <v>39</v>
      </c>
      <c r="I439" t="s">
        <v>27</v>
      </c>
      <c r="J439" s="3">
        <v>270.3</v>
      </c>
    </row>
    <row r="440" spans="1:10" x14ac:dyDescent="0.25">
      <c r="A440" t="s">
        <v>223</v>
      </c>
      <c r="B440" t="s">
        <v>49</v>
      </c>
      <c r="C440" s="82">
        <v>3926000302</v>
      </c>
      <c r="D440">
        <v>201602</v>
      </c>
      <c r="E440" s="1">
        <v>42401</v>
      </c>
      <c r="F440" s="1">
        <v>42429</v>
      </c>
      <c r="G440" t="s">
        <v>224</v>
      </c>
      <c r="H440" s="81">
        <v>46</v>
      </c>
      <c r="I440" t="s">
        <v>27</v>
      </c>
      <c r="J440" s="3">
        <v>324.39999999999998</v>
      </c>
    </row>
    <row r="441" spans="1:10" x14ac:dyDescent="0.25">
      <c r="A441" t="s">
        <v>223</v>
      </c>
      <c r="B441" t="s">
        <v>49</v>
      </c>
      <c r="C441" s="82">
        <v>3926000302</v>
      </c>
      <c r="D441">
        <v>201603</v>
      </c>
      <c r="E441" s="1">
        <v>42430</v>
      </c>
      <c r="F441" s="1">
        <v>42460</v>
      </c>
      <c r="G441" t="s">
        <v>224</v>
      </c>
      <c r="H441" s="81">
        <v>14</v>
      </c>
      <c r="I441" t="s">
        <v>27</v>
      </c>
      <c r="J441" s="3">
        <v>116.39</v>
      </c>
    </row>
    <row r="442" spans="1:10" x14ac:dyDescent="0.25">
      <c r="A442" t="s">
        <v>223</v>
      </c>
      <c r="B442" t="s">
        <v>49</v>
      </c>
      <c r="C442" s="82">
        <v>3926000302</v>
      </c>
      <c r="D442">
        <v>201604</v>
      </c>
      <c r="E442" s="1">
        <v>42461</v>
      </c>
      <c r="F442" s="1">
        <v>42490</v>
      </c>
      <c r="G442" t="s">
        <v>224</v>
      </c>
      <c r="H442" s="81">
        <v>13</v>
      </c>
      <c r="I442" t="s">
        <v>27</v>
      </c>
      <c r="J442" s="3">
        <v>105.6</v>
      </c>
    </row>
    <row r="443" spans="1:10" x14ac:dyDescent="0.25">
      <c r="A443" t="s">
        <v>223</v>
      </c>
      <c r="B443" t="s">
        <v>49</v>
      </c>
      <c r="C443" s="82">
        <v>3926000302</v>
      </c>
      <c r="D443">
        <v>201605</v>
      </c>
      <c r="E443" s="1">
        <v>42491</v>
      </c>
      <c r="F443" s="1">
        <v>42521</v>
      </c>
      <c r="G443" t="s">
        <v>224</v>
      </c>
      <c r="H443" s="81">
        <v>2</v>
      </c>
      <c r="I443" t="s">
        <v>27</v>
      </c>
      <c r="J443" s="3">
        <v>32.57</v>
      </c>
    </row>
    <row r="444" spans="1:10" x14ac:dyDescent="0.25">
      <c r="A444" t="s">
        <v>223</v>
      </c>
      <c r="B444" t="s">
        <v>49</v>
      </c>
      <c r="C444" s="82">
        <v>3926000302</v>
      </c>
      <c r="D444">
        <v>201606</v>
      </c>
      <c r="E444" s="1">
        <v>42522</v>
      </c>
      <c r="F444" s="1">
        <v>42551</v>
      </c>
      <c r="G444" t="s">
        <v>224</v>
      </c>
      <c r="H444" s="81">
        <v>0</v>
      </c>
      <c r="I444" t="s">
        <v>27</v>
      </c>
      <c r="J444" s="3">
        <v>20.45</v>
      </c>
    </row>
    <row r="445" spans="1:10" x14ac:dyDescent="0.25">
      <c r="A445" t="s">
        <v>84</v>
      </c>
      <c r="B445" t="s">
        <v>49</v>
      </c>
      <c r="C445" s="82">
        <v>3509004507</v>
      </c>
      <c r="D445">
        <v>201508</v>
      </c>
      <c r="E445" s="1">
        <v>42217</v>
      </c>
      <c r="F445" s="1">
        <v>42247</v>
      </c>
      <c r="G445" t="s">
        <v>85</v>
      </c>
      <c r="H445" s="81">
        <v>49</v>
      </c>
      <c r="I445" t="s">
        <v>27</v>
      </c>
      <c r="J445" s="3">
        <v>314.85000000000002</v>
      </c>
    </row>
    <row r="446" spans="1:10" x14ac:dyDescent="0.25">
      <c r="A446" t="s">
        <v>84</v>
      </c>
      <c r="B446" t="s">
        <v>49</v>
      </c>
      <c r="C446" s="82">
        <v>3509004507</v>
      </c>
      <c r="D446">
        <v>201509</v>
      </c>
      <c r="E446" s="1">
        <v>42248</v>
      </c>
      <c r="F446" s="1">
        <v>42277</v>
      </c>
      <c r="G446" t="s">
        <v>85</v>
      </c>
      <c r="H446" s="81">
        <v>183</v>
      </c>
      <c r="I446" t="s">
        <v>27</v>
      </c>
      <c r="J446" s="3">
        <v>1121.8499999999999</v>
      </c>
    </row>
    <row r="447" spans="1:10" x14ac:dyDescent="0.25">
      <c r="A447" t="s">
        <v>84</v>
      </c>
      <c r="B447" t="s">
        <v>49</v>
      </c>
      <c r="C447" s="82">
        <v>3509004507</v>
      </c>
      <c r="D447">
        <v>201510</v>
      </c>
      <c r="E447" s="1">
        <v>42278</v>
      </c>
      <c r="F447" s="1">
        <v>42308</v>
      </c>
      <c r="G447" t="s">
        <v>85</v>
      </c>
      <c r="H447" s="81">
        <v>201</v>
      </c>
      <c r="I447" t="s">
        <v>27</v>
      </c>
      <c r="J447" s="3">
        <v>1254.1099999999999</v>
      </c>
    </row>
    <row r="448" spans="1:10" x14ac:dyDescent="0.25">
      <c r="A448" t="s">
        <v>84</v>
      </c>
      <c r="B448" t="s">
        <v>49</v>
      </c>
      <c r="C448" s="82">
        <v>3509004507</v>
      </c>
      <c r="D448">
        <v>201511</v>
      </c>
      <c r="E448" s="1">
        <v>42309</v>
      </c>
      <c r="F448" s="1">
        <v>42338</v>
      </c>
      <c r="G448" t="s">
        <v>85</v>
      </c>
      <c r="H448" s="81">
        <v>181</v>
      </c>
      <c r="I448" t="s">
        <v>27</v>
      </c>
      <c r="J448" s="3">
        <v>1127.44</v>
      </c>
    </row>
    <row r="449" spans="1:10" x14ac:dyDescent="0.25">
      <c r="A449" t="s">
        <v>84</v>
      </c>
      <c r="B449" t="s">
        <v>49</v>
      </c>
      <c r="C449" s="82">
        <v>3509004507</v>
      </c>
      <c r="D449">
        <v>201512</v>
      </c>
      <c r="E449" s="1">
        <v>42339</v>
      </c>
      <c r="F449" s="1">
        <v>42369</v>
      </c>
      <c r="G449" t="s">
        <v>85</v>
      </c>
      <c r="H449" s="81">
        <v>90</v>
      </c>
      <c r="I449" t="s">
        <v>27</v>
      </c>
      <c r="J449" s="3">
        <v>586.12</v>
      </c>
    </row>
    <row r="450" spans="1:10" x14ac:dyDescent="0.25">
      <c r="A450" t="s">
        <v>84</v>
      </c>
      <c r="B450" t="s">
        <v>49</v>
      </c>
      <c r="C450" s="82">
        <v>3509004507</v>
      </c>
      <c r="D450">
        <v>201601</v>
      </c>
      <c r="E450" s="1">
        <v>42370</v>
      </c>
      <c r="F450" s="1">
        <v>42400</v>
      </c>
      <c r="G450" t="s">
        <v>85</v>
      </c>
      <c r="H450" s="81">
        <v>89</v>
      </c>
      <c r="I450" t="s">
        <v>27</v>
      </c>
      <c r="J450" s="3">
        <v>582.14</v>
      </c>
    </row>
    <row r="451" spans="1:10" x14ac:dyDescent="0.25">
      <c r="A451" t="s">
        <v>84</v>
      </c>
      <c r="B451" t="s">
        <v>49</v>
      </c>
      <c r="C451" s="82">
        <v>3509004507</v>
      </c>
      <c r="D451">
        <v>201602</v>
      </c>
      <c r="E451" s="1">
        <v>42401</v>
      </c>
      <c r="F451" s="1">
        <v>42429</v>
      </c>
      <c r="G451" t="s">
        <v>85</v>
      </c>
      <c r="H451" s="81">
        <v>184</v>
      </c>
      <c r="I451" t="s">
        <v>27</v>
      </c>
      <c r="J451" s="3">
        <v>1120.19</v>
      </c>
    </row>
    <row r="452" spans="1:10" x14ac:dyDescent="0.25">
      <c r="A452" t="s">
        <v>84</v>
      </c>
      <c r="B452" t="s">
        <v>49</v>
      </c>
      <c r="C452" s="82">
        <v>3509004507</v>
      </c>
      <c r="D452">
        <v>201603</v>
      </c>
      <c r="E452" s="1">
        <v>42423</v>
      </c>
      <c r="F452" s="1">
        <v>42460</v>
      </c>
      <c r="G452" t="s">
        <v>85</v>
      </c>
      <c r="H452" s="81">
        <v>146</v>
      </c>
      <c r="I452" t="s">
        <v>27</v>
      </c>
      <c r="J452" s="3">
        <v>911.75</v>
      </c>
    </row>
    <row r="453" spans="1:10" x14ac:dyDescent="0.25">
      <c r="A453" t="s">
        <v>84</v>
      </c>
      <c r="B453" t="s">
        <v>49</v>
      </c>
      <c r="C453" s="82">
        <v>3509004507</v>
      </c>
      <c r="D453">
        <v>201604</v>
      </c>
      <c r="E453" s="1">
        <v>42461</v>
      </c>
      <c r="F453" s="1">
        <v>42490</v>
      </c>
      <c r="G453" t="s">
        <v>85</v>
      </c>
      <c r="H453" s="81">
        <v>187</v>
      </c>
      <c r="I453" t="s">
        <v>27</v>
      </c>
      <c r="J453" s="3">
        <v>1107.6400000000001</v>
      </c>
    </row>
    <row r="454" spans="1:10" x14ac:dyDescent="0.25">
      <c r="A454" t="s">
        <v>84</v>
      </c>
      <c r="B454" t="s">
        <v>49</v>
      </c>
      <c r="C454" s="82">
        <v>3509004507</v>
      </c>
      <c r="D454">
        <v>201605</v>
      </c>
      <c r="E454" s="1">
        <v>42491</v>
      </c>
      <c r="F454" s="1">
        <v>42521</v>
      </c>
      <c r="G454" t="s">
        <v>85</v>
      </c>
      <c r="H454" s="81">
        <v>28</v>
      </c>
      <c r="I454" t="s">
        <v>27</v>
      </c>
      <c r="J454" s="3">
        <v>197.95</v>
      </c>
    </row>
    <row r="455" spans="1:10" x14ac:dyDescent="0.25">
      <c r="A455" t="s">
        <v>84</v>
      </c>
      <c r="B455" t="s">
        <v>49</v>
      </c>
      <c r="C455" s="82">
        <v>3509004507</v>
      </c>
      <c r="D455">
        <v>201606</v>
      </c>
      <c r="E455" s="1">
        <v>42522</v>
      </c>
      <c r="F455" s="1">
        <v>42551</v>
      </c>
      <c r="G455" t="s">
        <v>85</v>
      </c>
      <c r="H455" s="81">
        <v>16</v>
      </c>
      <c r="I455" t="s">
        <v>27</v>
      </c>
      <c r="J455" s="3">
        <v>123.67</v>
      </c>
    </row>
    <row r="456" spans="1:10" x14ac:dyDescent="0.25">
      <c r="A456" t="s">
        <v>88</v>
      </c>
      <c r="B456" t="s">
        <v>49</v>
      </c>
      <c r="C456" s="82">
        <v>3554150114</v>
      </c>
      <c r="D456">
        <v>201507</v>
      </c>
      <c r="E456" s="1">
        <v>42186</v>
      </c>
      <c r="F456" s="1">
        <v>42216</v>
      </c>
      <c r="G456" t="s">
        <v>124</v>
      </c>
      <c r="H456" s="81">
        <v>88</v>
      </c>
      <c r="I456" t="s">
        <v>27</v>
      </c>
      <c r="J456" s="3">
        <v>591.59</v>
      </c>
    </row>
    <row r="457" spans="1:10" x14ac:dyDescent="0.25">
      <c r="A457" t="s">
        <v>88</v>
      </c>
      <c r="B457" t="s">
        <v>49</v>
      </c>
      <c r="C457" s="82">
        <v>3554150114</v>
      </c>
      <c r="D457">
        <v>201508</v>
      </c>
      <c r="E457" s="1">
        <v>42217</v>
      </c>
      <c r="F457" s="1">
        <v>42247</v>
      </c>
      <c r="G457" t="s">
        <v>124</v>
      </c>
      <c r="H457" s="81">
        <v>103</v>
      </c>
      <c r="I457" t="s">
        <v>27</v>
      </c>
      <c r="J457" s="3">
        <v>648.94000000000005</v>
      </c>
    </row>
    <row r="458" spans="1:10" x14ac:dyDescent="0.25">
      <c r="A458" t="s">
        <v>88</v>
      </c>
      <c r="B458" t="s">
        <v>49</v>
      </c>
      <c r="C458" s="82">
        <v>3554150114</v>
      </c>
      <c r="D458">
        <v>201509</v>
      </c>
      <c r="E458" s="1">
        <v>42248</v>
      </c>
      <c r="F458" s="1">
        <v>42277</v>
      </c>
      <c r="G458" t="s">
        <v>124</v>
      </c>
      <c r="H458" s="81">
        <v>170</v>
      </c>
      <c r="I458" t="s">
        <v>27</v>
      </c>
      <c r="J458" s="3">
        <v>1056.75</v>
      </c>
    </row>
    <row r="459" spans="1:10" x14ac:dyDescent="0.25">
      <c r="A459" t="s">
        <v>88</v>
      </c>
      <c r="B459" t="s">
        <v>49</v>
      </c>
      <c r="C459" s="82">
        <v>3554150114</v>
      </c>
      <c r="D459">
        <v>201510</v>
      </c>
      <c r="E459" s="1">
        <v>42278</v>
      </c>
      <c r="F459" s="1">
        <v>42308</v>
      </c>
      <c r="G459" t="s">
        <v>124</v>
      </c>
      <c r="H459" s="81">
        <v>165</v>
      </c>
      <c r="I459" t="s">
        <v>27</v>
      </c>
      <c r="J459" s="3">
        <v>1054.28</v>
      </c>
    </row>
    <row r="460" spans="1:10" x14ac:dyDescent="0.25">
      <c r="A460" t="s">
        <v>88</v>
      </c>
      <c r="B460" t="s">
        <v>49</v>
      </c>
      <c r="C460" s="82">
        <v>3554150114</v>
      </c>
      <c r="D460">
        <v>201511</v>
      </c>
      <c r="E460" s="1">
        <v>42309</v>
      </c>
      <c r="F460" s="1">
        <v>42338</v>
      </c>
      <c r="G460" t="s">
        <v>124</v>
      </c>
      <c r="H460" s="81">
        <v>172</v>
      </c>
      <c r="I460" t="s">
        <v>27</v>
      </c>
      <c r="J460" s="3">
        <v>1082.53</v>
      </c>
    </row>
    <row r="461" spans="1:10" x14ac:dyDescent="0.25">
      <c r="A461" t="s">
        <v>88</v>
      </c>
      <c r="B461" t="s">
        <v>49</v>
      </c>
      <c r="C461" s="82">
        <v>3554150114</v>
      </c>
      <c r="D461">
        <v>201512</v>
      </c>
      <c r="E461" s="1">
        <v>42339</v>
      </c>
      <c r="F461" s="1">
        <v>42369</v>
      </c>
      <c r="G461" t="s">
        <v>124</v>
      </c>
      <c r="H461" s="81">
        <v>203</v>
      </c>
      <c r="I461" t="s">
        <v>27</v>
      </c>
      <c r="J461" s="3">
        <v>1255.52</v>
      </c>
    </row>
    <row r="462" spans="1:10" x14ac:dyDescent="0.25">
      <c r="A462" t="s">
        <v>88</v>
      </c>
      <c r="B462" t="s">
        <v>49</v>
      </c>
      <c r="C462" s="82">
        <v>3554150114</v>
      </c>
      <c r="D462">
        <v>201601</v>
      </c>
      <c r="E462" s="1">
        <v>42370</v>
      </c>
      <c r="F462" s="1">
        <v>42400</v>
      </c>
      <c r="G462" t="s">
        <v>124</v>
      </c>
      <c r="H462" s="81">
        <v>239</v>
      </c>
      <c r="I462" t="s">
        <v>27</v>
      </c>
      <c r="J462" s="3">
        <v>1467.89</v>
      </c>
    </row>
    <row r="463" spans="1:10" x14ac:dyDescent="0.25">
      <c r="A463" t="s">
        <v>88</v>
      </c>
      <c r="B463" t="s">
        <v>49</v>
      </c>
      <c r="C463" s="82">
        <v>3554150114</v>
      </c>
      <c r="D463">
        <v>201602</v>
      </c>
      <c r="E463" s="1">
        <v>42401</v>
      </c>
      <c r="F463" s="1">
        <v>42429</v>
      </c>
      <c r="G463" t="s">
        <v>124</v>
      </c>
      <c r="H463" s="81">
        <v>228</v>
      </c>
      <c r="I463" t="s">
        <v>27</v>
      </c>
      <c r="J463" s="3">
        <v>1382.87</v>
      </c>
    </row>
    <row r="464" spans="1:10" x14ac:dyDescent="0.25">
      <c r="A464" t="s">
        <v>88</v>
      </c>
      <c r="B464" t="s">
        <v>49</v>
      </c>
      <c r="C464" s="82">
        <v>3554150114</v>
      </c>
      <c r="D464">
        <v>201603</v>
      </c>
      <c r="E464" s="1">
        <v>42430</v>
      </c>
      <c r="F464" s="1">
        <v>42460</v>
      </c>
      <c r="G464" t="s">
        <v>124</v>
      </c>
      <c r="H464" s="81">
        <v>170</v>
      </c>
      <c r="I464" t="s">
        <v>27</v>
      </c>
      <c r="J464" s="3">
        <v>1056.54</v>
      </c>
    </row>
    <row r="465" spans="1:10" x14ac:dyDescent="0.25">
      <c r="A465" t="s">
        <v>88</v>
      </c>
      <c r="B465" t="s">
        <v>49</v>
      </c>
      <c r="C465" s="82">
        <v>3554150114</v>
      </c>
      <c r="D465">
        <v>201604</v>
      </c>
      <c r="E465" s="1">
        <v>42461</v>
      </c>
      <c r="F465" s="1">
        <v>42490</v>
      </c>
      <c r="G465" t="s">
        <v>124</v>
      </c>
      <c r="H465" s="81">
        <v>69</v>
      </c>
      <c r="I465" t="s">
        <v>27</v>
      </c>
      <c r="J465" s="3">
        <v>464.39</v>
      </c>
    </row>
    <row r="466" spans="1:10" x14ac:dyDescent="0.25">
      <c r="A466" t="s">
        <v>88</v>
      </c>
      <c r="B466" t="s">
        <v>49</v>
      </c>
      <c r="C466" s="82">
        <v>3554150114</v>
      </c>
      <c r="D466">
        <v>201605</v>
      </c>
      <c r="E466" s="1">
        <v>42491</v>
      </c>
      <c r="F466" s="1">
        <v>42521</v>
      </c>
      <c r="G466" t="s">
        <v>124</v>
      </c>
      <c r="H466" s="81">
        <v>108</v>
      </c>
      <c r="I466" t="s">
        <v>27</v>
      </c>
      <c r="J466" s="3">
        <v>728.97</v>
      </c>
    </row>
    <row r="467" spans="1:10" x14ac:dyDescent="0.25">
      <c r="A467" t="s">
        <v>88</v>
      </c>
      <c r="B467" t="s">
        <v>49</v>
      </c>
      <c r="C467" s="82">
        <v>3554150114</v>
      </c>
      <c r="D467">
        <v>201606</v>
      </c>
      <c r="E467" s="1">
        <v>42522</v>
      </c>
      <c r="F467" s="1">
        <v>42551</v>
      </c>
      <c r="G467" t="s">
        <v>124</v>
      </c>
      <c r="H467" s="81">
        <v>110</v>
      </c>
      <c r="I467" t="s">
        <v>27</v>
      </c>
      <c r="J467" s="3">
        <v>729.75</v>
      </c>
    </row>
    <row r="468" spans="1:10" x14ac:dyDescent="0.25">
      <c r="A468" t="s">
        <v>183</v>
      </c>
      <c r="B468" t="s">
        <v>49</v>
      </c>
      <c r="C468" s="82">
        <v>3554001515</v>
      </c>
      <c r="D468">
        <v>201507</v>
      </c>
      <c r="E468" s="1">
        <v>42186</v>
      </c>
      <c r="F468" s="1">
        <v>42216</v>
      </c>
      <c r="G468" t="s">
        <v>188</v>
      </c>
      <c r="H468" s="81">
        <v>207</v>
      </c>
      <c r="I468" t="s">
        <v>27</v>
      </c>
      <c r="J468" s="3">
        <v>1066.3</v>
      </c>
    </row>
    <row r="469" spans="1:10" x14ac:dyDescent="0.25">
      <c r="A469" t="s">
        <v>183</v>
      </c>
      <c r="B469" t="s">
        <v>49</v>
      </c>
      <c r="C469" s="82">
        <v>3554001515</v>
      </c>
      <c r="D469">
        <v>201508</v>
      </c>
      <c r="E469" s="1">
        <v>42217</v>
      </c>
      <c r="F469" s="1">
        <v>42247</v>
      </c>
      <c r="G469" t="s">
        <v>188</v>
      </c>
      <c r="H469" s="81">
        <v>167</v>
      </c>
      <c r="I469" t="s">
        <v>27</v>
      </c>
      <c r="J469" s="3">
        <v>1023.14</v>
      </c>
    </row>
    <row r="470" spans="1:10" x14ac:dyDescent="0.25">
      <c r="A470" t="s">
        <v>183</v>
      </c>
      <c r="B470" t="s">
        <v>49</v>
      </c>
      <c r="C470" s="82">
        <v>3554001515</v>
      </c>
      <c r="D470">
        <v>201509</v>
      </c>
      <c r="E470" s="1">
        <v>42248</v>
      </c>
      <c r="F470" s="1">
        <v>42277</v>
      </c>
      <c r="G470" t="s">
        <v>188</v>
      </c>
      <c r="H470" s="81">
        <v>249</v>
      </c>
      <c r="I470" t="s">
        <v>27</v>
      </c>
      <c r="J470" s="3">
        <v>1466.92</v>
      </c>
    </row>
    <row r="471" spans="1:10" x14ac:dyDescent="0.25">
      <c r="A471" t="s">
        <v>183</v>
      </c>
      <c r="B471" t="s">
        <v>49</v>
      </c>
      <c r="C471" s="82">
        <v>3554001515</v>
      </c>
      <c r="D471">
        <v>201510</v>
      </c>
      <c r="E471" s="1">
        <v>42278</v>
      </c>
      <c r="F471" s="1">
        <v>42308</v>
      </c>
      <c r="G471" t="s">
        <v>188</v>
      </c>
      <c r="H471" s="81">
        <v>312</v>
      </c>
      <c r="I471" t="s">
        <v>27</v>
      </c>
      <c r="J471" s="3">
        <v>1911.68</v>
      </c>
    </row>
    <row r="472" spans="1:10" x14ac:dyDescent="0.25">
      <c r="A472" t="s">
        <v>183</v>
      </c>
      <c r="B472" t="s">
        <v>49</v>
      </c>
      <c r="C472" s="82">
        <v>3554001515</v>
      </c>
      <c r="D472">
        <v>201511</v>
      </c>
      <c r="E472" s="1">
        <v>42309</v>
      </c>
      <c r="F472" s="1">
        <v>42338</v>
      </c>
      <c r="G472" t="s">
        <v>188</v>
      </c>
      <c r="H472" s="81">
        <v>419</v>
      </c>
      <c r="I472" t="s">
        <v>27</v>
      </c>
      <c r="J472" s="3">
        <v>2508.83</v>
      </c>
    </row>
    <row r="473" spans="1:10" x14ac:dyDescent="0.25">
      <c r="A473" t="s">
        <v>183</v>
      </c>
      <c r="B473" t="s">
        <v>49</v>
      </c>
      <c r="C473" s="82">
        <v>3554001515</v>
      </c>
      <c r="D473">
        <v>201512</v>
      </c>
      <c r="E473" s="1">
        <v>42339</v>
      </c>
      <c r="F473" s="1">
        <v>42369</v>
      </c>
      <c r="G473" t="s">
        <v>188</v>
      </c>
      <c r="H473" s="81">
        <v>448</v>
      </c>
      <c r="I473" t="s">
        <v>27</v>
      </c>
      <c r="J473" s="3">
        <v>2666.97</v>
      </c>
    </row>
    <row r="474" spans="1:10" x14ac:dyDescent="0.25">
      <c r="A474" t="s">
        <v>183</v>
      </c>
      <c r="B474" t="s">
        <v>49</v>
      </c>
      <c r="C474" s="82">
        <v>3554001515</v>
      </c>
      <c r="D474">
        <v>201601</v>
      </c>
      <c r="E474" s="1">
        <v>42370</v>
      </c>
      <c r="F474" s="1">
        <v>42400</v>
      </c>
      <c r="G474" t="s">
        <v>188</v>
      </c>
      <c r="H474" s="81">
        <v>719</v>
      </c>
      <c r="I474" t="s">
        <v>27</v>
      </c>
      <c r="J474" s="3">
        <v>4186.58</v>
      </c>
    </row>
    <row r="475" spans="1:10" x14ac:dyDescent="0.25">
      <c r="A475" t="s">
        <v>183</v>
      </c>
      <c r="B475" t="s">
        <v>49</v>
      </c>
      <c r="C475" s="82">
        <v>3554001515</v>
      </c>
      <c r="D475">
        <v>201602</v>
      </c>
      <c r="E475" s="1">
        <v>42401</v>
      </c>
      <c r="F475" s="1">
        <v>42429</v>
      </c>
      <c r="G475" t="s">
        <v>188</v>
      </c>
      <c r="H475" s="81">
        <v>674</v>
      </c>
      <c r="I475" t="s">
        <v>27</v>
      </c>
      <c r="J475" s="3">
        <v>4065.06</v>
      </c>
    </row>
    <row r="476" spans="1:10" x14ac:dyDescent="0.25">
      <c r="A476" t="s">
        <v>183</v>
      </c>
      <c r="B476" t="s">
        <v>49</v>
      </c>
      <c r="C476" s="82">
        <v>3554001515</v>
      </c>
      <c r="D476">
        <v>201603</v>
      </c>
      <c r="E476" s="1">
        <v>42430</v>
      </c>
      <c r="F476" s="1">
        <v>42460</v>
      </c>
      <c r="G476" t="s">
        <v>188</v>
      </c>
      <c r="H476" s="81">
        <v>410</v>
      </c>
      <c r="I476" t="s">
        <v>27</v>
      </c>
      <c r="J476" s="3">
        <v>2389.86</v>
      </c>
    </row>
    <row r="477" spans="1:10" x14ac:dyDescent="0.25">
      <c r="A477" t="s">
        <v>183</v>
      </c>
      <c r="B477" t="s">
        <v>49</v>
      </c>
      <c r="C477" s="82">
        <v>3554001515</v>
      </c>
      <c r="D477">
        <v>201604</v>
      </c>
      <c r="E477" s="1">
        <v>42461</v>
      </c>
      <c r="F477" s="1">
        <v>42490</v>
      </c>
      <c r="G477" t="s">
        <v>188</v>
      </c>
      <c r="H477" s="81">
        <v>374</v>
      </c>
      <c r="I477" t="s">
        <v>27</v>
      </c>
      <c r="J477" s="3">
        <v>2168.2800000000002</v>
      </c>
    </row>
    <row r="478" spans="1:10" x14ac:dyDescent="0.25">
      <c r="A478" t="s">
        <v>183</v>
      </c>
      <c r="B478" t="s">
        <v>49</v>
      </c>
      <c r="C478" s="82">
        <v>3554001515</v>
      </c>
      <c r="D478">
        <v>201605</v>
      </c>
      <c r="E478" s="1">
        <v>42492</v>
      </c>
      <c r="F478" s="1">
        <v>42521</v>
      </c>
      <c r="G478" t="s">
        <v>188</v>
      </c>
      <c r="H478" s="81">
        <v>290</v>
      </c>
      <c r="I478" t="s">
        <v>27</v>
      </c>
      <c r="J478" s="3">
        <v>1787.33</v>
      </c>
    </row>
    <row r="479" spans="1:10" x14ac:dyDescent="0.25">
      <c r="A479" t="s">
        <v>183</v>
      </c>
      <c r="B479" t="s">
        <v>49</v>
      </c>
      <c r="C479" s="82">
        <v>3554001515</v>
      </c>
      <c r="D479">
        <v>201606</v>
      </c>
      <c r="E479" s="1">
        <v>42522</v>
      </c>
      <c r="F479" s="1">
        <v>42551</v>
      </c>
      <c r="G479" t="s">
        <v>188</v>
      </c>
      <c r="H479" s="81">
        <v>219</v>
      </c>
      <c r="I479" t="s">
        <v>27</v>
      </c>
      <c r="J479" s="3">
        <v>1288.56</v>
      </c>
    </row>
    <row r="480" spans="1:10" x14ac:dyDescent="0.25">
      <c r="A480" t="s">
        <v>127</v>
      </c>
      <c r="B480" t="s">
        <v>49</v>
      </c>
      <c r="C480" s="82">
        <v>3994400012</v>
      </c>
      <c r="D480">
        <v>201507</v>
      </c>
      <c r="E480" s="1">
        <v>42186</v>
      </c>
      <c r="F480" s="1">
        <v>42216</v>
      </c>
      <c r="G480" t="s">
        <v>129</v>
      </c>
      <c r="H480" s="81">
        <v>0</v>
      </c>
      <c r="I480" t="s">
        <v>27</v>
      </c>
      <c r="J480" s="3">
        <v>3.48</v>
      </c>
    </row>
    <row r="481" spans="1:10" x14ac:dyDescent="0.25">
      <c r="A481" t="s">
        <v>127</v>
      </c>
      <c r="B481" t="s">
        <v>49</v>
      </c>
      <c r="C481" s="82">
        <v>3994400012</v>
      </c>
      <c r="D481">
        <v>201508</v>
      </c>
      <c r="E481" s="1">
        <v>42217</v>
      </c>
      <c r="F481" s="1">
        <v>42247</v>
      </c>
      <c r="G481" t="s">
        <v>129</v>
      </c>
      <c r="H481" s="81">
        <v>0</v>
      </c>
      <c r="I481" t="s">
        <v>27</v>
      </c>
      <c r="J481" s="3">
        <v>21.18</v>
      </c>
    </row>
    <row r="482" spans="1:10" x14ac:dyDescent="0.25">
      <c r="A482" t="s">
        <v>127</v>
      </c>
      <c r="B482" t="s">
        <v>49</v>
      </c>
      <c r="C482" s="82">
        <v>3994400012</v>
      </c>
      <c r="D482">
        <v>201509</v>
      </c>
      <c r="E482" s="1">
        <v>42248</v>
      </c>
      <c r="F482" s="1">
        <v>42277</v>
      </c>
      <c r="G482" t="s">
        <v>129</v>
      </c>
      <c r="H482" s="81">
        <v>1</v>
      </c>
      <c r="I482" t="s">
        <v>27</v>
      </c>
      <c r="J482" s="3">
        <v>24.91</v>
      </c>
    </row>
    <row r="483" spans="1:10" x14ac:dyDescent="0.25">
      <c r="A483" t="s">
        <v>127</v>
      </c>
      <c r="B483" t="s">
        <v>49</v>
      </c>
      <c r="C483" s="82">
        <v>3994400012</v>
      </c>
      <c r="D483">
        <v>201510</v>
      </c>
      <c r="E483" s="1">
        <v>42278</v>
      </c>
      <c r="F483" s="1">
        <v>42308</v>
      </c>
      <c r="G483" t="s">
        <v>129</v>
      </c>
      <c r="H483" s="81">
        <v>27</v>
      </c>
      <c r="I483" t="s">
        <v>27</v>
      </c>
      <c r="J483" s="3">
        <v>204.27</v>
      </c>
    </row>
    <row r="484" spans="1:10" x14ac:dyDescent="0.25">
      <c r="A484" t="s">
        <v>127</v>
      </c>
      <c r="B484" t="s">
        <v>49</v>
      </c>
      <c r="C484" s="82">
        <v>3994400012</v>
      </c>
      <c r="D484">
        <v>201511</v>
      </c>
      <c r="E484" s="1">
        <v>42309</v>
      </c>
      <c r="F484" s="1">
        <v>42338</v>
      </c>
      <c r="G484" t="s">
        <v>129</v>
      </c>
      <c r="H484" s="81">
        <v>35</v>
      </c>
      <c r="I484" t="s">
        <v>27</v>
      </c>
      <c r="J484" s="3">
        <v>256.08</v>
      </c>
    </row>
    <row r="485" spans="1:10" x14ac:dyDescent="0.25">
      <c r="A485" t="s">
        <v>127</v>
      </c>
      <c r="B485" t="s">
        <v>49</v>
      </c>
      <c r="C485" s="82">
        <v>3994400012</v>
      </c>
      <c r="D485">
        <v>201512</v>
      </c>
      <c r="E485" s="1">
        <v>42339</v>
      </c>
      <c r="F485" s="1">
        <v>42369</v>
      </c>
      <c r="G485" t="s">
        <v>129</v>
      </c>
      <c r="H485" s="81">
        <v>41</v>
      </c>
      <c r="I485" t="s">
        <v>27</v>
      </c>
      <c r="J485" s="3">
        <v>293.17</v>
      </c>
    </row>
    <row r="486" spans="1:10" x14ac:dyDescent="0.25">
      <c r="A486" t="s">
        <v>127</v>
      </c>
      <c r="B486" t="s">
        <v>49</v>
      </c>
      <c r="C486" s="82">
        <v>3994400012</v>
      </c>
      <c r="D486">
        <v>201601</v>
      </c>
      <c r="E486" s="1">
        <v>42370</v>
      </c>
      <c r="F486" s="1">
        <v>42400</v>
      </c>
      <c r="G486" t="s">
        <v>129</v>
      </c>
      <c r="H486" s="81">
        <v>66</v>
      </c>
      <c r="I486" t="s">
        <v>27</v>
      </c>
      <c r="J486" s="3">
        <v>451.37</v>
      </c>
    </row>
    <row r="487" spans="1:10" x14ac:dyDescent="0.25">
      <c r="A487" t="s">
        <v>127</v>
      </c>
      <c r="B487" t="s">
        <v>49</v>
      </c>
      <c r="C487" s="82">
        <v>3994400012</v>
      </c>
      <c r="D487">
        <v>201602</v>
      </c>
      <c r="E487" s="1">
        <v>42401</v>
      </c>
      <c r="F487" s="1">
        <v>42429</v>
      </c>
      <c r="G487" t="s">
        <v>129</v>
      </c>
      <c r="H487" s="81">
        <v>66</v>
      </c>
      <c r="I487" t="s">
        <v>27</v>
      </c>
      <c r="J487" s="3">
        <v>461.09</v>
      </c>
    </row>
    <row r="488" spans="1:10" x14ac:dyDescent="0.25">
      <c r="A488" t="s">
        <v>127</v>
      </c>
      <c r="B488" t="s">
        <v>49</v>
      </c>
      <c r="C488" s="82">
        <v>3994400012</v>
      </c>
      <c r="D488">
        <v>201603</v>
      </c>
      <c r="E488" s="1">
        <v>42430</v>
      </c>
      <c r="F488" s="1">
        <v>42460</v>
      </c>
      <c r="G488" t="s">
        <v>129</v>
      </c>
      <c r="H488" s="81">
        <v>20</v>
      </c>
      <c r="I488" t="s">
        <v>27</v>
      </c>
      <c r="J488" s="3">
        <v>151.63</v>
      </c>
    </row>
    <row r="489" spans="1:10" x14ac:dyDescent="0.25">
      <c r="A489" t="s">
        <v>127</v>
      </c>
      <c r="B489" t="s">
        <v>49</v>
      </c>
      <c r="C489" s="82">
        <v>3994400012</v>
      </c>
      <c r="D489">
        <v>201604</v>
      </c>
      <c r="E489" s="1">
        <v>42461</v>
      </c>
      <c r="F489" s="1">
        <v>42490</v>
      </c>
      <c r="G489" t="s">
        <v>129</v>
      </c>
      <c r="H489" s="81">
        <v>17</v>
      </c>
      <c r="I489" t="s">
        <v>27</v>
      </c>
      <c r="J489" s="3">
        <v>131.62</v>
      </c>
    </row>
    <row r="490" spans="1:10" x14ac:dyDescent="0.25">
      <c r="A490" t="s">
        <v>127</v>
      </c>
      <c r="B490" t="s">
        <v>49</v>
      </c>
      <c r="C490" s="82">
        <v>3994400012</v>
      </c>
      <c r="D490">
        <v>201605</v>
      </c>
      <c r="E490" s="1">
        <v>42491</v>
      </c>
      <c r="F490" s="1">
        <v>42521</v>
      </c>
      <c r="G490" t="s">
        <v>129</v>
      </c>
      <c r="H490" s="81">
        <v>10</v>
      </c>
      <c r="I490" t="s">
        <v>27</v>
      </c>
      <c r="J490" s="3">
        <v>92.9</v>
      </c>
    </row>
    <row r="491" spans="1:10" x14ac:dyDescent="0.25">
      <c r="A491" t="s">
        <v>127</v>
      </c>
      <c r="B491" t="s">
        <v>49</v>
      </c>
      <c r="C491" s="82">
        <v>3994400012</v>
      </c>
      <c r="D491">
        <v>201606</v>
      </c>
      <c r="E491" s="1">
        <v>42522</v>
      </c>
      <c r="F491" s="1">
        <v>42551</v>
      </c>
      <c r="G491" t="s">
        <v>129</v>
      </c>
      <c r="H491" s="81">
        <v>1</v>
      </c>
      <c r="I491" t="s">
        <v>27</v>
      </c>
      <c r="J491" s="3">
        <v>24.16</v>
      </c>
    </row>
    <row r="492" spans="1:10" x14ac:dyDescent="0.25">
      <c r="A492" t="s">
        <v>163</v>
      </c>
      <c r="B492" t="s">
        <v>49</v>
      </c>
      <c r="C492" s="82">
        <v>3994402232</v>
      </c>
      <c r="D492">
        <v>201507</v>
      </c>
      <c r="E492" s="1">
        <v>42186</v>
      </c>
      <c r="F492" s="1">
        <v>42216</v>
      </c>
      <c r="G492" t="s">
        <v>164</v>
      </c>
      <c r="H492" s="81">
        <v>0</v>
      </c>
      <c r="I492" t="s">
        <v>27</v>
      </c>
      <c r="J492" s="3">
        <v>0.4</v>
      </c>
    </row>
    <row r="493" spans="1:10" x14ac:dyDescent="0.25">
      <c r="A493" t="s">
        <v>163</v>
      </c>
      <c r="B493" t="s">
        <v>49</v>
      </c>
      <c r="C493" s="82">
        <v>3994402232</v>
      </c>
      <c r="D493">
        <v>201508</v>
      </c>
      <c r="E493" s="1">
        <v>42217</v>
      </c>
      <c r="F493" s="1">
        <v>42247</v>
      </c>
      <c r="G493" t="s">
        <v>164</v>
      </c>
      <c r="H493" s="81">
        <v>0</v>
      </c>
      <c r="I493" t="s">
        <v>27</v>
      </c>
      <c r="J493" s="3">
        <v>12.15</v>
      </c>
    </row>
    <row r="494" spans="1:10" x14ac:dyDescent="0.25">
      <c r="A494" t="s">
        <v>163</v>
      </c>
      <c r="B494" t="s">
        <v>49</v>
      </c>
      <c r="C494" s="82">
        <v>3994402232</v>
      </c>
      <c r="D494">
        <v>201509</v>
      </c>
      <c r="E494" s="1">
        <v>42248</v>
      </c>
      <c r="F494" s="1">
        <v>42277</v>
      </c>
      <c r="G494" t="s">
        <v>164</v>
      </c>
      <c r="H494" s="81">
        <v>0</v>
      </c>
      <c r="I494" t="s">
        <v>27</v>
      </c>
      <c r="J494" s="3">
        <v>12.17</v>
      </c>
    </row>
    <row r="495" spans="1:10" x14ac:dyDescent="0.25">
      <c r="A495" t="s">
        <v>163</v>
      </c>
      <c r="B495" t="s">
        <v>49</v>
      </c>
      <c r="C495" s="82">
        <v>3994402232</v>
      </c>
      <c r="D495">
        <v>201510</v>
      </c>
      <c r="E495" s="1">
        <v>42278</v>
      </c>
      <c r="F495" s="1">
        <v>42308</v>
      </c>
      <c r="G495" t="s">
        <v>164</v>
      </c>
      <c r="H495" s="81">
        <v>5</v>
      </c>
      <c r="I495" t="s">
        <v>27</v>
      </c>
      <c r="J495" s="3">
        <v>50.73</v>
      </c>
    </row>
    <row r="496" spans="1:10" x14ac:dyDescent="0.25">
      <c r="A496" t="s">
        <v>163</v>
      </c>
      <c r="B496" t="s">
        <v>49</v>
      </c>
      <c r="C496" s="82">
        <v>3994402232</v>
      </c>
      <c r="D496">
        <v>201511</v>
      </c>
      <c r="E496" s="1">
        <v>42309</v>
      </c>
      <c r="F496" s="1">
        <v>42338</v>
      </c>
      <c r="G496" t="s">
        <v>164</v>
      </c>
      <c r="H496" s="81">
        <v>10</v>
      </c>
      <c r="I496" t="s">
        <v>27</v>
      </c>
      <c r="J496" s="3">
        <v>89.63</v>
      </c>
    </row>
    <row r="497" spans="1:10" x14ac:dyDescent="0.25">
      <c r="A497" t="s">
        <v>163</v>
      </c>
      <c r="B497" t="s">
        <v>49</v>
      </c>
      <c r="C497" s="82">
        <v>3994402232</v>
      </c>
      <c r="D497">
        <v>201512</v>
      </c>
      <c r="E497" s="1">
        <v>42339</v>
      </c>
      <c r="F497" s="1">
        <v>42369</v>
      </c>
      <c r="G497" t="s">
        <v>164</v>
      </c>
      <c r="H497" s="81">
        <v>14</v>
      </c>
      <c r="I497" t="s">
        <v>27</v>
      </c>
      <c r="J497" s="3">
        <v>117.84</v>
      </c>
    </row>
    <row r="498" spans="1:10" x14ac:dyDescent="0.25">
      <c r="A498" t="s">
        <v>163</v>
      </c>
      <c r="B498" t="s">
        <v>49</v>
      </c>
      <c r="C498" s="82">
        <v>3994402232</v>
      </c>
      <c r="D498">
        <v>201601</v>
      </c>
      <c r="E498" s="1">
        <v>42370</v>
      </c>
      <c r="F498" s="1">
        <v>42400</v>
      </c>
      <c r="G498" t="s">
        <v>164</v>
      </c>
      <c r="H498" s="81">
        <v>25</v>
      </c>
      <c r="I498" t="s">
        <v>27</v>
      </c>
      <c r="J498" s="3">
        <v>187.45</v>
      </c>
    </row>
    <row r="499" spans="1:10" x14ac:dyDescent="0.25">
      <c r="A499" t="s">
        <v>163</v>
      </c>
      <c r="B499" t="s">
        <v>49</v>
      </c>
      <c r="C499" s="82">
        <v>3994402232</v>
      </c>
      <c r="D499">
        <v>201602</v>
      </c>
      <c r="E499" s="1">
        <v>42401</v>
      </c>
      <c r="F499" s="1">
        <v>42429</v>
      </c>
      <c r="G499" t="s">
        <v>164</v>
      </c>
      <c r="H499" s="81">
        <v>24</v>
      </c>
      <c r="I499" t="s">
        <v>27</v>
      </c>
      <c r="J499" s="3">
        <v>188.39</v>
      </c>
    </row>
    <row r="500" spans="1:10" x14ac:dyDescent="0.25">
      <c r="A500" t="s">
        <v>163</v>
      </c>
      <c r="B500" t="s">
        <v>49</v>
      </c>
      <c r="C500" s="82">
        <v>3994402232</v>
      </c>
      <c r="D500">
        <v>201603</v>
      </c>
      <c r="E500" s="1">
        <v>42430</v>
      </c>
      <c r="F500" s="1">
        <v>42460</v>
      </c>
      <c r="G500" t="s">
        <v>164</v>
      </c>
      <c r="H500" s="81">
        <v>7</v>
      </c>
      <c r="I500" t="s">
        <v>27</v>
      </c>
      <c r="J500" s="3">
        <v>67.540000000000006</v>
      </c>
    </row>
    <row r="501" spans="1:10" x14ac:dyDescent="0.25">
      <c r="A501" t="s">
        <v>163</v>
      </c>
      <c r="B501" t="s">
        <v>49</v>
      </c>
      <c r="C501" s="82">
        <v>3994402232</v>
      </c>
      <c r="D501">
        <v>201604</v>
      </c>
      <c r="E501" s="1">
        <v>42461</v>
      </c>
      <c r="F501" s="1">
        <v>42490</v>
      </c>
      <c r="G501" t="s">
        <v>164</v>
      </c>
      <c r="H501" s="81">
        <v>6</v>
      </c>
      <c r="I501" t="s">
        <v>27</v>
      </c>
      <c r="J501" s="3">
        <v>55.61</v>
      </c>
    </row>
    <row r="502" spans="1:10" x14ac:dyDescent="0.25">
      <c r="A502" t="s">
        <v>163</v>
      </c>
      <c r="B502" t="s">
        <v>49</v>
      </c>
      <c r="C502" s="82">
        <v>3994402232</v>
      </c>
      <c r="D502">
        <v>201605</v>
      </c>
      <c r="E502" s="1">
        <v>42491</v>
      </c>
      <c r="F502" s="1">
        <v>42521</v>
      </c>
      <c r="G502" t="s">
        <v>164</v>
      </c>
      <c r="H502" s="81">
        <v>2</v>
      </c>
      <c r="I502" t="s">
        <v>27</v>
      </c>
      <c r="J502" s="3">
        <v>33.4</v>
      </c>
    </row>
    <row r="503" spans="1:10" x14ac:dyDescent="0.25">
      <c r="A503" t="s">
        <v>163</v>
      </c>
      <c r="B503" t="s">
        <v>49</v>
      </c>
      <c r="C503" s="82">
        <v>3994402232</v>
      </c>
      <c r="D503">
        <v>201606</v>
      </c>
      <c r="E503" s="1">
        <v>42522</v>
      </c>
      <c r="F503" s="1">
        <v>42551</v>
      </c>
      <c r="G503" t="s">
        <v>164</v>
      </c>
      <c r="H503" s="81">
        <v>0</v>
      </c>
      <c r="I503" t="s">
        <v>27</v>
      </c>
      <c r="J503" s="3">
        <v>12.2</v>
      </c>
    </row>
    <row r="504" spans="1:10" x14ac:dyDescent="0.25">
      <c r="A504" t="s">
        <v>163</v>
      </c>
      <c r="B504" t="s">
        <v>49</v>
      </c>
      <c r="C504" s="82">
        <v>3994500118</v>
      </c>
      <c r="D504">
        <v>201508</v>
      </c>
      <c r="E504" s="1">
        <v>42217</v>
      </c>
      <c r="F504" s="1">
        <v>42247</v>
      </c>
      <c r="G504" t="s">
        <v>165</v>
      </c>
      <c r="H504" s="81">
        <v>0</v>
      </c>
      <c r="I504" t="s">
        <v>27</v>
      </c>
      <c r="J504" s="3">
        <v>11.25</v>
      </c>
    </row>
    <row r="505" spans="1:10" x14ac:dyDescent="0.25">
      <c r="A505" t="s">
        <v>163</v>
      </c>
      <c r="B505" t="s">
        <v>49</v>
      </c>
      <c r="C505" s="82">
        <v>3994500118</v>
      </c>
      <c r="D505">
        <v>201509</v>
      </c>
      <c r="E505" s="1">
        <v>42248</v>
      </c>
      <c r="F505" s="1">
        <v>42277</v>
      </c>
      <c r="G505" t="s">
        <v>165</v>
      </c>
      <c r="H505" s="81">
        <v>0</v>
      </c>
      <c r="I505" t="s">
        <v>27</v>
      </c>
      <c r="J505" s="3">
        <v>11.25</v>
      </c>
    </row>
    <row r="506" spans="1:10" x14ac:dyDescent="0.25">
      <c r="A506" t="s">
        <v>163</v>
      </c>
      <c r="B506" t="s">
        <v>49</v>
      </c>
      <c r="C506" s="82">
        <v>3994500118</v>
      </c>
      <c r="D506">
        <v>201510</v>
      </c>
      <c r="E506" s="1">
        <v>42278</v>
      </c>
      <c r="F506" s="1">
        <v>42308</v>
      </c>
      <c r="G506" t="s">
        <v>165</v>
      </c>
      <c r="H506" s="81">
        <v>17</v>
      </c>
      <c r="I506" t="s">
        <v>27</v>
      </c>
      <c r="J506" s="3">
        <v>136.18</v>
      </c>
    </row>
    <row r="507" spans="1:10" x14ac:dyDescent="0.25">
      <c r="A507" t="s">
        <v>163</v>
      </c>
      <c r="B507" t="s">
        <v>49</v>
      </c>
      <c r="C507" s="82">
        <v>3994500118</v>
      </c>
      <c r="D507">
        <v>201511</v>
      </c>
      <c r="E507" s="1">
        <v>42309</v>
      </c>
      <c r="F507" s="1">
        <v>42338</v>
      </c>
      <c r="G507" t="s">
        <v>165</v>
      </c>
      <c r="H507" s="81">
        <v>61</v>
      </c>
      <c r="I507" t="s">
        <v>27</v>
      </c>
      <c r="J507" s="3">
        <v>427.28</v>
      </c>
    </row>
    <row r="508" spans="1:10" x14ac:dyDescent="0.25">
      <c r="A508" t="s">
        <v>163</v>
      </c>
      <c r="B508" t="s">
        <v>49</v>
      </c>
      <c r="C508" s="82">
        <v>3994500118</v>
      </c>
      <c r="D508">
        <v>201512</v>
      </c>
      <c r="E508" s="1">
        <v>42339</v>
      </c>
      <c r="F508" s="1">
        <v>42369</v>
      </c>
      <c r="G508" t="s">
        <v>165</v>
      </c>
      <c r="H508" s="81">
        <v>35</v>
      </c>
      <c r="I508" t="s">
        <v>27</v>
      </c>
      <c r="J508" s="3">
        <v>253.26</v>
      </c>
    </row>
    <row r="509" spans="1:10" x14ac:dyDescent="0.25">
      <c r="A509" t="s">
        <v>163</v>
      </c>
      <c r="B509" t="s">
        <v>49</v>
      </c>
      <c r="C509" s="82">
        <v>3994500118</v>
      </c>
      <c r="D509">
        <v>201601</v>
      </c>
      <c r="E509" s="1">
        <v>42370</v>
      </c>
      <c r="F509" s="1">
        <v>42400</v>
      </c>
      <c r="G509" t="s">
        <v>165</v>
      </c>
      <c r="H509" s="81">
        <v>75</v>
      </c>
      <c r="I509" t="s">
        <v>27</v>
      </c>
      <c r="J509" s="3">
        <v>520.27</v>
      </c>
    </row>
    <row r="510" spans="1:10" x14ac:dyDescent="0.25">
      <c r="A510" t="s">
        <v>163</v>
      </c>
      <c r="B510" t="s">
        <v>49</v>
      </c>
      <c r="C510" s="82">
        <v>3994500118</v>
      </c>
      <c r="D510">
        <v>201602</v>
      </c>
      <c r="E510" s="1">
        <v>42401</v>
      </c>
      <c r="F510" s="1">
        <v>42429</v>
      </c>
      <c r="G510" t="s">
        <v>165</v>
      </c>
      <c r="H510" s="81">
        <v>66</v>
      </c>
      <c r="I510" t="s">
        <v>27</v>
      </c>
      <c r="J510" s="3">
        <v>476.95</v>
      </c>
    </row>
    <row r="511" spans="1:10" x14ac:dyDescent="0.25">
      <c r="A511" t="s">
        <v>163</v>
      </c>
      <c r="B511" t="s">
        <v>49</v>
      </c>
      <c r="C511" s="82">
        <v>3994500118</v>
      </c>
      <c r="D511">
        <v>201603</v>
      </c>
      <c r="E511" s="1">
        <v>42430</v>
      </c>
      <c r="F511" s="1">
        <v>42460</v>
      </c>
      <c r="G511" t="s">
        <v>165</v>
      </c>
      <c r="H511" s="81">
        <v>16</v>
      </c>
      <c r="I511" t="s">
        <v>27</v>
      </c>
      <c r="J511" s="3">
        <v>129.46</v>
      </c>
    </row>
    <row r="512" spans="1:10" x14ac:dyDescent="0.25">
      <c r="A512" t="s">
        <v>163</v>
      </c>
      <c r="B512" t="s">
        <v>49</v>
      </c>
      <c r="C512" s="82">
        <v>3994500118</v>
      </c>
      <c r="D512">
        <v>201604</v>
      </c>
      <c r="E512" s="1">
        <v>42430</v>
      </c>
      <c r="F512" s="1">
        <v>42490</v>
      </c>
      <c r="G512" t="s">
        <v>165</v>
      </c>
      <c r="H512" s="81">
        <v>14</v>
      </c>
      <c r="I512" t="s">
        <v>27</v>
      </c>
      <c r="J512" s="3">
        <v>113.76</v>
      </c>
    </row>
    <row r="513" spans="1:10" x14ac:dyDescent="0.25">
      <c r="A513" t="s">
        <v>163</v>
      </c>
      <c r="B513" t="s">
        <v>49</v>
      </c>
      <c r="C513" s="82">
        <v>3994500118</v>
      </c>
      <c r="D513">
        <v>201605</v>
      </c>
      <c r="E513" s="1">
        <v>42491</v>
      </c>
      <c r="F513" s="1">
        <v>42521</v>
      </c>
      <c r="G513" t="s">
        <v>165</v>
      </c>
      <c r="H513" s="81">
        <v>8</v>
      </c>
      <c r="I513" t="s">
        <v>27</v>
      </c>
      <c r="J513" s="3">
        <v>76.14</v>
      </c>
    </row>
    <row r="514" spans="1:10" x14ac:dyDescent="0.25">
      <c r="A514" t="s">
        <v>163</v>
      </c>
      <c r="B514" t="s">
        <v>49</v>
      </c>
      <c r="C514" s="82">
        <v>3994500118</v>
      </c>
      <c r="D514">
        <v>201606</v>
      </c>
      <c r="E514" s="1">
        <v>42522</v>
      </c>
      <c r="F514" s="1">
        <v>42551</v>
      </c>
      <c r="G514" t="s">
        <v>165</v>
      </c>
      <c r="H514" s="81">
        <v>0</v>
      </c>
      <c r="I514" t="s">
        <v>27</v>
      </c>
      <c r="J514" s="3">
        <v>12.2</v>
      </c>
    </row>
    <row r="515" spans="1:10" x14ac:dyDescent="0.25">
      <c r="A515" t="s">
        <v>166</v>
      </c>
      <c r="B515" t="s">
        <v>49</v>
      </c>
      <c r="C515" s="82">
        <v>3994401028</v>
      </c>
      <c r="D515">
        <v>201507</v>
      </c>
      <c r="E515" s="1">
        <v>42186</v>
      </c>
      <c r="F515" s="1">
        <v>42216</v>
      </c>
      <c r="G515" t="s">
        <v>167</v>
      </c>
      <c r="H515" s="81">
        <v>2</v>
      </c>
      <c r="I515" t="s">
        <v>27</v>
      </c>
      <c r="J515" s="3">
        <v>7.9</v>
      </c>
    </row>
    <row r="516" spans="1:10" x14ac:dyDescent="0.25">
      <c r="A516" t="s">
        <v>166</v>
      </c>
      <c r="B516" t="s">
        <v>49</v>
      </c>
      <c r="C516" s="82">
        <v>3994401028</v>
      </c>
      <c r="D516">
        <v>201508</v>
      </c>
      <c r="E516" s="1">
        <v>42217</v>
      </c>
      <c r="F516" s="1">
        <v>42247</v>
      </c>
      <c r="G516" t="s">
        <v>167</v>
      </c>
      <c r="H516" s="81">
        <v>0</v>
      </c>
      <c r="I516" t="s">
        <v>27</v>
      </c>
      <c r="J516" s="3">
        <v>12.15</v>
      </c>
    </row>
    <row r="517" spans="1:10" x14ac:dyDescent="0.25">
      <c r="A517" t="s">
        <v>166</v>
      </c>
      <c r="B517" t="s">
        <v>49</v>
      </c>
      <c r="C517" s="82">
        <v>3994401028</v>
      </c>
      <c r="D517">
        <v>201509</v>
      </c>
      <c r="E517" s="1">
        <v>42248</v>
      </c>
      <c r="F517" s="1">
        <v>42277</v>
      </c>
      <c r="G517" t="s">
        <v>167</v>
      </c>
      <c r="H517" s="81">
        <v>0</v>
      </c>
      <c r="I517" t="s">
        <v>27</v>
      </c>
      <c r="J517" s="3">
        <v>12.17</v>
      </c>
    </row>
    <row r="518" spans="1:10" x14ac:dyDescent="0.25">
      <c r="A518" t="s">
        <v>166</v>
      </c>
      <c r="B518" t="s">
        <v>49</v>
      </c>
      <c r="C518" s="82">
        <v>3994401028</v>
      </c>
      <c r="D518">
        <v>201510</v>
      </c>
      <c r="E518" s="1">
        <v>42278</v>
      </c>
      <c r="F518" s="1">
        <v>42308</v>
      </c>
      <c r="G518" t="s">
        <v>167</v>
      </c>
      <c r="H518" s="81">
        <v>6</v>
      </c>
      <c r="I518" t="s">
        <v>27</v>
      </c>
      <c r="J518" s="3">
        <v>60.89</v>
      </c>
    </row>
    <row r="519" spans="1:10" x14ac:dyDescent="0.25">
      <c r="A519" t="s">
        <v>166</v>
      </c>
      <c r="B519" t="s">
        <v>49</v>
      </c>
      <c r="C519" s="82">
        <v>3994401028</v>
      </c>
      <c r="D519">
        <v>201511</v>
      </c>
      <c r="E519" s="1">
        <v>42309</v>
      </c>
      <c r="F519" s="1">
        <v>42338</v>
      </c>
      <c r="G519" t="s">
        <v>167</v>
      </c>
      <c r="H519" s="81">
        <v>11</v>
      </c>
      <c r="I519" t="s">
        <v>27</v>
      </c>
      <c r="J519" s="3">
        <v>94.27</v>
      </c>
    </row>
    <row r="520" spans="1:10" x14ac:dyDescent="0.25">
      <c r="A520" t="s">
        <v>166</v>
      </c>
      <c r="B520" t="s">
        <v>49</v>
      </c>
      <c r="C520" s="82">
        <v>3994401028</v>
      </c>
      <c r="D520">
        <v>201512</v>
      </c>
      <c r="E520" s="1">
        <v>42339</v>
      </c>
      <c r="F520" s="1">
        <v>42369</v>
      </c>
      <c r="G520" t="s">
        <v>167</v>
      </c>
      <c r="H520" s="81">
        <v>14</v>
      </c>
      <c r="I520" t="s">
        <v>27</v>
      </c>
      <c r="J520" s="3">
        <v>114.98</v>
      </c>
    </row>
    <row r="521" spans="1:10" x14ac:dyDescent="0.25">
      <c r="A521" t="s">
        <v>166</v>
      </c>
      <c r="B521" t="s">
        <v>49</v>
      </c>
      <c r="C521" s="82">
        <v>3994401028</v>
      </c>
      <c r="D521">
        <v>201601</v>
      </c>
      <c r="E521" s="1">
        <v>42370</v>
      </c>
      <c r="F521" s="1">
        <v>42400</v>
      </c>
      <c r="G521" t="s">
        <v>167</v>
      </c>
      <c r="H521" s="81">
        <v>27</v>
      </c>
      <c r="I521" t="s">
        <v>27</v>
      </c>
      <c r="J521" s="3">
        <v>206.1</v>
      </c>
    </row>
    <row r="522" spans="1:10" x14ac:dyDescent="0.25">
      <c r="A522" t="s">
        <v>166</v>
      </c>
      <c r="B522" t="s">
        <v>49</v>
      </c>
      <c r="C522" s="82">
        <v>3994401028</v>
      </c>
      <c r="D522">
        <v>201602</v>
      </c>
      <c r="E522" s="1">
        <v>42401</v>
      </c>
      <c r="F522" s="1">
        <v>42429</v>
      </c>
      <c r="G522" t="s">
        <v>167</v>
      </c>
      <c r="H522" s="81">
        <v>27</v>
      </c>
      <c r="I522" t="s">
        <v>27</v>
      </c>
      <c r="J522" s="3">
        <v>209.09</v>
      </c>
    </row>
    <row r="523" spans="1:10" x14ac:dyDescent="0.25">
      <c r="A523" t="s">
        <v>166</v>
      </c>
      <c r="B523" t="s">
        <v>49</v>
      </c>
      <c r="C523" s="82">
        <v>3994401028</v>
      </c>
      <c r="D523">
        <v>201603</v>
      </c>
      <c r="E523" s="1">
        <v>42430</v>
      </c>
      <c r="F523" s="1">
        <v>42460</v>
      </c>
      <c r="G523" t="s">
        <v>167</v>
      </c>
      <c r="H523" s="81">
        <v>4</v>
      </c>
      <c r="I523" t="s">
        <v>27</v>
      </c>
      <c r="J523" s="3">
        <v>44.37</v>
      </c>
    </row>
    <row r="524" spans="1:10" x14ac:dyDescent="0.25">
      <c r="A524" t="s">
        <v>166</v>
      </c>
      <c r="B524" t="s">
        <v>49</v>
      </c>
      <c r="C524" s="82">
        <v>3994401028</v>
      </c>
      <c r="D524">
        <v>201604</v>
      </c>
      <c r="E524" s="1">
        <v>42461</v>
      </c>
      <c r="F524" s="1">
        <v>42490</v>
      </c>
      <c r="G524" t="s">
        <v>167</v>
      </c>
      <c r="H524" s="81">
        <v>3</v>
      </c>
      <c r="I524" t="s">
        <v>27</v>
      </c>
      <c r="J524" s="3">
        <v>37.17</v>
      </c>
    </row>
    <row r="525" spans="1:10" x14ac:dyDescent="0.25">
      <c r="A525" t="s">
        <v>166</v>
      </c>
      <c r="B525" t="s">
        <v>49</v>
      </c>
      <c r="C525" s="82">
        <v>3994401028</v>
      </c>
      <c r="D525">
        <v>201605</v>
      </c>
      <c r="E525" s="1">
        <v>42491</v>
      </c>
      <c r="F525" s="1">
        <v>42521</v>
      </c>
      <c r="G525" t="s">
        <v>167</v>
      </c>
      <c r="H525" s="81">
        <v>3</v>
      </c>
      <c r="I525" t="s">
        <v>27</v>
      </c>
      <c r="J525" s="3">
        <v>34.47</v>
      </c>
    </row>
    <row r="526" spans="1:10" x14ac:dyDescent="0.25">
      <c r="A526" t="s">
        <v>166</v>
      </c>
      <c r="B526" t="s">
        <v>49</v>
      </c>
      <c r="C526" s="82">
        <v>3994401028</v>
      </c>
      <c r="D526">
        <v>201606</v>
      </c>
      <c r="E526" s="1">
        <v>42522</v>
      </c>
      <c r="F526" s="1">
        <v>42551</v>
      </c>
      <c r="G526" t="s">
        <v>167</v>
      </c>
      <c r="H526" s="81">
        <v>0</v>
      </c>
      <c r="I526" t="s">
        <v>27</v>
      </c>
      <c r="J526" s="3">
        <v>11.25</v>
      </c>
    </row>
    <row r="527" spans="1:10" x14ac:dyDescent="0.25">
      <c r="A527" t="s">
        <v>53</v>
      </c>
      <c r="B527" t="s">
        <v>49</v>
      </c>
      <c r="C527" s="82">
        <v>3554001705</v>
      </c>
      <c r="D527">
        <v>201507</v>
      </c>
      <c r="E527" s="1">
        <v>42186</v>
      </c>
      <c r="F527" s="1">
        <v>42216</v>
      </c>
      <c r="G527" t="s">
        <v>54</v>
      </c>
      <c r="H527" s="81">
        <v>41</v>
      </c>
      <c r="I527" t="s">
        <v>27</v>
      </c>
      <c r="J527" s="3">
        <v>267.33</v>
      </c>
    </row>
    <row r="528" spans="1:10" x14ac:dyDescent="0.25">
      <c r="A528" t="s">
        <v>53</v>
      </c>
      <c r="B528" t="s">
        <v>49</v>
      </c>
      <c r="C528" s="82">
        <v>3554001705</v>
      </c>
      <c r="D528">
        <v>201508</v>
      </c>
      <c r="E528" s="1">
        <v>42217</v>
      </c>
      <c r="F528" s="1">
        <v>42247</v>
      </c>
      <c r="G528" t="s">
        <v>54</v>
      </c>
      <c r="H528" s="81">
        <v>15</v>
      </c>
      <c r="I528" t="s">
        <v>27</v>
      </c>
      <c r="J528" s="3">
        <v>110.75</v>
      </c>
    </row>
    <row r="529" spans="1:10" x14ac:dyDescent="0.25">
      <c r="A529" t="s">
        <v>53</v>
      </c>
      <c r="B529" t="s">
        <v>49</v>
      </c>
      <c r="C529" s="82">
        <v>3554001705</v>
      </c>
      <c r="D529">
        <v>201509</v>
      </c>
      <c r="E529" s="1">
        <v>42248</v>
      </c>
      <c r="F529" s="1">
        <v>42277</v>
      </c>
      <c r="G529" t="s">
        <v>54</v>
      </c>
      <c r="H529" s="81">
        <v>92</v>
      </c>
      <c r="I529" t="s">
        <v>27</v>
      </c>
      <c r="J529" s="3">
        <v>606.13</v>
      </c>
    </row>
    <row r="530" spans="1:10" x14ac:dyDescent="0.25">
      <c r="A530" t="s">
        <v>53</v>
      </c>
      <c r="B530" t="s">
        <v>49</v>
      </c>
      <c r="C530" s="82">
        <v>3554001705</v>
      </c>
      <c r="D530">
        <v>201510</v>
      </c>
      <c r="E530" s="1">
        <v>42278</v>
      </c>
      <c r="F530" s="1">
        <v>42308</v>
      </c>
      <c r="G530" t="s">
        <v>54</v>
      </c>
      <c r="H530" s="81">
        <v>74</v>
      </c>
      <c r="I530" t="s">
        <v>27</v>
      </c>
      <c r="J530" s="3">
        <v>502.65</v>
      </c>
    </row>
    <row r="531" spans="1:10" x14ac:dyDescent="0.25">
      <c r="A531" t="s">
        <v>53</v>
      </c>
      <c r="B531" t="s">
        <v>49</v>
      </c>
      <c r="C531" s="82">
        <v>3554001705</v>
      </c>
      <c r="D531">
        <v>201511</v>
      </c>
      <c r="E531" s="1">
        <v>42309</v>
      </c>
      <c r="F531" s="1">
        <v>42338</v>
      </c>
      <c r="G531" t="s">
        <v>54</v>
      </c>
      <c r="H531" s="81">
        <v>72</v>
      </c>
      <c r="I531" t="s">
        <v>27</v>
      </c>
      <c r="J531" s="3">
        <v>483.01</v>
      </c>
    </row>
    <row r="532" spans="1:10" x14ac:dyDescent="0.25">
      <c r="A532" t="s">
        <v>53</v>
      </c>
      <c r="B532" t="s">
        <v>49</v>
      </c>
      <c r="C532" s="82">
        <v>3554001705</v>
      </c>
      <c r="D532">
        <v>201512</v>
      </c>
      <c r="E532" s="1">
        <v>42339</v>
      </c>
      <c r="F532" s="1">
        <v>42369</v>
      </c>
      <c r="G532" t="s">
        <v>54</v>
      </c>
      <c r="H532" s="81">
        <v>42</v>
      </c>
      <c r="I532" t="s">
        <v>27</v>
      </c>
      <c r="J532" s="3">
        <v>292.36</v>
      </c>
    </row>
    <row r="533" spans="1:10" x14ac:dyDescent="0.25">
      <c r="A533" t="s">
        <v>53</v>
      </c>
      <c r="B533" t="s">
        <v>49</v>
      </c>
      <c r="C533" s="82">
        <v>3554001705</v>
      </c>
      <c r="D533">
        <v>201601</v>
      </c>
      <c r="E533" s="1">
        <v>42370</v>
      </c>
      <c r="F533" s="1">
        <v>42400</v>
      </c>
      <c r="G533" t="s">
        <v>54</v>
      </c>
      <c r="H533" s="81">
        <v>26</v>
      </c>
      <c r="I533" t="s">
        <v>27</v>
      </c>
      <c r="J533" s="3">
        <v>188.74</v>
      </c>
    </row>
    <row r="534" spans="1:10" x14ac:dyDescent="0.25">
      <c r="A534" t="s">
        <v>53</v>
      </c>
      <c r="B534" t="s">
        <v>49</v>
      </c>
      <c r="C534" s="82">
        <v>3554001705</v>
      </c>
      <c r="D534">
        <v>201602</v>
      </c>
      <c r="E534" s="1">
        <v>42401</v>
      </c>
      <c r="F534" s="1">
        <v>42429</v>
      </c>
      <c r="G534" t="s">
        <v>54</v>
      </c>
      <c r="H534" s="81">
        <v>61</v>
      </c>
      <c r="I534" t="s">
        <v>27</v>
      </c>
      <c r="J534" s="3">
        <v>408.16</v>
      </c>
    </row>
    <row r="535" spans="1:10" x14ac:dyDescent="0.25">
      <c r="A535" t="s">
        <v>53</v>
      </c>
      <c r="B535" t="s">
        <v>49</v>
      </c>
      <c r="C535" s="82">
        <v>3554001705</v>
      </c>
      <c r="D535">
        <v>201603</v>
      </c>
      <c r="E535" s="1">
        <v>42430</v>
      </c>
      <c r="F535" s="1">
        <v>42460</v>
      </c>
      <c r="G535" t="s">
        <v>54</v>
      </c>
      <c r="H535" s="81">
        <v>41</v>
      </c>
      <c r="I535" t="s">
        <v>27</v>
      </c>
      <c r="J535" s="3">
        <v>280.36</v>
      </c>
    </row>
    <row r="536" spans="1:10" x14ac:dyDescent="0.25">
      <c r="A536" t="s">
        <v>53</v>
      </c>
      <c r="B536" t="s">
        <v>49</v>
      </c>
      <c r="C536" s="82">
        <v>3554001705</v>
      </c>
      <c r="D536">
        <v>201604</v>
      </c>
      <c r="E536" s="1">
        <v>42461</v>
      </c>
      <c r="F536" s="1">
        <v>42490</v>
      </c>
      <c r="G536" t="s">
        <v>54</v>
      </c>
      <c r="H536" s="81">
        <v>58</v>
      </c>
      <c r="I536" t="s">
        <v>27</v>
      </c>
      <c r="J536" s="3">
        <v>380.88</v>
      </c>
    </row>
    <row r="537" spans="1:10" x14ac:dyDescent="0.25">
      <c r="A537" t="s">
        <v>53</v>
      </c>
      <c r="B537" t="s">
        <v>49</v>
      </c>
      <c r="C537" s="82">
        <v>3554001705</v>
      </c>
      <c r="D537">
        <v>201605</v>
      </c>
      <c r="E537" s="1">
        <v>42491</v>
      </c>
      <c r="F537" s="1">
        <v>42521</v>
      </c>
      <c r="G537" t="s">
        <v>54</v>
      </c>
      <c r="H537" s="81">
        <v>22</v>
      </c>
      <c r="I537" t="s">
        <v>27</v>
      </c>
      <c r="J537" s="3">
        <v>165.71</v>
      </c>
    </row>
    <row r="538" spans="1:10" x14ac:dyDescent="0.25">
      <c r="A538" t="s">
        <v>53</v>
      </c>
      <c r="B538" t="s">
        <v>49</v>
      </c>
      <c r="C538" s="82">
        <v>3554001705</v>
      </c>
      <c r="D538">
        <v>201606</v>
      </c>
      <c r="E538" s="1">
        <v>42522</v>
      </c>
      <c r="F538" s="1">
        <v>42551</v>
      </c>
      <c r="G538" t="s">
        <v>54</v>
      </c>
      <c r="H538" s="81">
        <v>5</v>
      </c>
      <c r="I538" t="s">
        <v>27</v>
      </c>
      <c r="J538" s="3">
        <v>44.27</v>
      </c>
    </row>
    <row r="539" spans="1:10" x14ac:dyDescent="0.25">
      <c r="A539" t="s">
        <v>159</v>
      </c>
      <c r="B539" t="s">
        <v>49</v>
      </c>
      <c r="C539" s="82">
        <v>3554000400</v>
      </c>
      <c r="D539">
        <v>201507</v>
      </c>
      <c r="E539" s="1">
        <v>42186</v>
      </c>
      <c r="F539" s="1">
        <v>42216</v>
      </c>
      <c r="G539" t="s">
        <v>162</v>
      </c>
      <c r="H539" s="81">
        <v>93</v>
      </c>
      <c r="I539" t="s">
        <v>27</v>
      </c>
      <c r="J539" s="3">
        <v>532.65</v>
      </c>
    </row>
    <row r="540" spans="1:10" x14ac:dyDescent="0.25">
      <c r="A540" t="s">
        <v>159</v>
      </c>
      <c r="B540" t="s">
        <v>49</v>
      </c>
      <c r="C540" s="82">
        <v>3554000400</v>
      </c>
      <c r="D540">
        <v>201508</v>
      </c>
      <c r="E540" s="1">
        <v>42217</v>
      </c>
      <c r="F540" s="1">
        <v>42247</v>
      </c>
      <c r="G540" t="s">
        <v>162</v>
      </c>
      <c r="H540" s="81">
        <v>76</v>
      </c>
      <c r="I540" t="s">
        <v>27</v>
      </c>
      <c r="J540" s="3">
        <v>501.37</v>
      </c>
    </row>
    <row r="541" spans="1:10" x14ac:dyDescent="0.25">
      <c r="A541" t="s">
        <v>159</v>
      </c>
      <c r="B541" t="s">
        <v>49</v>
      </c>
      <c r="C541" s="82">
        <v>3554000400</v>
      </c>
      <c r="D541">
        <v>201509</v>
      </c>
      <c r="E541" s="1">
        <v>42248</v>
      </c>
      <c r="F541" s="1">
        <v>42277</v>
      </c>
      <c r="G541" t="s">
        <v>162</v>
      </c>
      <c r="H541" s="81">
        <v>164</v>
      </c>
      <c r="I541" t="s">
        <v>27</v>
      </c>
      <c r="J541" s="3">
        <v>1001.19</v>
      </c>
    </row>
    <row r="542" spans="1:10" x14ac:dyDescent="0.25">
      <c r="A542" t="s">
        <v>159</v>
      </c>
      <c r="B542" t="s">
        <v>49</v>
      </c>
      <c r="C542" s="82">
        <v>3554000400</v>
      </c>
      <c r="D542">
        <v>201510</v>
      </c>
      <c r="E542" s="1">
        <v>42278</v>
      </c>
      <c r="F542" s="1">
        <v>42308</v>
      </c>
      <c r="G542" t="s">
        <v>162</v>
      </c>
      <c r="H542" s="81">
        <v>153</v>
      </c>
      <c r="I542" t="s">
        <v>27</v>
      </c>
      <c r="J542" s="3">
        <v>986.48</v>
      </c>
    </row>
    <row r="543" spans="1:10" x14ac:dyDescent="0.25">
      <c r="A543" t="s">
        <v>159</v>
      </c>
      <c r="B543" t="s">
        <v>49</v>
      </c>
      <c r="C543" s="82">
        <v>3554000400</v>
      </c>
      <c r="D543">
        <v>201511</v>
      </c>
      <c r="E543" s="1">
        <v>42309</v>
      </c>
      <c r="F543" s="1">
        <v>42338</v>
      </c>
      <c r="G543" t="s">
        <v>162</v>
      </c>
      <c r="H543" s="81">
        <v>146</v>
      </c>
      <c r="I543" t="s">
        <v>27</v>
      </c>
      <c r="J543" s="3">
        <v>939.49</v>
      </c>
    </row>
    <row r="544" spans="1:10" x14ac:dyDescent="0.25">
      <c r="A544" t="s">
        <v>159</v>
      </c>
      <c r="B544" t="s">
        <v>49</v>
      </c>
      <c r="C544" s="82">
        <v>3554000400</v>
      </c>
      <c r="D544">
        <v>201512</v>
      </c>
      <c r="E544" s="1">
        <v>42339</v>
      </c>
      <c r="F544" s="1">
        <v>42369</v>
      </c>
      <c r="G544" t="s">
        <v>162</v>
      </c>
      <c r="H544" s="81">
        <v>91</v>
      </c>
      <c r="I544" t="s">
        <v>27</v>
      </c>
      <c r="J544" s="3">
        <v>612.22</v>
      </c>
    </row>
    <row r="545" spans="1:10" x14ac:dyDescent="0.25">
      <c r="A545" t="s">
        <v>159</v>
      </c>
      <c r="B545" t="s">
        <v>49</v>
      </c>
      <c r="C545" s="82">
        <v>3554000400</v>
      </c>
      <c r="D545">
        <v>201601</v>
      </c>
      <c r="E545" s="1">
        <v>42370</v>
      </c>
      <c r="F545" s="1">
        <v>42400</v>
      </c>
      <c r="G545" t="s">
        <v>162</v>
      </c>
      <c r="H545" s="81">
        <v>144</v>
      </c>
      <c r="I545" t="s">
        <v>27</v>
      </c>
      <c r="J545" s="3">
        <v>915.46</v>
      </c>
    </row>
    <row r="546" spans="1:10" x14ac:dyDescent="0.25">
      <c r="A546" t="s">
        <v>159</v>
      </c>
      <c r="B546" t="s">
        <v>49</v>
      </c>
      <c r="C546" s="82">
        <v>3554000400</v>
      </c>
      <c r="D546">
        <v>201602</v>
      </c>
      <c r="E546" s="1">
        <v>42401</v>
      </c>
      <c r="F546" s="1">
        <v>42429</v>
      </c>
      <c r="G546" t="s">
        <v>162</v>
      </c>
      <c r="H546" s="81">
        <v>125</v>
      </c>
      <c r="I546" t="s">
        <v>27</v>
      </c>
      <c r="J546" s="3">
        <v>832.42</v>
      </c>
    </row>
    <row r="547" spans="1:10" x14ac:dyDescent="0.25">
      <c r="A547" t="s">
        <v>159</v>
      </c>
      <c r="B547" t="s">
        <v>49</v>
      </c>
      <c r="C547" s="82">
        <v>3554000400</v>
      </c>
      <c r="D547">
        <v>201603</v>
      </c>
      <c r="E547" s="1">
        <v>42430</v>
      </c>
      <c r="F547" s="1">
        <v>42460</v>
      </c>
      <c r="G547" t="s">
        <v>162</v>
      </c>
      <c r="H547" s="81">
        <v>112</v>
      </c>
      <c r="I547" t="s">
        <v>27</v>
      </c>
      <c r="J547" s="3">
        <v>725.93</v>
      </c>
    </row>
    <row r="548" spans="1:10" x14ac:dyDescent="0.25">
      <c r="A548" t="s">
        <v>159</v>
      </c>
      <c r="B548" t="s">
        <v>49</v>
      </c>
      <c r="C548" s="82">
        <v>3554000400</v>
      </c>
      <c r="D548">
        <v>201604</v>
      </c>
      <c r="E548" s="1">
        <v>42461</v>
      </c>
      <c r="F548" s="1">
        <v>42490</v>
      </c>
      <c r="G548" t="s">
        <v>162</v>
      </c>
      <c r="H548" s="81">
        <v>140</v>
      </c>
      <c r="I548" t="s">
        <v>27</v>
      </c>
      <c r="J548" s="3">
        <v>873.82</v>
      </c>
    </row>
    <row r="549" spans="1:10" x14ac:dyDescent="0.25">
      <c r="A549" t="s">
        <v>159</v>
      </c>
      <c r="B549" t="s">
        <v>49</v>
      </c>
      <c r="C549" s="82">
        <v>3554000400</v>
      </c>
      <c r="D549">
        <v>201605</v>
      </c>
      <c r="E549" s="1">
        <v>42491</v>
      </c>
      <c r="F549" s="1">
        <v>42521</v>
      </c>
      <c r="G549" t="s">
        <v>162</v>
      </c>
      <c r="H549" s="81">
        <v>54</v>
      </c>
      <c r="I549" t="s">
        <v>27</v>
      </c>
      <c r="J549" s="3">
        <v>381.86</v>
      </c>
    </row>
    <row r="550" spans="1:10" ht="15.75" thickBot="1" x14ac:dyDescent="0.3">
      <c r="A550" t="s">
        <v>159</v>
      </c>
      <c r="B550" t="s">
        <v>49</v>
      </c>
      <c r="C550" s="82">
        <v>3554000400</v>
      </c>
      <c r="D550">
        <v>201606</v>
      </c>
      <c r="E550" s="1">
        <v>42522</v>
      </c>
      <c r="F550" s="1">
        <v>42551</v>
      </c>
      <c r="G550" t="s">
        <v>162</v>
      </c>
      <c r="H550" s="81">
        <v>72</v>
      </c>
      <c r="I550" t="s">
        <v>27</v>
      </c>
      <c r="J550" s="3">
        <v>473.35</v>
      </c>
    </row>
    <row r="551" spans="1:10" ht="15.75" thickBot="1" x14ac:dyDescent="0.3">
      <c r="H551" s="5">
        <f>SUM(H386:H550)</f>
        <v>15171.68</v>
      </c>
      <c r="I551" t="s">
        <v>27</v>
      </c>
      <c r="J551" s="21">
        <f>SUM(J386:J550)</f>
        <v>94248.439999999944</v>
      </c>
    </row>
    <row r="552" spans="1:10" x14ac:dyDescent="0.25">
      <c r="H552" s="11"/>
      <c r="J552" s="68"/>
    </row>
    <row r="553" spans="1:10" x14ac:dyDescent="0.25">
      <c r="H553" s="11"/>
      <c r="J553" s="68"/>
    </row>
    <row r="554" spans="1:10" x14ac:dyDescent="0.25">
      <c r="H554" s="11"/>
      <c r="J554" s="68"/>
    </row>
    <row r="555" spans="1:10" x14ac:dyDescent="0.25">
      <c r="A555" t="s">
        <v>121</v>
      </c>
      <c r="B555" t="s">
        <v>71</v>
      </c>
      <c r="C555" s="82" t="s">
        <v>189</v>
      </c>
      <c r="D555">
        <v>201507</v>
      </c>
      <c r="E555" s="1">
        <v>42185</v>
      </c>
      <c r="F555" s="1">
        <v>42216</v>
      </c>
      <c r="G555" t="s">
        <v>189</v>
      </c>
      <c r="H555" s="81">
        <v>353</v>
      </c>
      <c r="I555" t="s">
        <v>12</v>
      </c>
      <c r="J555" s="3">
        <v>3981.56</v>
      </c>
    </row>
    <row r="556" spans="1:10" x14ac:dyDescent="0.25">
      <c r="A556" t="s">
        <v>121</v>
      </c>
      <c r="B556" t="s">
        <v>71</v>
      </c>
      <c r="C556" s="82" t="s">
        <v>189</v>
      </c>
      <c r="D556">
        <v>201508</v>
      </c>
      <c r="E556" s="1">
        <v>42216</v>
      </c>
      <c r="F556" s="1">
        <v>42243</v>
      </c>
      <c r="G556" t="s">
        <v>189</v>
      </c>
      <c r="H556" s="81">
        <v>349</v>
      </c>
      <c r="I556" t="s">
        <v>12</v>
      </c>
      <c r="J556" s="3">
        <v>4009.19</v>
      </c>
    </row>
    <row r="557" spans="1:10" x14ac:dyDescent="0.25">
      <c r="A557" t="s">
        <v>121</v>
      </c>
      <c r="B557" t="s">
        <v>71</v>
      </c>
      <c r="C557" s="82" t="s">
        <v>189</v>
      </c>
      <c r="D557">
        <v>201509</v>
      </c>
      <c r="E557" s="1">
        <v>42243</v>
      </c>
      <c r="F557" s="1">
        <v>42276</v>
      </c>
      <c r="G557" t="s">
        <v>189</v>
      </c>
      <c r="H557" s="81">
        <v>427</v>
      </c>
      <c r="I557" t="s">
        <v>12</v>
      </c>
      <c r="J557" s="3">
        <v>4858.29</v>
      </c>
    </row>
    <row r="558" spans="1:10" x14ac:dyDescent="0.25">
      <c r="A558" t="s">
        <v>121</v>
      </c>
      <c r="B558" t="s">
        <v>71</v>
      </c>
      <c r="C558" s="82" t="s">
        <v>189</v>
      </c>
      <c r="D558">
        <v>201510</v>
      </c>
      <c r="E558" s="1">
        <v>42276</v>
      </c>
      <c r="F558" s="1">
        <v>42305</v>
      </c>
      <c r="G558" t="s">
        <v>189</v>
      </c>
      <c r="H558" s="81">
        <v>483</v>
      </c>
      <c r="I558" t="s">
        <v>12</v>
      </c>
      <c r="J558" s="3">
        <v>3912.06</v>
      </c>
    </row>
    <row r="559" spans="1:10" x14ac:dyDescent="0.25">
      <c r="A559" t="s">
        <v>121</v>
      </c>
      <c r="B559" t="s">
        <v>71</v>
      </c>
      <c r="C559" s="82" t="s">
        <v>189</v>
      </c>
      <c r="D559">
        <v>201511</v>
      </c>
      <c r="E559" s="1">
        <v>42305</v>
      </c>
      <c r="F559" s="1">
        <v>42339</v>
      </c>
      <c r="G559" t="s">
        <v>189</v>
      </c>
      <c r="H559" s="81">
        <v>554</v>
      </c>
      <c r="I559" t="s">
        <v>12</v>
      </c>
      <c r="J559" s="3">
        <v>3713.09</v>
      </c>
    </row>
    <row r="560" spans="1:10" x14ac:dyDescent="0.25">
      <c r="A560" t="s">
        <v>121</v>
      </c>
      <c r="B560" t="s">
        <v>71</v>
      </c>
      <c r="C560" s="82" t="s">
        <v>189</v>
      </c>
      <c r="D560">
        <v>201512</v>
      </c>
      <c r="E560" s="1">
        <v>42339</v>
      </c>
      <c r="F560" s="1">
        <v>42369</v>
      </c>
      <c r="G560" t="s">
        <v>189</v>
      </c>
      <c r="H560" s="81">
        <v>577</v>
      </c>
      <c r="I560" t="s">
        <v>12</v>
      </c>
      <c r="J560" s="3">
        <v>3534.68</v>
      </c>
    </row>
    <row r="561" spans="1:10" x14ac:dyDescent="0.25">
      <c r="A561" t="s">
        <v>121</v>
      </c>
      <c r="B561" t="s">
        <v>71</v>
      </c>
      <c r="C561" s="82" t="s">
        <v>189</v>
      </c>
      <c r="D561">
        <v>201601</v>
      </c>
      <c r="E561" s="1">
        <v>42369</v>
      </c>
      <c r="F561" s="1">
        <v>42401</v>
      </c>
      <c r="G561" t="s">
        <v>189</v>
      </c>
      <c r="H561" s="81">
        <v>872</v>
      </c>
      <c r="I561" t="s">
        <v>12</v>
      </c>
      <c r="J561" s="3">
        <v>4640.1499999999996</v>
      </c>
    </row>
    <row r="562" spans="1:10" x14ac:dyDescent="0.25">
      <c r="A562" t="s">
        <v>121</v>
      </c>
      <c r="B562" t="s">
        <v>71</v>
      </c>
      <c r="C562" s="82" t="s">
        <v>189</v>
      </c>
      <c r="D562">
        <v>201602</v>
      </c>
      <c r="E562" s="1">
        <v>42401</v>
      </c>
      <c r="F562" s="1">
        <v>42430</v>
      </c>
      <c r="G562" t="s">
        <v>189</v>
      </c>
      <c r="H562" s="81">
        <v>681</v>
      </c>
      <c r="I562" t="s">
        <v>12</v>
      </c>
      <c r="J562" s="3">
        <v>3793.92</v>
      </c>
    </row>
    <row r="563" spans="1:10" x14ac:dyDescent="0.25">
      <c r="A563" t="s">
        <v>121</v>
      </c>
      <c r="B563" t="s">
        <v>71</v>
      </c>
      <c r="C563" s="82" t="s">
        <v>189</v>
      </c>
      <c r="D563">
        <v>201603</v>
      </c>
      <c r="E563" s="1">
        <v>42430</v>
      </c>
      <c r="F563" s="1">
        <v>42460</v>
      </c>
      <c r="G563" t="s">
        <v>189</v>
      </c>
      <c r="H563" s="81">
        <v>709</v>
      </c>
      <c r="I563" t="s">
        <v>12</v>
      </c>
      <c r="J563" s="3">
        <v>3839.38</v>
      </c>
    </row>
    <row r="564" spans="1:10" x14ac:dyDescent="0.25">
      <c r="A564" t="s">
        <v>121</v>
      </c>
      <c r="B564" t="s">
        <v>71</v>
      </c>
      <c r="C564" s="82" t="s">
        <v>189</v>
      </c>
      <c r="D564">
        <v>201604</v>
      </c>
      <c r="E564" s="1">
        <v>42460</v>
      </c>
      <c r="F564" s="1">
        <v>42489</v>
      </c>
      <c r="G564" t="s">
        <v>189</v>
      </c>
      <c r="H564" s="81">
        <v>460</v>
      </c>
      <c r="I564" t="s">
        <v>12</v>
      </c>
      <c r="J564" s="3">
        <v>3443.29</v>
      </c>
    </row>
    <row r="565" spans="1:10" x14ac:dyDescent="0.25">
      <c r="A565" t="s">
        <v>121</v>
      </c>
      <c r="B565" t="s">
        <v>71</v>
      </c>
      <c r="C565" s="82" t="s">
        <v>189</v>
      </c>
      <c r="D565">
        <v>201605</v>
      </c>
      <c r="E565" s="1">
        <v>42489</v>
      </c>
      <c r="F565" s="1">
        <v>42521</v>
      </c>
      <c r="G565" t="s">
        <v>189</v>
      </c>
      <c r="H565" s="81">
        <v>307</v>
      </c>
      <c r="I565" t="s">
        <v>12</v>
      </c>
      <c r="J565" s="3">
        <v>2829.67</v>
      </c>
    </row>
    <row r="566" spans="1:10" x14ac:dyDescent="0.25">
      <c r="A566" t="s">
        <v>121</v>
      </c>
      <c r="B566" t="s">
        <v>71</v>
      </c>
      <c r="C566" s="82" t="s">
        <v>189</v>
      </c>
      <c r="D566">
        <v>201606</v>
      </c>
      <c r="E566" s="1">
        <v>42521</v>
      </c>
      <c r="F566" s="1">
        <v>42550</v>
      </c>
      <c r="G566" t="s">
        <v>189</v>
      </c>
      <c r="H566" s="81">
        <v>353</v>
      </c>
      <c r="I566" t="s">
        <v>12</v>
      </c>
      <c r="J566" s="3">
        <v>3848.04</v>
      </c>
    </row>
    <row r="567" spans="1:10" x14ac:dyDescent="0.25">
      <c r="A567" t="s">
        <v>134</v>
      </c>
      <c r="B567" t="s">
        <v>71</v>
      </c>
      <c r="C567" s="82" t="s">
        <v>190</v>
      </c>
      <c r="D567">
        <v>201507</v>
      </c>
      <c r="E567" s="1">
        <v>42185</v>
      </c>
      <c r="F567" s="1">
        <v>42216</v>
      </c>
      <c r="G567" t="s">
        <v>190</v>
      </c>
      <c r="H567" s="81">
        <v>469</v>
      </c>
      <c r="I567" t="s">
        <v>12</v>
      </c>
      <c r="J567" s="3">
        <v>5289.95</v>
      </c>
    </row>
    <row r="568" spans="1:10" x14ac:dyDescent="0.25">
      <c r="A568" t="s">
        <v>134</v>
      </c>
      <c r="B568" t="s">
        <v>71</v>
      </c>
      <c r="C568" s="82" t="s">
        <v>190</v>
      </c>
      <c r="D568">
        <v>201508</v>
      </c>
      <c r="E568" s="1">
        <v>42216</v>
      </c>
      <c r="F568" s="1">
        <v>42243</v>
      </c>
      <c r="G568" t="s">
        <v>190</v>
      </c>
      <c r="H568" s="81">
        <v>465</v>
      </c>
      <c r="I568" t="s">
        <v>12</v>
      </c>
      <c r="J568" s="3">
        <v>5341.75</v>
      </c>
    </row>
    <row r="569" spans="1:10" x14ac:dyDescent="0.25">
      <c r="A569" t="s">
        <v>134</v>
      </c>
      <c r="B569" t="s">
        <v>71</v>
      </c>
      <c r="C569" s="82" t="s">
        <v>190</v>
      </c>
      <c r="D569">
        <v>201509</v>
      </c>
      <c r="E569" s="1">
        <v>42243</v>
      </c>
      <c r="F569" s="1">
        <v>42276</v>
      </c>
      <c r="G569" t="s">
        <v>190</v>
      </c>
      <c r="H569" s="81">
        <v>568</v>
      </c>
      <c r="I569" t="s">
        <v>12</v>
      </c>
      <c r="J569" s="3">
        <v>6462.55</v>
      </c>
    </row>
    <row r="570" spans="1:10" x14ac:dyDescent="0.25">
      <c r="A570" t="s">
        <v>134</v>
      </c>
      <c r="B570" t="s">
        <v>71</v>
      </c>
      <c r="C570" s="82" t="s">
        <v>190</v>
      </c>
      <c r="D570">
        <v>201510</v>
      </c>
      <c r="E570" s="1">
        <v>42276</v>
      </c>
      <c r="F570" s="1">
        <v>42305</v>
      </c>
      <c r="G570" t="s">
        <v>190</v>
      </c>
      <c r="H570" s="81">
        <v>642</v>
      </c>
      <c r="I570" t="s">
        <v>12</v>
      </c>
      <c r="J570" s="3">
        <v>5199.88</v>
      </c>
    </row>
    <row r="571" spans="1:10" x14ac:dyDescent="0.25">
      <c r="A571" t="s">
        <v>134</v>
      </c>
      <c r="B571" t="s">
        <v>71</v>
      </c>
      <c r="C571" s="82" t="s">
        <v>190</v>
      </c>
      <c r="D571">
        <v>201511</v>
      </c>
      <c r="E571" s="1">
        <v>42305</v>
      </c>
      <c r="F571" s="1">
        <v>42339</v>
      </c>
      <c r="G571" t="s">
        <v>190</v>
      </c>
      <c r="H571" s="81">
        <v>737</v>
      </c>
      <c r="I571" t="s">
        <v>12</v>
      </c>
      <c r="J571" s="3">
        <v>4939.62</v>
      </c>
    </row>
    <row r="572" spans="1:10" x14ac:dyDescent="0.25">
      <c r="A572" t="s">
        <v>134</v>
      </c>
      <c r="B572" t="s">
        <v>71</v>
      </c>
      <c r="C572" s="82" t="s">
        <v>190</v>
      </c>
      <c r="D572">
        <v>201512</v>
      </c>
      <c r="E572" s="1">
        <v>42339</v>
      </c>
      <c r="F572" s="1">
        <v>42369</v>
      </c>
      <c r="G572" t="s">
        <v>190</v>
      </c>
      <c r="H572" s="81">
        <v>768</v>
      </c>
      <c r="I572" t="s">
        <v>12</v>
      </c>
      <c r="J572" s="3">
        <v>4704.7299999999996</v>
      </c>
    </row>
    <row r="573" spans="1:10" x14ac:dyDescent="0.25">
      <c r="A573" t="s">
        <v>134</v>
      </c>
      <c r="B573" t="s">
        <v>71</v>
      </c>
      <c r="C573" s="82" t="s">
        <v>190</v>
      </c>
      <c r="D573">
        <v>201601</v>
      </c>
      <c r="E573" s="1">
        <v>42369</v>
      </c>
      <c r="F573" s="1">
        <v>42401</v>
      </c>
      <c r="G573" t="s">
        <v>190</v>
      </c>
      <c r="H573" s="81">
        <v>1161</v>
      </c>
      <c r="I573" t="s">
        <v>12</v>
      </c>
      <c r="J573" s="3">
        <v>6178</v>
      </c>
    </row>
    <row r="574" spans="1:10" x14ac:dyDescent="0.25">
      <c r="A574" t="s">
        <v>134</v>
      </c>
      <c r="B574" t="s">
        <v>71</v>
      </c>
      <c r="C574" s="82" t="s">
        <v>190</v>
      </c>
      <c r="D574">
        <v>201602</v>
      </c>
      <c r="E574" s="1">
        <v>42401</v>
      </c>
      <c r="F574" s="1">
        <v>42430</v>
      </c>
      <c r="G574" t="s">
        <v>190</v>
      </c>
      <c r="H574" s="81">
        <v>907</v>
      </c>
      <c r="I574" t="s">
        <v>12</v>
      </c>
      <c r="J574" s="3">
        <v>5052.99</v>
      </c>
    </row>
    <row r="575" spans="1:10" x14ac:dyDescent="0.25">
      <c r="A575" t="s">
        <v>134</v>
      </c>
      <c r="B575" t="s">
        <v>71</v>
      </c>
      <c r="C575" s="82" t="s">
        <v>190</v>
      </c>
      <c r="D575">
        <v>201603</v>
      </c>
      <c r="E575" s="1">
        <v>42430</v>
      </c>
      <c r="F575" s="1">
        <v>42460</v>
      </c>
      <c r="G575" t="s">
        <v>190</v>
      </c>
      <c r="H575" s="81">
        <v>943</v>
      </c>
      <c r="I575" t="s">
        <v>12</v>
      </c>
      <c r="J575" s="3">
        <v>5106.53</v>
      </c>
    </row>
    <row r="576" spans="1:10" x14ac:dyDescent="0.25">
      <c r="A576" t="s">
        <v>134</v>
      </c>
      <c r="B576" t="s">
        <v>71</v>
      </c>
      <c r="C576" s="82" t="s">
        <v>190</v>
      </c>
      <c r="D576">
        <v>201604</v>
      </c>
      <c r="E576" s="1">
        <v>42460</v>
      </c>
      <c r="F576" s="1">
        <v>42489</v>
      </c>
      <c r="G576" t="s">
        <v>190</v>
      </c>
      <c r="H576" s="81">
        <v>612</v>
      </c>
      <c r="I576" t="s">
        <v>12</v>
      </c>
      <c r="J576" s="3">
        <v>4581.08</v>
      </c>
    </row>
    <row r="577" spans="1:10" x14ac:dyDescent="0.25">
      <c r="A577" t="s">
        <v>134</v>
      </c>
      <c r="B577" t="s">
        <v>71</v>
      </c>
      <c r="C577" s="82" t="s">
        <v>190</v>
      </c>
      <c r="D577">
        <v>201605</v>
      </c>
      <c r="E577" s="1">
        <v>42489</v>
      </c>
      <c r="F577" s="1">
        <v>42521</v>
      </c>
      <c r="G577" t="s">
        <v>190</v>
      </c>
      <c r="H577" s="81">
        <v>408</v>
      </c>
      <c r="I577" t="s">
        <v>12</v>
      </c>
      <c r="J577" s="3">
        <v>3760.6</v>
      </c>
    </row>
    <row r="578" spans="1:10" x14ac:dyDescent="0.25">
      <c r="A578" t="s">
        <v>134</v>
      </c>
      <c r="B578" t="s">
        <v>71</v>
      </c>
      <c r="C578" s="82" t="s">
        <v>190</v>
      </c>
      <c r="D578">
        <v>201606</v>
      </c>
      <c r="E578" s="1">
        <v>42521</v>
      </c>
      <c r="F578" s="1">
        <v>42550</v>
      </c>
      <c r="G578" t="s">
        <v>190</v>
      </c>
      <c r="H578" s="81">
        <v>470</v>
      </c>
      <c r="I578" t="s">
        <v>12</v>
      </c>
      <c r="J578" s="3">
        <v>5123.45</v>
      </c>
    </row>
    <row r="579" spans="1:10" x14ac:dyDescent="0.25">
      <c r="A579" t="s">
        <v>139</v>
      </c>
      <c r="B579" t="s">
        <v>71</v>
      </c>
      <c r="C579" s="82" t="s">
        <v>193</v>
      </c>
      <c r="D579">
        <v>201507</v>
      </c>
      <c r="E579" s="1">
        <v>42185</v>
      </c>
      <c r="F579" s="1">
        <v>42216</v>
      </c>
      <c r="G579" t="s">
        <v>194</v>
      </c>
      <c r="H579" s="81">
        <v>734</v>
      </c>
      <c r="I579" t="s">
        <v>12</v>
      </c>
      <c r="J579" s="3">
        <v>8278.94</v>
      </c>
    </row>
    <row r="580" spans="1:10" x14ac:dyDescent="0.25">
      <c r="A580" t="s">
        <v>139</v>
      </c>
      <c r="B580" t="s">
        <v>71</v>
      </c>
      <c r="C580" s="82" t="s">
        <v>193</v>
      </c>
      <c r="D580">
        <v>201508</v>
      </c>
      <c r="E580" s="1">
        <v>42216</v>
      </c>
      <c r="F580" s="1">
        <v>42243</v>
      </c>
      <c r="G580" t="s">
        <v>194</v>
      </c>
      <c r="H580" s="81">
        <v>727</v>
      </c>
      <c r="I580" t="s">
        <v>12</v>
      </c>
      <c r="J580" s="3">
        <v>8351.51</v>
      </c>
    </row>
    <row r="581" spans="1:10" x14ac:dyDescent="0.25">
      <c r="A581" t="s">
        <v>139</v>
      </c>
      <c r="B581" t="s">
        <v>71</v>
      </c>
      <c r="C581" s="82" t="s">
        <v>193</v>
      </c>
      <c r="D581">
        <v>201509</v>
      </c>
      <c r="E581" s="1">
        <v>42243</v>
      </c>
      <c r="F581" s="1">
        <v>42276</v>
      </c>
      <c r="G581" t="s">
        <v>194</v>
      </c>
      <c r="H581" s="81">
        <v>888</v>
      </c>
      <c r="I581" t="s">
        <v>12</v>
      </c>
      <c r="J581" s="3">
        <v>10103.42</v>
      </c>
    </row>
    <row r="582" spans="1:10" x14ac:dyDescent="0.25">
      <c r="A582" t="s">
        <v>139</v>
      </c>
      <c r="B582" t="s">
        <v>71</v>
      </c>
      <c r="C582" s="82" t="s">
        <v>193</v>
      </c>
      <c r="D582">
        <v>201510</v>
      </c>
      <c r="E582" s="1">
        <v>42276</v>
      </c>
      <c r="F582" s="1">
        <v>42305</v>
      </c>
      <c r="G582" t="s">
        <v>194</v>
      </c>
      <c r="H582" s="81">
        <v>1004</v>
      </c>
      <c r="I582" t="s">
        <v>12</v>
      </c>
      <c r="J582" s="3">
        <v>8131.9</v>
      </c>
    </row>
    <row r="583" spans="1:10" x14ac:dyDescent="0.25">
      <c r="A583" t="s">
        <v>139</v>
      </c>
      <c r="B583" t="s">
        <v>71</v>
      </c>
      <c r="C583" s="82" t="s">
        <v>193</v>
      </c>
      <c r="D583">
        <v>201511</v>
      </c>
      <c r="E583" s="1">
        <v>42305</v>
      </c>
      <c r="F583" s="1">
        <v>42339</v>
      </c>
      <c r="G583" t="s">
        <v>194</v>
      </c>
      <c r="H583" s="81">
        <v>1153</v>
      </c>
      <c r="I583" t="s">
        <v>12</v>
      </c>
      <c r="J583" s="3">
        <v>7727.79</v>
      </c>
    </row>
    <row r="584" spans="1:10" x14ac:dyDescent="0.25">
      <c r="A584" t="s">
        <v>139</v>
      </c>
      <c r="B584" t="s">
        <v>71</v>
      </c>
      <c r="C584" s="82" t="s">
        <v>193</v>
      </c>
      <c r="D584">
        <v>201512</v>
      </c>
      <c r="E584" s="1">
        <v>42339</v>
      </c>
      <c r="F584" s="1">
        <v>42369</v>
      </c>
      <c r="G584" t="s">
        <v>194</v>
      </c>
      <c r="H584" s="81">
        <v>1202</v>
      </c>
      <c r="I584" t="s">
        <v>12</v>
      </c>
      <c r="J584" s="3">
        <v>7363.4</v>
      </c>
    </row>
    <row r="585" spans="1:10" x14ac:dyDescent="0.25">
      <c r="A585" t="s">
        <v>139</v>
      </c>
      <c r="B585" t="s">
        <v>71</v>
      </c>
      <c r="C585" s="82" t="s">
        <v>193</v>
      </c>
      <c r="D585">
        <v>201601</v>
      </c>
      <c r="E585" s="1">
        <v>42369</v>
      </c>
      <c r="F585" s="1">
        <v>42401</v>
      </c>
      <c r="G585" t="s">
        <v>194</v>
      </c>
      <c r="H585" s="81">
        <v>1815</v>
      </c>
      <c r="I585" t="s">
        <v>12</v>
      </c>
      <c r="J585" s="3">
        <v>9658.1200000000008</v>
      </c>
    </row>
    <row r="586" spans="1:10" x14ac:dyDescent="0.25">
      <c r="A586" t="s">
        <v>139</v>
      </c>
      <c r="B586" t="s">
        <v>71</v>
      </c>
      <c r="C586" s="82" t="s">
        <v>193</v>
      </c>
      <c r="D586">
        <v>201602</v>
      </c>
      <c r="E586" s="1">
        <v>42401</v>
      </c>
      <c r="F586" s="1">
        <v>42430</v>
      </c>
      <c r="G586" t="s">
        <v>194</v>
      </c>
      <c r="H586" s="81">
        <v>1418</v>
      </c>
      <c r="I586" t="s">
        <v>12</v>
      </c>
      <c r="J586" s="3">
        <v>7899.82</v>
      </c>
    </row>
    <row r="587" spans="1:10" x14ac:dyDescent="0.25">
      <c r="A587" t="s">
        <v>139</v>
      </c>
      <c r="B587" t="s">
        <v>71</v>
      </c>
      <c r="C587" s="82" t="s">
        <v>193</v>
      </c>
      <c r="D587">
        <v>201603</v>
      </c>
      <c r="E587" s="1">
        <v>42430</v>
      </c>
      <c r="F587" s="1">
        <v>42460</v>
      </c>
      <c r="G587" t="s">
        <v>194</v>
      </c>
      <c r="H587" s="81">
        <v>1476</v>
      </c>
      <c r="I587" t="s">
        <v>12</v>
      </c>
      <c r="J587" s="3">
        <v>7992.83</v>
      </c>
    </row>
    <row r="588" spans="1:10" x14ac:dyDescent="0.25">
      <c r="A588" t="s">
        <v>139</v>
      </c>
      <c r="B588" t="s">
        <v>71</v>
      </c>
      <c r="C588" s="82" t="s">
        <v>193</v>
      </c>
      <c r="D588">
        <v>201604</v>
      </c>
      <c r="E588" s="1">
        <v>42460</v>
      </c>
      <c r="F588" s="1">
        <v>42489</v>
      </c>
      <c r="G588" t="s">
        <v>194</v>
      </c>
      <c r="H588" s="81">
        <v>958</v>
      </c>
      <c r="I588" t="s">
        <v>12</v>
      </c>
      <c r="J588" s="3">
        <v>7171.03</v>
      </c>
    </row>
    <row r="589" spans="1:10" x14ac:dyDescent="0.25">
      <c r="A589" t="s">
        <v>139</v>
      </c>
      <c r="B589" t="s">
        <v>71</v>
      </c>
      <c r="C589" s="82" t="s">
        <v>193</v>
      </c>
      <c r="D589">
        <v>201605</v>
      </c>
      <c r="E589" s="1">
        <v>42489</v>
      </c>
      <c r="F589" s="1">
        <v>42521</v>
      </c>
      <c r="G589" t="s">
        <v>194</v>
      </c>
      <c r="H589" s="81">
        <v>639</v>
      </c>
      <c r="I589" t="s">
        <v>12</v>
      </c>
      <c r="J589" s="3">
        <v>5889.77</v>
      </c>
    </row>
    <row r="590" spans="1:10" x14ac:dyDescent="0.25">
      <c r="A590" t="s">
        <v>139</v>
      </c>
      <c r="B590" t="s">
        <v>71</v>
      </c>
      <c r="C590" s="82" t="s">
        <v>193</v>
      </c>
      <c r="D590">
        <v>201606</v>
      </c>
      <c r="E590" s="1">
        <v>42521</v>
      </c>
      <c r="F590" s="1">
        <v>42550</v>
      </c>
      <c r="G590" t="s">
        <v>194</v>
      </c>
      <c r="H590" s="81">
        <v>735</v>
      </c>
      <c r="I590" t="s">
        <v>12</v>
      </c>
      <c r="J590" s="3">
        <v>8012.2</v>
      </c>
    </row>
    <row r="591" spans="1:10" x14ac:dyDescent="0.25">
      <c r="A591" t="s">
        <v>84</v>
      </c>
      <c r="B591" t="s">
        <v>71</v>
      </c>
      <c r="C591" s="82" t="s">
        <v>101</v>
      </c>
      <c r="D591">
        <v>201507</v>
      </c>
      <c r="E591" s="1">
        <v>42185</v>
      </c>
      <c r="F591" s="1">
        <v>42216</v>
      </c>
      <c r="G591" t="s">
        <v>101</v>
      </c>
      <c r="H591" s="81">
        <v>66</v>
      </c>
      <c r="I591" t="s">
        <v>12</v>
      </c>
      <c r="J591" s="3">
        <v>442.35</v>
      </c>
    </row>
    <row r="592" spans="1:10" x14ac:dyDescent="0.25">
      <c r="A592" t="s">
        <v>84</v>
      </c>
      <c r="B592" t="s">
        <v>71</v>
      </c>
      <c r="C592" s="82" t="s">
        <v>101</v>
      </c>
      <c r="D592">
        <v>201508</v>
      </c>
      <c r="E592" s="1">
        <v>42216</v>
      </c>
      <c r="F592" s="1">
        <v>42243</v>
      </c>
      <c r="G592" t="s">
        <v>101</v>
      </c>
      <c r="H592" s="81">
        <v>66</v>
      </c>
      <c r="I592" t="s">
        <v>12</v>
      </c>
      <c r="J592" s="3">
        <v>442.35</v>
      </c>
    </row>
    <row r="593" spans="1:10" x14ac:dyDescent="0.25">
      <c r="A593" t="s">
        <v>84</v>
      </c>
      <c r="B593" t="s">
        <v>71</v>
      </c>
      <c r="C593" s="82" t="s">
        <v>101</v>
      </c>
      <c r="D593">
        <v>201509</v>
      </c>
      <c r="E593" s="1">
        <v>42243</v>
      </c>
      <c r="F593" s="1">
        <v>42276</v>
      </c>
      <c r="G593" t="s">
        <v>101</v>
      </c>
      <c r="H593" s="81">
        <v>80</v>
      </c>
      <c r="I593" t="s">
        <v>12</v>
      </c>
      <c r="J593" s="3">
        <v>536.19000000000005</v>
      </c>
    </row>
    <row r="594" spans="1:10" x14ac:dyDescent="0.25">
      <c r="A594" t="s">
        <v>84</v>
      </c>
      <c r="B594" t="s">
        <v>71</v>
      </c>
      <c r="C594" s="82" t="s">
        <v>101</v>
      </c>
      <c r="D594">
        <v>201510</v>
      </c>
      <c r="E594" s="1">
        <v>42276</v>
      </c>
      <c r="F594" s="1">
        <v>42305</v>
      </c>
      <c r="G594" t="s">
        <v>101</v>
      </c>
      <c r="H594" s="81">
        <v>91</v>
      </c>
      <c r="I594" t="s">
        <v>12</v>
      </c>
      <c r="J594" s="3">
        <v>609.91</v>
      </c>
    </row>
    <row r="595" spans="1:10" x14ac:dyDescent="0.25">
      <c r="A595" t="s">
        <v>84</v>
      </c>
      <c r="B595" t="s">
        <v>71</v>
      </c>
      <c r="C595" s="82" t="s">
        <v>101</v>
      </c>
      <c r="D595">
        <v>201511</v>
      </c>
      <c r="E595" s="1">
        <v>42305</v>
      </c>
      <c r="F595" s="1">
        <v>42339</v>
      </c>
      <c r="G595" t="s">
        <v>101</v>
      </c>
      <c r="H595" s="81">
        <v>104</v>
      </c>
      <c r="I595" t="s">
        <v>12</v>
      </c>
      <c r="J595" s="3">
        <v>697.04</v>
      </c>
    </row>
    <row r="596" spans="1:10" x14ac:dyDescent="0.25">
      <c r="A596" t="s">
        <v>84</v>
      </c>
      <c r="B596" t="s">
        <v>71</v>
      </c>
      <c r="C596" s="82" t="s">
        <v>101</v>
      </c>
      <c r="D596">
        <v>201512</v>
      </c>
      <c r="E596" s="1">
        <v>42339</v>
      </c>
      <c r="F596" s="1">
        <v>42369</v>
      </c>
      <c r="G596" t="s">
        <v>101</v>
      </c>
      <c r="H596" s="81">
        <v>108</v>
      </c>
      <c r="I596" t="s">
        <v>12</v>
      </c>
      <c r="J596" s="3">
        <v>661.6</v>
      </c>
    </row>
    <row r="597" spans="1:10" x14ac:dyDescent="0.25">
      <c r="A597" t="s">
        <v>84</v>
      </c>
      <c r="B597" t="s">
        <v>71</v>
      </c>
      <c r="C597" s="82" t="s">
        <v>101</v>
      </c>
      <c r="D597">
        <v>201601</v>
      </c>
      <c r="E597" s="1">
        <v>42369</v>
      </c>
      <c r="F597" s="1">
        <v>42401</v>
      </c>
      <c r="G597" t="s">
        <v>101</v>
      </c>
      <c r="H597" s="81">
        <v>164</v>
      </c>
      <c r="I597" t="s">
        <v>12</v>
      </c>
      <c r="J597" s="3">
        <v>872.69</v>
      </c>
    </row>
    <row r="598" spans="1:10" x14ac:dyDescent="0.25">
      <c r="A598" t="s">
        <v>84</v>
      </c>
      <c r="B598" t="s">
        <v>71</v>
      </c>
      <c r="C598" s="82" t="s">
        <v>101</v>
      </c>
      <c r="D598">
        <v>201602</v>
      </c>
      <c r="E598" s="1">
        <v>42401</v>
      </c>
      <c r="F598" s="1">
        <v>42430</v>
      </c>
      <c r="G598" t="s">
        <v>101</v>
      </c>
      <c r="H598" s="81">
        <v>128</v>
      </c>
      <c r="I598" t="s">
        <v>12</v>
      </c>
      <c r="J598" s="3">
        <v>713.1</v>
      </c>
    </row>
    <row r="599" spans="1:10" x14ac:dyDescent="0.25">
      <c r="A599" t="s">
        <v>84</v>
      </c>
      <c r="B599" t="s">
        <v>71</v>
      </c>
      <c r="C599" s="82" t="s">
        <v>101</v>
      </c>
      <c r="D599">
        <v>201603</v>
      </c>
      <c r="E599" s="1">
        <v>42430</v>
      </c>
      <c r="F599" s="1">
        <v>42460</v>
      </c>
      <c r="G599" t="s">
        <v>101</v>
      </c>
      <c r="H599" s="81">
        <v>133</v>
      </c>
      <c r="I599" t="s">
        <v>12</v>
      </c>
      <c r="J599" s="3">
        <v>720.22</v>
      </c>
    </row>
    <row r="600" spans="1:10" x14ac:dyDescent="0.25">
      <c r="A600" t="s">
        <v>84</v>
      </c>
      <c r="B600" t="s">
        <v>71</v>
      </c>
      <c r="C600" s="82" t="s">
        <v>101</v>
      </c>
      <c r="D600">
        <v>201604</v>
      </c>
      <c r="E600" s="1">
        <v>42460</v>
      </c>
      <c r="F600" s="1">
        <v>42489</v>
      </c>
      <c r="G600" t="s">
        <v>101</v>
      </c>
      <c r="H600" s="81">
        <v>86</v>
      </c>
      <c r="I600" t="s">
        <v>12</v>
      </c>
      <c r="J600" s="3">
        <v>643.75</v>
      </c>
    </row>
    <row r="601" spans="1:10" x14ac:dyDescent="0.25">
      <c r="A601" t="s">
        <v>84</v>
      </c>
      <c r="B601" t="s">
        <v>71</v>
      </c>
      <c r="C601" s="82" t="s">
        <v>101</v>
      </c>
      <c r="D601">
        <v>201605</v>
      </c>
      <c r="E601" s="1">
        <v>42489</v>
      </c>
      <c r="F601" s="1">
        <v>42521</v>
      </c>
      <c r="G601" t="s">
        <v>101</v>
      </c>
      <c r="H601" s="81">
        <v>58</v>
      </c>
      <c r="I601" t="s">
        <v>12</v>
      </c>
      <c r="J601" s="3">
        <v>534.6</v>
      </c>
    </row>
    <row r="602" spans="1:10" x14ac:dyDescent="0.25">
      <c r="A602" t="s">
        <v>84</v>
      </c>
      <c r="B602" t="s">
        <v>71</v>
      </c>
      <c r="C602" s="82" t="s">
        <v>101</v>
      </c>
      <c r="D602">
        <v>201606</v>
      </c>
      <c r="E602" s="1">
        <v>42521</v>
      </c>
      <c r="F602" s="1">
        <v>42550</v>
      </c>
      <c r="G602" t="s">
        <v>101</v>
      </c>
      <c r="H602" s="81">
        <v>66</v>
      </c>
      <c r="I602" t="s">
        <v>12</v>
      </c>
      <c r="J602" s="3">
        <v>719.46</v>
      </c>
    </row>
    <row r="603" spans="1:10" x14ac:dyDescent="0.25">
      <c r="A603" t="s">
        <v>88</v>
      </c>
      <c r="B603" t="s">
        <v>71</v>
      </c>
      <c r="C603" s="82" t="s">
        <v>191</v>
      </c>
      <c r="D603">
        <v>201507</v>
      </c>
      <c r="E603" s="1">
        <v>42185</v>
      </c>
      <c r="F603" s="1">
        <v>42216</v>
      </c>
      <c r="G603" t="s">
        <v>192</v>
      </c>
      <c r="H603" s="81">
        <v>907</v>
      </c>
      <c r="I603" t="s">
        <v>12</v>
      </c>
      <c r="J603" s="3">
        <v>10230.25</v>
      </c>
    </row>
    <row r="604" spans="1:10" x14ac:dyDescent="0.25">
      <c r="A604" t="s">
        <v>88</v>
      </c>
      <c r="B604" t="s">
        <v>71</v>
      </c>
      <c r="C604" s="82" t="s">
        <v>191</v>
      </c>
      <c r="D604">
        <v>201508</v>
      </c>
      <c r="E604" s="1">
        <v>42216</v>
      </c>
      <c r="F604" s="1">
        <v>42243</v>
      </c>
      <c r="G604" t="s">
        <v>192</v>
      </c>
      <c r="H604" s="81">
        <v>899</v>
      </c>
      <c r="I604" t="s">
        <v>12</v>
      </c>
      <c r="J604" s="3">
        <v>10327.39</v>
      </c>
    </row>
    <row r="605" spans="1:10" x14ac:dyDescent="0.25">
      <c r="A605" t="s">
        <v>88</v>
      </c>
      <c r="B605" t="s">
        <v>71</v>
      </c>
      <c r="C605" s="82" t="s">
        <v>191</v>
      </c>
      <c r="D605">
        <v>201509</v>
      </c>
      <c r="E605" s="1">
        <v>42243</v>
      </c>
      <c r="F605" s="1">
        <v>42276</v>
      </c>
      <c r="G605" t="s">
        <v>192</v>
      </c>
      <c r="H605" s="81">
        <v>1098</v>
      </c>
      <c r="I605" t="s">
        <v>12</v>
      </c>
      <c r="J605" s="3">
        <v>12492.74</v>
      </c>
    </row>
    <row r="606" spans="1:10" x14ac:dyDescent="0.25">
      <c r="A606" t="s">
        <v>88</v>
      </c>
      <c r="B606" t="s">
        <v>71</v>
      </c>
      <c r="C606" s="82" t="s">
        <v>191</v>
      </c>
      <c r="D606">
        <v>201510</v>
      </c>
      <c r="E606" s="1">
        <v>42276</v>
      </c>
      <c r="F606" s="1">
        <v>42305</v>
      </c>
      <c r="G606" t="s">
        <v>192</v>
      </c>
      <c r="H606" s="81">
        <v>1241</v>
      </c>
      <c r="I606" t="s">
        <v>12</v>
      </c>
      <c r="J606" s="3">
        <v>10051.49</v>
      </c>
    </row>
    <row r="607" spans="1:10" x14ac:dyDescent="0.25">
      <c r="A607" t="s">
        <v>88</v>
      </c>
      <c r="B607" t="s">
        <v>71</v>
      </c>
      <c r="C607" s="82" t="s">
        <v>191</v>
      </c>
      <c r="D607">
        <v>201511</v>
      </c>
      <c r="E607" s="1">
        <v>42305</v>
      </c>
      <c r="F607" s="1">
        <v>42339</v>
      </c>
      <c r="G607" t="s">
        <v>192</v>
      </c>
      <c r="H607" s="81">
        <v>1425</v>
      </c>
      <c r="I607" t="s">
        <v>12</v>
      </c>
      <c r="J607" s="3">
        <v>9550.82</v>
      </c>
    </row>
    <row r="608" spans="1:10" x14ac:dyDescent="0.25">
      <c r="A608" t="s">
        <v>88</v>
      </c>
      <c r="B608" t="s">
        <v>71</v>
      </c>
      <c r="C608" s="82" t="s">
        <v>191</v>
      </c>
      <c r="D608">
        <v>201512</v>
      </c>
      <c r="E608" s="1">
        <v>42339</v>
      </c>
      <c r="F608" s="1">
        <v>42369</v>
      </c>
      <c r="G608" t="s">
        <v>192</v>
      </c>
      <c r="H608" s="81">
        <v>1486</v>
      </c>
      <c r="I608" t="s">
        <v>12</v>
      </c>
      <c r="J608" s="3">
        <v>9103.17</v>
      </c>
    </row>
    <row r="609" spans="1:10" x14ac:dyDescent="0.25">
      <c r="A609" t="s">
        <v>88</v>
      </c>
      <c r="B609" t="s">
        <v>71</v>
      </c>
      <c r="C609" s="82" t="s">
        <v>191</v>
      </c>
      <c r="D609">
        <v>201601</v>
      </c>
      <c r="E609" s="1">
        <v>42369</v>
      </c>
      <c r="F609" s="1">
        <v>42401</v>
      </c>
      <c r="G609" t="s">
        <v>192</v>
      </c>
      <c r="H609" s="81">
        <v>2244</v>
      </c>
      <c r="I609" t="s">
        <v>12</v>
      </c>
      <c r="J609" s="3">
        <v>11940.95</v>
      </c>
    </row>
    <row r="610" spans="1:10" x14ac:dyDescent="0.25">
      <c r="A610" t="s">
        <v>88</v>
      </c>
      <c r="B610" t="s">
        <v>71</v>
      </c>
      <c r="C610" s="82" t="s">
        <v>191</v>
      </c>
      <c r="D610">
        <v>201602</v>
      </c>
      <c r="E610" s="1">
        <v>42401</v>
      </c>
      <c r="F610" s="1">
        <v>42430</v>
      </c>
      <c r="G610" t="s">
        <v>192</v>
      </c>
      <c r="H610" s="81">
        <v>1753</v>
      </c>
      <c r="I610" t="s">
        <v>12</v>
      </c>
      <c r="J610" s="3">
        <v>9766.14</v>
      </c>
    </row>
    <row r="611" spans="1:10" x14ac:dyDescent="0.25">
      <c r="A611" t="s">
        <v>88</v>
      </c>
      <c r="B611" t="s">
        <v>71</v>
      </c>
      <c r="C611" s="82" t="s">
        <v>191</v>
      </c>
      <c r="D611">
        <v>201603</v>
      </c>
      <c r="E611" s="1">
        <v>42430</v>
      </c>
      <c r="F611" s="1">
        <v>42460</v>
      </c>
      <c r="G611" t="s">
        <v>192</v>
      </c>
      <c r="H611" s="81">
        <v>1824</v>
      </c>
      <c r="I611" t="s">
        <v>12</v>
      </c>
      <c r="J611" s="3">
        <v>9877.32</v>
      </c>
    </row>
    <row r="612" spans="1:10" x14ac:dyDescent="0.25">
      <c r="A612" t="s">
        <v>88</v>
      </c>
      <c r="B612" t="s">
        <v>71</v>
      </c>
      <c r="C612" s="82" t="s">
        <v>191</v>
      </c>
      <c r="D612">
        <v>201604</v>
      </c>
      <c r="E612" s="1">
        <v>42460</v>
      </c>
      <c r="F612" s="1">
        <v>42489</v>
      </c>
      <c r="G612" t="s">
        <v>192</v>
      </c>
      <c r="H612" s="81">
        <v>1184</v>
      </c>
      <c r="I612" t="s">
        <v>12</v>
      </c>
      <c r="J612" s="3">
        <v>8862.73</v>
      </c>
    </row>
    <row r="613" spans="1:10" x14ac:dyDescent="0.25">
      <c r="A613" t="s">
        <v>88</v>
      </c>
      <c r="B613" t="s">
        <v>71</v>
      </c>
      <c r="C613" s="82" t="s">
        <v>191</v>
      </c>
      <c r="D613">
        <v>201605</v>
      </c>
      <c r="E613" s="1">
        <v>42489</v>
      </c>
      <c r="F613" s="1">
        <v>42521</v>
      </c>
      <c r="G613" t="s">
        <v>192</v>
      </c>
      <c r="H613" s="81">
        <v>790</v>
      </c>
      <c r="I613" t="s">
        <v>12</v>
      </c>
      <c r="J613" s="3">
        <v>7281.56</v>
      </c>
    </row>
    <row r="614" spans="1:10" x14ac:dyDescent="0.25">
      <c r="A614" t="s">
        <v>88</v>
      </c>
      <c r="B614" t="s">
        <v>71</v>
      </c>
      <c r="C614" s="82" t="s">
        <v>191</v>
      </c>
      <c r="D614">
        <v>201606</v>
      </c>
      <c r="E614" s="1">
        <v>42521</v>
      </c>
      <c r="F614" s="1">
        <v>42550</v>
      </c>
      <c r="G614" t="s">
        <v>192</v>
      </c>
      <c r="H614" s="81">
        <v>909</v>
      </c>
      <c r="I614" t="s">
        <v>12</v>
      </c>
      <c r="J614" s="3">
        <v>9908.9599999999991</v>
      </c>
    </row>
    <row r="615" spans="1:10" x14ac:dyDescent="0.25">
      <c r="A615" t="s">
        <v>53</v>
      </c>
      <c r="B615" t="s">
        <v>71</v>
      </c>
      <c r="C615" s="82" t="s">
        <v>78</v>
      </c>
      <c r="D615">
        <v>201507</v>
      </c>
      <c r="E615" s="1">
        <v>42185</v>
      </c>
      <c r="F615" s="1">
        <v>42216</v>
      </c>
      <c r="G615" t="s">
        <v>78</v>
      </c>
      <c r="H615" s="81">
        <v>19</v>
      </c>
      <c r="I615" t="s">
        <v>12</v>
      </c>
      <c r="J615" s="3">
        <v>214.31</v>
      </c>
    </row>
    <row r="616" spans="1:10" x14ac:dyDescent="0.25">
      <c r="A616" t="s">
        <v>53</v>
      </c>
      <c r="B616" t="s">
        <v>71</v>
      </c>
      <c r="C616" s="82" t="s">
        <v>78</v>
      </c>
      <c r="D616">
        <v>201508</v>
      </c>
      <c r="E616" s="1">
        <v>42216</v>
      </c>
      <c r="F616" s="1">
        <v>42243</v>
      </c>
      <c r="G616" t="s">
        <v>78</v>
      </c>
      <c r="H616" s="81">
        <v>19</v>
      </c>
      <c r="I616" t="s">
        <v>12</v>
      </c>
      <c r="J616" s="3">
        <v>218.27</v>
      </c>
    </row>
    <row r="617" spans="1:10" x14ac:dyDescent="0.25">
      <c r="A617" t="s">
        <v>53</v>
      </c>
      <c r="B617" t="s">
        <v>71</v>
      </c>
      <c r="C617" s="82" t="s">
        <v>78</v>
      </c>
      <c r="D617">
        <v>201509</v>
      </c>
      <c r="E617" s="1">
        <v>42243</v>
      </c>
      <c r="F617" s="1">
        <v>42276</v>
      </c>
      <c r="G617" t="s">
        <v>78</v>
      </c>
      <c r="H617" s="81">
        <v>23</v>
      </c>
      <c r="I617" t="s">
        <v>12</v>
      </c>
      <c r="J617" s="3">
        <v>261.69</v>
      </c>
    </row>
    <row r="618" spans="1:10" x14ac:dyDescent="0.25">
      <c r="A618" t="s">
        <v>53</v>
      </c>
      <c r="B618" t="s">
        <v>71</v>
      </c>
      <c r="C618" s="82" t="s">
        <v>78</v>
      </c>
      <c r="D618">
        <v>201510</v>
      </c>
      <c r="E618" s="1">
        <v>42276</v>
      </c>
      <c r="F618" s="1">
        <v>42305</v>
      </c>
      <c r="G618" t="s">
        <v>78</v>
      </c>
      <c r="H618" s="81">
        <v>26</v>
      </c>
      <c r="I618" t="s">
        <v>12</v>
      </c>
      <c r="J618" s="3">
        <v>210.59</v>
      </c>
    </row>
    <row r="619" spans="1:10" x14ac:dyDescent="0.25">
      <c r="A619" t="s">
        <v>53</v>
      </c>
      <c r="B619" t="s">
        <v>71</v>
      </c>
      <c r="C619" s="82" t="s">
        <v>78</v>
      </c>
      <c r="D619">
        <v>201511</v>
      </c>
      <c r="E619" s="1">
        <v>42305</v>
      </c>
      <c r="F619" s="1">
        <v>42339</v>
      </c>
      <c r="G619" t="s">
        <v>78</v>
      </c>
      <c r="H619" s="81">
        <v>30</v>
      </c>
      <c r="I619" t="s">
        <v>12</v>
      </c>
      <c r="J619" s="3">
        <v>201.07</v>
      </c>
    </row>
    <row r="620" spans="1:10" x14ac:dyDescent="0.25">
      <c r="A620" t="s">
        <v>53</v>
      </c>
      <c r="B620" t="s">
        <v>71</v>
      </c>
      <c r="C620" s="82" t="s">
        <v>78</v>
      </c>
      <c r="D620">
        <v>201512</v>
      </c>
      <c r="E620" s="1">
        <v>42339</v>
      </c>
      <c r="F620" s="1">
        <v>42369</v>
      </c>
      <c r="G620" t="s">
        <v>78</v>
      </c>
      <c r="H620" s="81">
        <v>32</v>
      </c>
      <c r="I620" t="s">
        <v>12</v>
      </c>
      <c r="J620" s="3">
        <v>196.03</v>
      </c>
    </row>
    <row r="621" spans="1:10" x14ac:dyDescent="0.25">
      <c r="A621" t="s">
        <v>53</v>
      </c>
      <c r="B621" t="s">
        <v>71</v>
      </c>
      <c r="C621" s="82" t="s">
        <v>78</v>
      </c>
      <c r="D621">
        <v>201601</v>
      </c>
      <c r="E621" s="1">
        <v>42369</v>
      </c>
      <c r="F621" s="1">
        <v>42401</v>
      </c>
      <c r="G621" t="s">
        <v>78</v>
      </c>
      <c r="H621" s="81">
        <v>48</v>
      </c>
      <c r="I621" t="s">
        <v>12</v>
      </c>
      <c r="J621" s="3">
        <v>255.42</v>
      </c>
    </row>
    <row r="622" spans="1:10" x14ac:dyDescent="0.25">
      <c r="A622" t="s">
        <v>53</v>
      </c>
      <c r="B622" t="s">
        <v>71</v>
      </c>
      <c r="C622" s="82" t="s">
        <v>78</v>
      </c>
      <c r="D622">
        <v>201602</v>
      </c>
      <c r="E622" s="1">
        <v>42401</v>
      </c>
      <c r="F622" s="1">
        <v>42430</v>
      </c>
      <c r="G622" t="s">
        <v>78</v>
      </c>
      <c r="H622" s="81">
        <v>37</v>
      </c>
      <c r="I622" t="s">
        <v>12</v>
      </c>
      <c r="J622" s="3">
        <v>206.13</v>
      </c>
    </row>
    <row r="623" spans="1:10" x14ac:dyDescent="0.25">
      <c r="A623" t="s">
        <v>53</v>
      </c>
      <c r="B623" t="s">
        <v>71</v>
      </c>
      <c r="C623" s="82" t="s">
        <v>78</v>
      </c>
      <c r="D623">
        <v>201603</v>
      </c>
      <c r="E623" s="1">
        <v>42430</v>
      </c>
      <c r="F623" s="1">
        <v>42460</v>
      </c>
      <c r="G623" t="s">
        <v>78</v>
      </c>
      <c r="H623" s="81">
        <v>39</v>
      </c>
      <c r="I623" t="s">
        <v>12</v>
      </c>
      <c r="J623" s="3">
        <v>211.19</v>
      </c>
    </row>
    <row r="624" spans="1:10" x14ac:dyDescent="0.25">
      <c r="A624" t="s">
        <v>53</v>
      </c>
      <c r="B624" t="s">
        <v>71</v>
      </c>
      <c r="C624" s="82" t="s">
        <v>78</v>
      </c>
      <c r="D624">
        <v>201604</v>
      </c>
      <c r="E624" s="1">
        <v>42460</v>
      </c>
      <c r="F624" s="1">
        <v>42489</v>
      </c>
      <c r="G624" t="s">
        <v>78</v>
      </c>
      <c r="H624" s="81">
        <v>25</v>
      </c>
      <c r="I624" t="s">
        <v>12</v>
      </c>
      <c r="J624" s="3">
        <v>187.14</v>
      </c>
    </row>
    <row r="625" spans="1:10" x14ac:dyDescent="0.25">
      <c r="A625" t="s">
        <v>53</v>
      </c>
      <c r="B625" t="s">
        <v>71</v>
      </c>
      <c r="C625" s="82" t="s">
        <v>78</v>
      </c>
      <c r="D625">
        <v>201605</v>
      </c>
      <c r="E625" s="1">
        <v>42489</v>
      </c>
      <c r="F625" s="1">
        <v>42521</v>
      </c>
      <c r="G625" t="s">
        <v>78</v>
      </c>
      <c r="H625" s="81">
        <v>17</v>
      </c>
      <c r="I625" t="s">
        <v>12</v>
      </c>
      <c r="J625" s="3">
        <v>156.69</v>
      </c>
    </row>
    <row r="626" spans="1:10" x14ac:dyDescent="0.25">
      <c r="A626" t="s">
        <v>53</v>
      </c>
      <c r="B626" t="s">
        <v>71</v>
      </c>
      <c r="C626" s="82" t="s">
        <v>78</v>
      </c>
      <c r="D626">
        <v>201606</v>
      </c>
      <c r="E626" s="1">
        <v>42521</v>
      </c>
      <c r="F626" s="1">
        <v>42550</v>
      </c>
      <c r="G626" t="s">
        <v>78</v>
      </c>
      <c r="H626" s="81">
        <v>19</v>
      </c>
      <c r="I626" t="s">
        <v>12</v>
      </c>
      <c r="J626" s="3">
        <v>207.12</v>
      </c>
    </row>
    <row r="627" spans="1:10" x14ac:dyDescent="0.25">
      <c r="A627" t="s">
        <v>136</v>
      </c>
      <c r="B627" t="s">
        <v>71</v>
      </c>
      <c r="C627" s="82" t="s">
        <v>195</v>
      </c>
      <c r="D627">
        <v>201507</v>
      </c>
      <c r="E627" s="1">
        <v>42185</v>
      </c>
      <c r="F627" s="1">
        <v>42216</v>
      </c>
      <c r="G627" t="s">
        <v>195</v>
      </c>
      <c r="H627" s="81">
        <v>748</v>
      </c>
      <c r="I627" t="s">
        <v>12</v>
      </c>
      <c r="J627" s="3">
        <v>8436.85</v>
      </c>
    </row>
    <row r="628" spans="1:10" x14ac:dyDescent="0.25">
      <c r="A628" t="s">
        <v>136</v>
      </c>
      <c r="B628" t="s">
        <v>71</v>
      </c>
      <c r="C628" s="82" t="s">
        <v>195</v>
      </c>
      <c r="D628">
        <v>201508</v>
      </c>
      <c r="E628" s="1">
        <v>42216</v>
      </c>
      <c r="F628" s="1">
        <v>42243</v>
      </c>
      <c r="G628" t="s">
        <v>195</v>
      </c>
      <c r="H628" s="81">
        <v>741</v>
      </c>
      <c r="I628" t="s">
        <v>12</v>
      </c>
      <c r="J628" s="3">
        <v>8512.34</v>
      </c>
    </row>
    <row r="629" spans="1:10" x14ac:dyDescent="0.25">
      <c r="A629" t="s">
        <v>136</v>
      </c>
      <c r="B629" t="s">
        <v>71</v>
      </c>
      <c r="C629" s="82" t="s">
        <v>195</v>
      </c>
      <c r="D629">
        <v>201509</v>
      </c>
      <c r="E629" s="1">
        <v>42243</v>
      </c>
      <c r="F629" s="1">
        <v>42276</v>
      </c>
      <c r="G629" t="s">
        <v>195</v>
      </c>
      <c r="H629" s="81">
        <v>905</v>
      </c>
      <c r="I629" t="s">
        <v>12</v>
      </c>
      <c r="J629" s="3">
        <v>10296.84</v>
      </c>
    </row>
    <row r="630" spans="1:10" x14ac:dyDescent="0.25">
      <c r="A630" t="s">
        <v>136</v>
      </c>
      <c r="B630" t="s">
        <v>71</v>
      </c>
      <c r="C630" s="82" t="s">
        <v>195</v>
      </c>
      <c r="D630">
        <v>201510</v>
      </c>
      <c r="E630" s="1">
        <v>42276</v>
      </c>
      <c r="F630" s="1">
        <v>42305</v>
      </c>
      <c r="G630" t="s">
        <v>195</v>
      </c>
      <c r="H630" s="81">
        <v>1024</v>
      </c>
      <c r="I630" t="s">
        <v>12</v>
      </c>
      <c r="J630" s="3">
        <v>8293.9</v>
      </c>
    </row>
    <row r="631" spans="1:10" x14ac:dyDescent="0.25">
      <c r="A631" t="s">
        <v>136</v>
      </c>
      <c r="B631" t="s">
        <v>71</v>
      </c>
      <c r="C631" s="82" t="s">
        <v>195</v>
      </c>
      <c r="D631">
        <v>201511</v>
      </c>
      <c r="E631" s="1">
        <v>42305</v>
      </c>
      <c r="F631" s="1">
        <v>42339</v>
      </c>
      <c r="G631" t="s">
        <v>195</v>
      </c>
      <c r="H631" s="81">
        <v>1175</v>
      </c>
      <c r="I631" t="s">
        <v>12</v>
      </c>
      <c r="J631" s="3">
        <v>7875.24</v>
      </c>
    </row>
    <row r="632" spans="1:10" x14ac:dyDescent="0.25">
      <c r="A632" t="s">
        <v>136</v>
      </c>
      <c r="B632" t="s">
        <v>71</v>
      </c>
      <c r="C632" s="82" t="s">
        <v>195</v>
      </c>
      <c r="D632">
        <v>201512</v>
      </c>
      <c r="E632" s="1">
        <v>42339</v>
      </c>
      <c r="F632" s="1">
        <v>42369</v>
      </c>
      <c r="G632" t="s">
        <v>195</v>
      </c>
      <c r="H632" s="81">
        <v>1225</v>
      </c>
      <c r="I632" t="s">
        <v>12</v>
      </c>
      <c r="J632" s="3">
        <v>7504.3</v>
      </c>
    </row>
    <row r="633" spans="1:10" x14ac:dyDescent="0.25">
      <c r="A633" t="s">
        <v>136</v>
      </c>
      <c r="B633" t="s">
        <v>71</v>
      </c>
      <c r="C633" s="82" t="s">
        <v>195</v>
      </c>
      <c r="D633">
        <v>201601</v>
      </c>
      <c r="E633" s="1">
        <v>42369</v>
      </c>
      <c r="F633" s="1">
        <v>42401</v>
      </c>
      <c r="G633" t="s">
        <v>195</v>
      </c>
      <c r="H633" s="81">
        <v>1850</v>
      </c>
      <c r="I633" t="s">
        <v>12</v>
      </c>
      <c r="J633" s="3">
        <v>9844.36</v>
      </c>
    </row>
    <row r="634" spans="1:10" x14ac:dyDescent="0.25">
      <c r="A634" t="s">
        <v>136</v>
      </c>
      <c r="B634" t="s">
        <v>71</v>
      </c>
      <c r="C634" s="82" t="s">
        <v>195</v>
      </c>
      <c r="D634">
        <v>201602</v>
      </c>
      <c r="E634" s="1">
        <v>42401</v>
      </c>
      <c r="F634" s="1">
        <v>42430</v>
      </c>
      <c r="G634" t="s">
        <v>195</v>
      </c>
      <c r="H634" s="81">
        <v>1446</v>
      </c>
      <c r="I634" t="s">
        <v>12</v>
      </c>
      <c r="J634" s="3">
        <v>8055.82</v>
      </c>
    </row>
    <row r="635" spans="1:10" x14ac:dyDescent="0.25">
      <c r="A635" t="s">
        <v>136</v>
      </c>
      <c r="B635" t="s">
        <v>71</v>
      </c>
      <c r="C635" s="82" t="s">
        <v>195</v>
      </c>
      <c r="D635">
        <v>201603</v>
      </c>
      <c r="E635" s="1">
        <v>42430</v>
      </c>
      <c r="F635" s="1">
        <v>42460</v>
      </c>
      <c r="G635" t="s">
        <v>195</v>
      </c>
      <c r="H635" s="81">
        <v>1504</v>
      </c>
      <c r="I635" t="s">
        <v>12</v>
      </c>
      <c r="J635" s="3">
        <v>8144.46</v>
      </c>
    </row>
    <row r="636" spans="1:10" x14ac:dyDescent="0.25">
      <c r="A636" t="s">
        <v>136</v>
      </c>
      <c r="B636" t="s">
        <v>71</v>
      </c>
      <c r="C636" s="82" t="s">
        <v>195</v>
      </c>
      <c r="D636">
        <v>201604</v>
      </c>
      <c r="E636" s="1">
        <v>42460</v>
      </c>
      <c r="F636" s="1">
        <v>42489</v>
      </c>
      <c r="G636" t="s">
        <v>195</v>
      </c>
      <c r="H636" s="81">
        <v>976</v>
      </c>
      <c r="I636" t="s">
        <v>12</v>
      </c>
      <c r="J636" s="3">
        <v>7305.77</v>
      </c>
    </row>
    <row r="637" spans="1:10" x14ac:dyDescent="0.25">
      <c r="A637" t="s">
        <v>136</v>
      </c>
      <c r="B637" t="s">
        <v>71</v>
      </c>
      <c r="C637" s="82" t="s">
        <v>195</v>
      </c>
      <c r="D637">
        <v>201605</v>
      </c>
      <c r="E637" s="1">
        <v>42489</v>
      </c>
      <c r="F637" s="1">
        <v>42521</v>
      </c>
      <c r="G637" t="s">
        <v>195</v>
      </c>
      <c r="H637" s="81">
        <v>651</v>
      </c>
      <c r="I637" t="s">
        <v>12</v>
      </c>
      <c r="J637" s="3">
        <v>6000.38</v>
      </c>
    </row>
    <row r="638" spans="1:10" x14ac:dyDescent="0.25">
      <c r="A638" t="s">
        <v>136</v>
      </c>
      <c r="B638" t="s">
        <v>71</v>
      </c>
      <c r="C638" s="82" t="s">
        <v>195</v>
      </c>
      <c r="D638">
        <v>201606</v>
      </c>
      <c r="E638" s="1">
        <v>42521</v>
      </c>
      <c r="F638" s="1">
        <v>42550</v>
      </c>
      <c r="G638" t="s">
        <v>195</v>
      </c>
      <c r="H638" s="81">
        <v>749</v>
      </c>
      <c r="I638" t="s">
        <v>12</v>
      </c>
      <c r="J638" s="3">
        <v>8164.81</v>
      </c>
    </row>
    <row r="639" spans="1:10" x14ac:dyDescent="0.25">
      <c r="A639" t="s">
        <v>196</v>
      </c>
      <c r="B639" t="s">
        <v>71</v>
      </c>
      <c r="C639" s="82" t="s">
        <v>197</v>
      </c>
      <c r="D639">
        <v>201507</v>
      </c>
      <c r="E639" s="1">
        <v>42185</v>
      </c>
      <c r="F639" s="1">
        <v>42216</v>
      </c>
      <c r="G639" t="s">
        <v>197</v>
      </c>
      <c r="H639" s="81">
        <v>69</v>
      </c>
      <c r="I639" t="s">
        <v>12</v>
      </c>
      <c r="J639" s="3">
        <v>778.27</v>
      </c>
    </row>
    <row r="640" spans="1:10" x14ac:dyDescent="0.25">
      <c r="A640" t="s">
        <v>196</v>
      </c>
      <c r="B640" t="s">
        <v>71</v>
      </c>
      <c r="C640" s="82" t="s">
        <v>197</v>
      </c>
      <c r="D640">
        <v>201508</v>
      </c>
      <c r="E640" s="1">
        <v>42216</v>
      </c>
      <c r="F640" s="1">
        <v>42243</v>
      </c>
      <c r="G640" t="s">
        <v>197</v>
      </c>
      <c r="H640" s="81">
        <v>69</v>
      </c>
      <c r="I640" t="s">
        <v>12</v>
      </c>
      <c r="J640" s="3">
        <v>792.65</v>
      </c>
    </row>
    <row r="641" spans="1:10" x14ac:dyDescent="0.25">
      <c r="A641" t="s">
        <v>196</v>
      </c>
      <c r="B641" t="s">
        <v>71</v>
      </c>
      <c r="C641" s="82" t="s">
        <v>197</v>
      </c>
      <c r="D641">
        <v>201509</v>
      </c>
      <c r="E641" s="1">
        <v>42243</v>
      </c>
      <c r="F641" s="1">
        <v>42276</v>
      </c>
      <c r="G641" t="s">
        <v>197</v>
      </c>
      <c r="H641" s="81">
        <v>84</v>
      </c>
      <c r="I641" t="s">
        <v>12</v>
      </c>
      <c r="J641" s="3">
        <v>955.73</v>
      </c>
    </row>
    <row r="642" spans="1:10" x14ac:dyDescent="0.25">
      <c r="A642" t="s">
        <v>196</v>
      </c>
      <c r="B642" t="s">
        <v>71</v>
      </c>
      <c r="C642" s="82" t="s">
        <v>197</v>
      </c>
      <c r="D642">
        <v>201510</v>
      </c>
      <c r="E642" s="1">
        <v>42276</v>
      </c>
      <c r="F642" s="1">
        <v>42305</v>
      </c>
      <c r="G642" t="s">
        <v>197</v>
      </c>
      <c r="H642" s="81">
        <v>95</v>
      </c>
      <c r="I642" t="s">
        <v>12</v>
      </c>
      <c r="J642" s="3">
        <v>769.45</v>
      </c>
    </row>
    <row r="643" spans="1:10" x14ac:dyDescent="0.25">
      <c r="A643" t="s">
        <v>196</v>
      </c>
      <c r="B643" t="s">
        <v>71</v>
      </c>
      <c r="C643" s="82" t="s">
        <v>197</v>
      </c>
      <c r="D643">
        <v>201511</v>
      </c>
      <c r="E643" s="1">
        <v>42305</v>
      </c>
      <c r="F643" s="1">
        <v>42339</v>
      </c>
      <c r="G643" t="s">
        <v>197</v>
      </c>
      <c r="H643" s="81">
        <v>109</v>
      </c>
      <c r="I643" t="s">
        <v>12</v>
      </c>
      <c r="J643" s="3">
        <v>730.55</v>
      </c>
    </row>
    <row r="644" spans="1:10" x14ac:dyDescent="0.25">
      <c r="A644" t="s">
        <v>196</v>
      </c>
      <c r="B644" t="s">
        <v>71</v>
      </c>
      <c r="C644" s="82" t="s">
        <v>197</v>
      </c>
      <c r="D644">
        <v>201512</v>
      </c>
      <c r="E644" s="1">
        <v>42339</v>
      </c>
      <c r="F644" s="1">
        <v>42369</v>
      </c>
      <c r="G644" t="s">
        <v>197</v>
      </c>
      <c r="H644" s="81">
        <v>113</v>
      </c>
      <c r="I644" t="s">
        <v>12</v>
      </c>
      <c r="J644" s="3">
        <v>692.23</v>
      </c>
    </row>
    <row r="645" spans="1:10" x14ac:dyDescent="0.25">
      <c r="A645" t="s">
        <v>196</v>
      </c>
      <c r="B645" t="s">
        <v>71</v>
      </c>
      <c r="C645" s="82" t="s">
        <v>197</v>
      </c>
      <c r="D645">
        <v>201601</v>
      </c>
      <c r="E645" s="1">
        <v>42369</v>
      </c>
      <c r="F645" s="1">
        <v>42401</v>
      </c>
      <c r="G645" t="s">
        <v>197</v>
      </c>
      <c r="H645" s="81">
        <v>171</v>
      </c>
      <c r="I645" t="s">
        <v>12</v>
      </c>
      <c r="J645" s="3">
        <v>909.94</v>
      </c>
    </row>
    <row r="646" spans="1:10" x14ac:dyDescent="0.25">
      <c r="A646" t="s">
        <v>196</v>
      </c>
      <c r="B646" t="s">
        <v>71</v>
      </c>
      <c r="C646" s="82" t="s">
        <v>197</v>
      </c>
      <c r="D646">
        <v>201602</v>
      </c>
      <c r="E646" s="1">
        <v>42401</v>
      </c>
      <c r="F646" s="1">
        <v>42430</v>
      </c>
      <c r="G646" t="s">
        <v>197</v>
      </c>
      <c r="H646" s="81">
        <v>134</v>
      </c>
      <c r="I646" t="s">
        <v>12</v>
      </c>
      <c r="J646" s="3">
        <v>746.53</v>
      </c>
    </row>
    <row r="647" spans="1:10" x14ac:dyDescent="0.25">
      <c r="A647" t="s">
        <v>196</v>
      </c>
      <c r="B647" t="s">
        <v>71</v>
      </c>
      <c r="C647" s="82" t="s">
        <v>197</v>
      </c>
      <c r="D647">
        <v>201603</v>
      </c>
      <c r="E647" s="1">
        <v>42430</v>
      </c>
      <c r="F647" s="1">
        <v>42460</v>
      </c>
      <c r="G647" t="s">
        <v>197</v>
      </c>
      <c r="H647" s="81">
        <v>139</v>
      </c>
      <c r="I647" t="s">
        <v>12</v>
      </c>
      <c r="J647" s="3">
        <v>752.71</v>
      </c>
    </row>
    <row r="648" spans="1:10" x14ac:dyDescent="0.25">
      <c r="A648" t="s">
        <v>196</v>
      </c>
      <c r="B648" t="s">
        <v>71</v>
      </c>
      <c r="C648" s="82" t="s">
        <v>197</v>
      </c>
      <c r="D648">
        <v>201604</v>
      </c>
      <c r="E648" s="1">
        <v>42460</v>
      </c>
      <c r="F648" s="1">
        <v>42489</v>
      </c>
      <c r="G648" t="s">
        <v>197</v>
      </c>
      <c r="H648" s="81">
        <v>90</v>
      </c>
      <c r="I648" t="s">
        <v>12</v>
      </c>
      <c r="J648" s="3">
        <v>673.69</v>
      </c>
    </row>
    <row r="649" spans="1:10" x14ac:dyDescent="0.25">
      <c r="A649" t="s">
        <v>196</v>
      </c>
      <c r="B649" t="s">
        <v>71</v>
      </c>
      <c r="C649" s="82" t="s">
        <v>197</v>
      </c>
      <c r="D649">
        <v>201605</v>
      </c>
      <c r="E649" s="1">
        <v>42489</v>
      </c>
      <c r="F649" s="1">
        <v>42521</v>
      </c>
      <c r="G649" t="s">
        <v>197</v>
      </c>
      <c r="H649" s="81">
        <v>60</v>
      </c>
      <c r="I649" t="s">
        <v>12</v>
      </c>
      <c r="J649" s="3">
        <v>553.03</v>
      </c>
    </row>
    <row r="650" spans="1:10" x14ac:dyDescent="0.25">
      <c r="A650" t="s">
        <v>196</v>
      </c>
      <c r="B650" t="s">
        <v>71</v>
      </c>
      <c r="C650" s="82" t="s">
        <v>197</v>
      </c>
      <c r="D650">
        <v>201606</v>
      </c>
      <c r="E650" s="1">
        <v>42521</v>
      </c>
      <c r="F650" s="1">
        <v>42550</v>
      </c>
      <c r="G650" t="s">
        <v>197</v>
      </c>
      <c r="H650" s="81">
        <v>69</v>
      </c>
      <c r="I650" t="s">
        <v>12</v>
      </c>
      <c r="J650" s="3">
        <v>752.17</v>
      </c>
    </row>
    <row r="651" spans="1:10" x14ac:dyDescent="0.25">
      <c r="A651" t="s">
        <v>159</v>
      </c>
      <c r="B651" t="s">
        <v>71</v>
      </c>
      <c r="C651" s="82" t="s">
        <v>236</v>
      </c>
      <c r="D651">
        <v>201507</v>
      </c>
      <c r="E651" s="1">
        <v>42185</v>
      </c>
      <c r="F651" s="1">
        <v>42216</v>
      </c>
      <c r="G651" t="s">
        <v>237</v>
      </c>
      <c r="H651" s="81">
        <v>142</v>
      </c>
      <c r="I651" t="s">
        <v>12</v>
      </c>
      <c r="J651" s="3">
        <v>1601.65</v>
      </c>
    </row>
    <row r="652" spans="1:10" x14ac:dyDescent="0.25">
      <c r="A652" t="s">
        <v>159</v>
      </c>
      <c r="B652" t="s">
        <v>71</v>
      </c>
      <c r="C652" s="82" t="s">
        <v>236</v>
      </c>
      <c r="D652">
        <v>201508</v>
      </c>
      <c r="E652" s="1">
        <v>42216</v>
      </c>
      <c r="F652" s="1">
        <v>42243</v>
      </c>
      <c r="G652" t="s">
        <v>237</v>
      </c>
      <c r="H652" s="81">
        <v>141</v>
      </c>
      <c r="I652" t="s">
        <v>12</v>
      </c>
      <c r="J652" s="3">
        <v>1619.76</v>
      </c>
    </row>
    <row r="653" spans="1:10" x14ac:dyDescent="0.25">
      <c r="A653" t="s">
        <v>159</v>
      </c>
      <c r="B653" t="s">
        <v>71</v>
      </c>
      <c r="C653" s="82" t="s">
        <v>236</v>
      </c>
      <c r="D653">
        <v>201509</v>
      </c>
      <c r="E653" s="1">
        <v>42243</v>
      </c>
      <c r="F653" s="1">
        <v>42276</v>
      </c>
      <c r="G653" t="s">
        <v>237</v>
      </c>
      <c r="H653" s="81">
        <v>172</v>
      </c>
      <c r="I653" t="s">
        <v>12</v>
      </c>
      <c r="J653" s="3">
        <v>1956.97</v>
      </c>
    </row>
    <row r="654" spans="1:10" x14ac:dyDescent="0.25">
      <c r="A654" t="s">
        <v>159</v>
      </c>
      <c r="B654" t="s">
        <v>71</v>
      </c>
      <c r="C654" s="82" t="s">
        <v>236</v>
      </c>
      <c r="D654">
        <v>201510</v>
      </c>
      <c r="E654" s="1">
        <v>42276</v>
      </c>
      <c r="F654" s="1">
        <v>42305</v>
      </c>
      <c r="G654" t="s">
        <v>237</v>
      </c>
      <c r="H654" s="81">
        <v>195</v>
      </c>
      <c r="I654" t="s">
        <v>12</v>
      </c>
      <c r="J654" s="3">
        <v>1579.4</v>
      </c>
    </row>
    <row r="655" spans="1:10" x14ac:dyDescent="0.25">
      <c r="A655" t="s">
        <v>159</v>
      </c>
      <c r="B655" t="s">
        <v>71</v>
      </c>
      <c r="C655" s="82" t="s">
        <v>236</v>
      </c>
      <c r="D655">
        <v>201511</v>
      </c>
      <c r="E655" s="1">
        <v>42305</v>
      </c>
      <c r="F655" s="1">
        <v>42339</v>
      </c>
      <c r="G655" t="s">
        <v>237</v>
      </c>
      <c r="H655" s="81">
        <v>223</v>
      </c>
      <c r="I655" t="s">
        <v>12</v>
      </c>
      <c r="J655" s="3">
        <v>1494.62</v>
      </c>
    </row>
    <row r="656" spans="1:10" x14ac:dyDescent="0.25">
      <c r="A656" t="s">
        <v>159</v>
      </c>
      <c r="B656" t="s">
        <v>71</v>
      </c>
      <c r="C656" s="82" t="s">
        <v>236</v>
      </c>
      <c r="D656">
        <v>201512</v>
      </c>
      <c r="E656" s="1">
        <v>42339</v>
      </c>
      <c r="F656" s="1">
        <v>42369</v>
      </c>
      <c r="G656" t="s">
        <v>237</v>
      </c>
      <c r="H656" s="81">
        <v>233</v>
      </c>
      <c r="I656" t="s">
        <v>12</v>
      </c>
      <c r="J656" s="3">
        <v>1427.35</v>
      </c>
    </row>
    <row r="657" spans="1:10" x14ac:dyDescent="0.25">
      <c r="A657" t="s">
        <v>159</v>
      </c>
      <c r="B657" t="s">
        <v>71</v>
      </c>
      <c r="C657" s="82" t="s">
        <v>236</v>
      </c>
      <c r="D657">
        <v>201601</v>
      </c>
      <c r="E657" s="1">
        <v>42369</v>
      </c>
      <c r="F657" s="1">
        <v>42401</v>
      </c>
      <c r="G657" t="s">
        <v>237</v>
      </c>
      <c r="H657" s="81">
        <v>352</v>
      </c>
      <c r="I657" t="s">
        <v>12</v>
      </c>
      <c r="J657" s="3">
        <v>1873.09</v>
      </c>
    </row>
    <row r="658" spans="1:10" x14ac:dyDescent="0.25">
      <c r="A658" t="s">
        <v>159</v>
      </c>
      <c r="B658" t="s">
        <v>71</v>
      </c>
      <c r="C658" s="82" t="s">
        <v>236</v>
      </c>
      <c r="D658">
        <v>201602</v>
      </c>
      <c r="E658" s="1">
        <v>42401</v>
      </c>
      <c r="F658" s="1">
        <v>42430</v>
      </c>
      <c r="G658" t="s">
        <v>237</v>
      </c>
      <c r="H658" s="81">
        <v>275</v>
      </c>
      <c r="I658" t="s">
        <v>12</v>
      </c>
      <c r="J658" s="3">
        <v>1532.05</v>
      </c>
    </row>
    <row r="659" spans="1:10" x14ac:dyDescent="0.25">
      <c r="A659" t="s">
        <v>159</v>
      </c>
      <c r="B659" t="s">
        <v>71</v>
      </c>
      <c r="C659" s="82" t="s">
        <v>236</v>
      </c>
      <c r="D659">
        <v>201603</v>
      </c>
      <c r="E659" s="1">
        <v>42430</v>
      </c>
      <c r="F659" s="1">
        <v>42460</v>
      </c>
      <c r="G659" t="s">
        <v>237</v>
      </c>
      <c r="H659" s="81">
        <v>286</v>
      </c>
      <c r="I659" t="s">
        <v>12</v>
      </c>
      <c r="J659" s="3">
        <v>1548.75</v>
      </c>
    </row>
    <row r="660" spans="1:10" x14ac:dyDescent="0.25">
      <c r="A660" t="s">
        <v>159</v>
      </c>
      <c r="B660" t="s">
        <v>71</v>
      </c>
      <c r="C660" s="82" t="s">
        <v>236</v>
      </c>
      <c r="D660">
        <v>201604</v>
      </c>
      <c r="E660" s="1">
        <v>42460</v>
      </c>
      <c r="F660" s="1">
        <v>42489</v>
      </c>
      <c r="G660" t="s">
        <v>237</v>
      </c>
      <c r="H660" s="81">
        <v>186</v>
      </c>
      <c r="I660" t="s">
        <v>12</v>
      </c>
      <c r="J660" s="3">
        <v>1392.29</v>
      </c>
    </row>
    <row r="661" spans="1:10" x14ac:dyDescent="0.25">
      <c r="A661" t="s">
        <v>159</v>
      </c>
      <c r="B661" t="s">
        <v>71</v>
      </c>
      <c r="C661" s="82" t="s">
        <v>236</v>
      </c>
      <c r="D661">
        <v>201605</v>
      </c>
      <c r="E661" s="1">
        <v>42489</v>
      </c>
      <c r="F661" s="1">
        <v>42521</v>
      </c>
      <c r="G661" t="s">
        <v>237</v>
      </c>
      <c r="H661" s="81">
        <v>124</v>
      </c>
      <c r="I661" t="s">
        <v>12</v>
      </c>
      <c r="J661" s="3">
        <v>1142.93</v>
      </c>
    </row>
    <row r="662" spans="1:10" x14ac:dyDescent="0.25">
      <c r="A662" t="s">
        <v>159</v>
      </c>
      <c r="B662" t="s">
        <v>71</v>
      </c>
      <c r="C662" s="82" t="s">
        <v>236</v>
      </c>
      <c r="D662">
        <v>201606</v>
      </c>
      <c r="E662" s="1">
        <v>42521</v>
      </c>
      <c r="F662" s="1">
        <v>42550</v>
      </c>
      <c r="G662" t="s">
        <v>237</v>
      </c>
      <c r="H662" s="81">
        <v>142</v>
      </c>
      <c r="I662" t="s">
        <v>12</v>
      </c>
      <c r="J662" s="3">
        <v>1547.93</v>
      </c>
    </row>
    <row r="663" spans="1:10" x14ac:dyDescent="0.25">
      <c r="A663" t="s">
        <v>148</v>
      </c>
      <c r="B663" t="s">
        <v>71</v>
      </c>
      <c r="C663" s="82" t="s">
        <v>198</v>
      </c>
      <c r="D663">
        <v>201507</v>
      </c>
      <c r="E663" s="1">
        <v>42185</v>
      </c>
      <c r="F663" s="1">
        <v>42216</v>
      </c>
      <c r="G663" t="s">
        <v>198</v>
      </c>
      <c r="H663" s="81">
        <v>613</v>
      </c>
      <c r="I663" t="s">
        <v>12</v>
      </c>
      <c r="J663" s="3">
        <v>6914.16</v>
      </c>
    </row>
    <row r="664" spans="1:10" x14ac:dyDescent="0.25">
      <c r="A664" t="s">
        <v>148</v>
      </c>
      <c r="B664" t="s">
        <v>71</v>
      </c>
      <c r="C664" s="82" t="s">
        <v>198</v>
      </c>
      <c r="D664">
        <v>201508</v>
      </c>
      <c r="E664" s="1">
        <v>42216</v>
      </c>
      <c r="F664" s="1">
        <v>42243</v>
      </c>
      <c r="G664" t="s">
        <v>198</v>
      </c>
      <c r="H664" s="81">
        <v>608</v>
      </c>
      <c r="I664" t="s">
        <v>12</v>
      </c>
      <c r="J664" s="3">
        <v>6984.48</v>
      </c>
    </row>
    <row r="665" spans="1:10" x14ac:dyDescent="0.25">
      <c r="A665" t="s">
        <v>148</v>
      </c>
      <c r="B665" t="s">
        <v>71</v>
      </c>
      <c r="C665" s="82" t="s">
        <v>198</v>
      </c>
      <c r="D665">
        <v>201509</v>
      </c>
      <c r="E665" s="1">
        <v>42243</v>
      </c>
      <c r="F665" s="1">
        <v>42276</v>
      </c>
      <c r="G665" t="s">
        <v>198</v>
      </c>
      <c r="H665" s="81">
        <v>742</v>
      </c>
      <c r="I665" t="s">
        <v>12</v>
      </c>
      <c r="J665" s="3">
        <v>8442.27</v>
      </c>
    </row>
    <row r="666" spans="1:10" x14ac:dyDescent="0.25">
      <c r="A666" t="s">
        <v>148</v>
      </c>
      <c r="B666" t="s">
        <v>71</v>
      </c>
      <c r="C666" s="82" t="s">
        <v>198</v>
      </c>
      <c r="D666">
        <v>201510</v>
      </c>
      <c r="E666" s="1">
        <v>42276</v>
      </c>
      <c r="F666" s="1">
        <v>42305</v>
      </c>
      <c r="G666" t="s">
        <v>198</v>
      </c>
      <c r="H666" s="81">
        <v>839</v>
      </c>
      <c r="I666" t="s">
        <v>12</v>
      </c>
      <c r="J666" s="3">
        <v>6795.49</v>
      </c>
    </row>
    <row r="667" spans="1:10" x14ac:dyDescent="0.25">
      <c r="A667" t="s">
        <v>148</v>
      </c>
      <c r="B667" t="s">
        <v>71</v>
      </c>
      <c r="C667" s="82" t="s">
        <v>198</v>
      </c>
      <c r="D667">
        <v>201511</v>
      </c>
      <c r="E667" s="1">
        <v>42305</v>
      </c>
      <c r="F667" s="1">
        <v>42339</v>
      </c>
      <c r="G667" t="s">
        <v>198</v>
      </c>
      <c r="H667" s="81">
        <v>963</v>
      </c>
      <c r="I667" t="s">
        <v>12</v>
      </c>
      <c r="J667" s="3">
        <v>6454.35</v>
      </c>
    </row>
    <row r="668" spans="1:10" x14ac:dyDescent="0.25">
      <c r="A668" t="s">
        <v>148</v>
      </c>
      <c r="B668" t="s">
        <v>71</v>
      </c>
      <c r="C668" s="82" t="s">
        <v>198</v>
      </c>
      <c r="D668">
        <v>201512</v>
      </c>
      <c r="E668" s="1">
        <v>42339</v>
      </c>
      <c r="F668" s="1">
        <v>42369</v>
      </c>
      <c r="G668" t="s">
        <v>198</v>
      </c>
      <c r="H668" s="81">
        <v>1004</v>
      </c>
      <c r="I668" t="s">
        <v>12</v>
      </c>
      <c r="J668" s="3">
        <v>6150.46</v>
      </c>
    </row>
    <row r="669" spans="1:10" x14ac:dyDescent="0.25">
      <c r="A669" t="s">
        <v>148</v>
      </c>
      <c r="B669" t="s">
        <v>71</v>
      </c>
      <c r="C669" s="82" t="s">
        <v>198</v>
      </c>
      <c r="D669">
        <v>201601</v>
      </c>
      <c r="E669" s="1">
        <v>42369</v>
      </c>
      <c r="F669" s="1">
        <v>42401</v>
      </c>
      <c r="G669" t="s">
        <v>198</v>
      </c>
      <c r="H669" s="81">
        <v>1516</v>
      </c>
      <c r="I669" t="s">
        <v>12</v>
      </c>
      <c r="J669" s="3">
        <v>8067.06</v>
      </c>
    </row>
    <row r="670" spans="1:10" x14ac:dyDescent="0.25">
      <c r="A670" t="s">
        <v>148</v>
      </c>
      <c r="B670" t="s">
        <v>71</v>
      </c>
      <c r="C670" s="82" t="s">
        <v>198</v>
      </c>
      <c r="D670">
        <v>201602</v>
      </c>
      <c r="E670" s="1">
        <v>42401</v>
      </c>
      <c r="F670" s="1">
        <v>42430</v>
      </c>
      <c r="G670" t="s">
        <v>198</v>
      </c>
      <c r="H670" s="81">
        <v>1185</v>
      </c>
      <c r="I670" t="s">
        <v>12</v>
      </c>
      <c r="J670" s="3">
        <v>6601.76</v>
      </c>
    </row>
    <row r="671" spans="1:10" x14ac:dyDescent="0.25">
      <c r="A671" t="s">
        <v>148</v>
      </c>
      <c r="B671" t="s">
        <v>71</v>
      </c>
      <c r="C671" s="82" t="s">
        <v>198</v>
      </c>
      <c r="D671">
        <v>201603</v>
      </c>
      <c r="E671" s="1">
        <v>42430</v>
      </c>
      <c r="F671" s="1">
        <v>42460</v>
      </c>
      <c r="G671" t="s">
        <v>198</v>
      </c>
      <c r="H671" s="81">
        <v>1233</v>
      </c>
      <c r="I671" t="s">
        <v>12</v>
      </c>
      <c r="J671" s="3">
        <v>6676.94</v>
      </c>
    </row>
    <row r="672" spans="1:10" x14ac:dyDescent="0.25">
      <c r="A672" t="s">
        <v>148</v>
      </c>
      <c r="B672" t="s">
        <v>71</v>
      </c>
      <c r="C672" s="82" t="s">
        <v>198</v>
      </c>
      <c r="D672">
        <v>201604</v>
      </c>
      <c r="E672" s="1">
        <v>42460</v>
      </c>
      <c r="F672" s="1">
        <v>42489</v>
      </c>
      <c r="G672" t="s">
        <v>198</v>
      </c>
      <c r="H672" s="81">
        <v>800</v>
      </c>
      <c r="I672" t="s">
        <v>12</v>
      </c>
      <c r="J672" s="3">
        <v>5988.33</v>
      </c>
    </row>
    <row r="673" spans="1:10" x14ac:dyDescent="0.25">
      <c r="A673" t="s">
        <v>148</v>
      </c>
      <c r="B673" t="s">
        <v>71</v>
      </c>
      <c r="C673" s="82" t="s">
        <v>198</v>
      </c>
      <c r="D673">
        <v>201605</v>
      </c>
      <c r="E673" s="1">
        <v>42489</v>
      </c>
      <c r="F673" s="1">
        <v>42521</v>
      </c>
      <c r="G673" t="s">
        <v>198</v>
      </c>
      <c r="H673" s="81">
        <v>534</v>
      </c>
      <c r="I673" t="s">
        <v>12</v>
      </c>
      <c r="J673" s="3">
        <v>4921.97</v>
      </c>
    </row>
    <row r="674" spans="1:10" x14ac:dyDescent="0.25">
      <c r="A674" t="s">
        <v>148</v>
      </c>
      <c r="B674" t="s">
        <v>71</v>
      </c>
      <c r="C674" s="82" t="s">
        <v>198</v>
      </c>
      <c r="D674">
        <v>201606</v>
      </c>
      <c r="E674" s="1">
        <v>42521</v>
      </c>
      <c r="F674" s="1">
        <v>42550</v>
      </c>
      <c r="G674" t="s">
        <v>198</v>
      </c>
      <c r="H674" s="81">
        <v>614</v>
      </c>
      <c r="I674" t="s">
        <v>12</v>
      </c>
      <c r="J674" s="3">
        <v>6693.18</v>
      </c>
    </row>
    <row r="675" spans="1:10" x14ac:dyDescent="0.25">
      <c r="A675" t="s">
        <v>151</v>
      </c>
      <c r="B675" t="s">
        <v>71</v>
      </c>
      <c r="C675" s="82" t="s">
        <v>199</v>
      </c>
      <c r="D675">
        <v>201507</v>
      </c>
      <c r="E675" s="1">
        <v>42185</v>
      </c>
      <c r="F675" s="1">
        <v>42216</v>
      </c>
      <c r="G675" t="s">
        <v>199</v>
      </c>
      <c r="H675" s="81">
        <v>394</v>
      </c>
      <c r="I675" t="s">
        <v>12</v>
      </c>
      <c r="J675" s="3">
        <v>4444.01</v>
      </c>
    </row>
    <row r="676" spans="1:10" x14ac:dyDescent="0.25">
      <c r="A676" t="s">
        <v>151</v>
      </c>
      <c r="B676" t="s">
        <v>71</v>
      </c>
      <c r="C676" s="82" t="s">
        <v>199</v>
      </c>
      <c r="D676">
        <v>201508</v>
      </c>
      <c r="E676" s="1">
        <v>42216</v>
      </c>
      <c r="F676" s="1">
        <v>42243</v>
      </c>
      <c r="G676" t="s">
        <v>199</v>
      </c>
      <c r="H676" s="81">
        <v>390</v>
      </c>
      <c r="I676" t="s">
        <v>12</v>
      </c>
      <c r="J676" s="3">
        <v>4480.18</v>
      </c>
    </row>
    <row r="677" spans="1:10" x14ac:dyDescent="0.25">
      <c r="A677" t="s">
        <v>151</v>
      </c>
      <c r="B677" t="s">
        <v>71</v>
      </c>
      <c r="C677" s="82" t="s">
        <v>199</v>
      </c>
      <c r="D677">
        <v>201509</v>
      </c>
      <c r="E677" s="1">
        <v>42243</v>
      </c>
      <c r="F677" s="1">
        <v>42276</v>
      </c>
      <c r="G677" t="s">
        <v>199</v>
      </c>
      <c r="H677" s="81">
        <v>476</v>
      </c>
      <c r="I677" t="s">
        <v>12</v>
      </c>
      <c r="J677" s="3">
        <v>5415.8</v>
      </c>
    </row>
    <row r="678" spans="1:10" x14ac:dyDescent="0.25">
      <c r="A678" t="s">
        <v>151</v>
      </c>
      <c r="B678" t="s">
        <v>71</v>
      </c>
      <c r="C678" s="82" t="s">
        <v>199</v>
      </c>
      <c r="D678">
        <v>201510</v>
      </c>
      <c r="E678" s="1">
        <v>42276</v>
      </c>
      <c r="F678" s="1">
        <v>42305</v>
      </c>
      <c r="G678" t="s">
        <v>199</v>
      </c>
      <c r="H678" s="81">
        <v>539</v>
      </c>
      <c r="I678" t="s">
        <v>12</v>
      </c>
      <c r="J678" s="3">
        <v>4365.63</v>
      </c>
    </row>
    <row r="679" spans="1:10" x14ac:dyDescent="0.25">
      <c r="A679" t="s">
        <v>151</v>
      </c>
      <c r="B679" t="s">
        <v>71</v>
      </c>
      <c r="C679" s="82" t="s">
        <v>199</v>
      </c>
      <c r="D679">
        <v>201511</v>
      </c>
      <c r="E679" s="1">
        <v>42305</v>
      </c>
      <c r="F679" s="1">
        <v>42339</v>
      </c>
      <c r="G679" t="s">
        <v>199</v>
      </c>
      <c r="H679" s="81">
        <v>618</v>
      </c>
      <c r="I679" t="s">
        <v>12</v>
      </c>
      <c r="J679" s="3">
        <v>4142.04</v>
      </c>
    </row>
    <row r="680" spans="1:10" x14ac:dyDescent="0.25">
      <c r="A680" t="s">
        <v>151</v>
      </c>
      <c r="B680" t="s">
        <v>71</v>
      </c>
      <c r="C680" s="82" t="s">
        <v>199</v>
      </c>
      <c r="D680">
        <v>201512</v>
      </c>
      <c r="E680" s="1">
        <v>42339</v>
      </c>
      <c r="F680" s="1">
        <v>42369</v>
      </c>
      <c r="G680" t="s">
        <v>199</v>
      </c>
      <c r="H680" s="81">
        <v>644</v>
      </c>
      <c r="I680" t="s">
        <v>12</v>
      </c>
      <c r="J680" s="3">
        <v>3945.12</v>
      </c>
    </row>
    <row r="681" spans="1:10" x14ac:dyDescent="0.25">
      <c r="A681" t="s">
        <v>151</v>
      </c>
      <c r="B681" t="s">
        <v>71</v>
      </c>
      <c r="C681" s="82" t="s">
        <v>199</v>
      </c>
      <c r="D681">
        <v>201601</v>
      </c>
      <c r="E681" s="1">
        <v>42369</v>
      </c>
      <c r="F681" s="1">
        <v>42401</v>
      </c>
      <c r="G681" t="s">
        <v>199</v>
      </c>
      <c r="H681" s="81">
        <v>973</v>
      </c>
      <c r="I681" t="s">
        <v>12</v>
      </c>
      <c r="J681" s="3">
        <v>5177.6000000000004</v>
      </c>
    </row>
    <row r="682" spans="1:10" x14ac:dyDescent="0.25">
      <c r="A682" t="s">
        <v>151</v>
      </c>
      <c r="B682" t="s">
        <v>71</v>
      </c>
      <c r="C682" s="82" t="s">
        <v>199</v>
      </c>
      <c r="D682">
        <v>201602</v>
      </c>
      <c r="E682" s="1">
        <v>42401</v>
      </c>
      <c r="F682" s="1">
        <v>42430</v>
      </c>
      <c r="G682" t="s">
        <v>199</v>
      </c>
      <c r="H682" s="81">
        <v>761</v>
      </c>
      <c r="I682" t="s">
        <v>12</v>
      </c>
      <c r="J682" s="3">
        <v>4239.6099999999997</v>
      </c>
    </row>
    <row r="683" spans="1:10" x14ac:dyDescent="0.25">
      <c r="A683" t="s">
        <v>151</v>
      </c>
      <c r="B683" t="s">
        <v>71</v>
      </c>
      <c r="C683" s="82" t="s">
        <v>199</v>
      </c>
      <c r="D683">
        <v>201603</v>
      </c>
      <c r="E683" s="1">
        <v>42430</v>
      </c>
      <c r="F683" s="1">
        <v>42460</v>
      </c>
      <c r="G683" t="s">
        <v>199</v>
      </c>
      <c r="H683" s="81">
        <v>791</v>
      </c>
      <c r="I683" t="s">
        <v>12</v>
      </c>
      <c r="J683" s="3">
        <v>4283.42</v>
      </c>
    </row>
    <row r="684" spans="1:10" x14ac:dyDescent="0.25">
      <c r="A684" t="s">
        <v>151</v>
      </c>
      <c r="B684" t="s">
        <v>71</v>
      </c>
      <c r="C684" s="82" t="s">
        <v>199</v>
      </c>
      <c r="D684">
        <v>201604</v>
      </c>
      <c r="E684" s="1">
        <v>42460</v>
      </c>
      <c r="F684" s="1">
        <v>42489</v>
      </c>
      <c r="G684" t="s">
        <v>199</v>
      </c>
      <c r="H684" s="81">
        <v>514</v>
      </c>
      <c r="I684" t="s">
        <v>12</v>
      </c>
      <c r="J684" s="3">
        <v>3847.5</v>
      </c>
    </row>
    <row r="685" spans="1:10" x14ac:dyDescent="0.25">
      <c r="A685" t="s">
        <v>151</v>
      </c>
      <c r="B685" t="s">
        <v>71</v>
      </c>
      <c r="C685" s="82" t="s">
        <v>199</v>
      </c>
      <c r="D685">
        <v>201605</v>
      </c>
      <c r="E685" s="1">
        <v>42489</v>
      </c>
      <c r="F685" s="1">
        <v>42521</v>
      </c>
      <c r="G685" t="s">
        <v>199</v>
      </c>
      <c r="H685" s="81">
        <v>343</v>
      </c>
      <c r="I685" t="s">
        <v>12</v>
      </c>
      <c r="J685" s="3">
        <v>3161.49</v>
      </c>
    </row>
    <row r="686" spans="1:10" x14ac:dyDescent="0.25">
      <c r="A686" t="s">
        <v>151</v>
      </c>
      <c r="B686" t="s">
        <v>71</v>
      </c>
      <c r="C686" s="82" t="s">
        <v>199</v>
      </c>
      <c r="D686">
        <v>201606</v>
      </c>
      <c r="E686" s="1">
        <v>42521</v>
      </c>
      <c r="F686" s="1">
        <v>42550</v>
      </c>
      <c r="G686" t="s">
        <v>199</v>
      </c>
      <c r="H686" s="81">
        <v>394</v>
      </c>
      <c r="I686" t="s">
        <v>12</v>
      </c>
      <c r="J686" s="3">
        <v>4294.97</v>
      </c>
    </row>
    <row r="687" spans="1:10" x14ac:dyDescent="0.25">
      <c r="H687" s="96">
        <f>SUM(H555:H686)</f>
        <v>78423</v>
      </c>
      <c r="I687" t="s">
        <v>12</v>
      </c>
      <c r="J687" s="95">
        <f>SUM(J555:J686)</f>
        <v>592984.24000000034</v>
      </c>
    </row>
    <row r="688" spans="1:10" ht="15.75" thickBot="1" x14ac:dyDescent="0.3">
      <c r="G688" s="20" t="s">
        <v>596</v>
      </c>
      <c r="H688" s="97">
        <v>-189</v>
      </c>
      <c r="I688" t="s">
        <v>12</v>
      </c>
      <c r="J688" s="98">
        <v>-1246.79</v>
      </c>
    </row>
    <row r="689" spans="1:10" ht="15.75" thickBot="1" x14ac:dyDescent="0.3">
      <c r="H689" s="91">
        <f>SUM(H687:H688)</f>
        <v>78234</v>
      </c>
      <c r="J689" s="6">
        <f>SUM(J687:J688)</f>
        <v>591737.4500000003</v>
      </c>
    </row>
    <row r="690" spans="1:10" x14ac:dyDescent="0.25">
      <c r="H690" s="99"/>
      <c r="J690" s="104"/>
    </row>
    <row r="691" spans="1:10" x14ac:dyDescent="0.25">
      <c r="A691" t="s">
        <v>121</v>
      </c>
      <c r="B691" t="s">
        <v>59</v>
      </c>
      <c r="C691" s="82">
        <v>301863015</v>
      </c>
      <c r="D691">
        <v>201507</v>
      </c>
      <c r="E691" s="1">
        <v>42186</v>
      </c>
      <c r="F691" s="1">
        <v>42215</v>
      </c>
      <c r="G691" t="s">
        <v>203</v>
      </c>
      <c r="H691" s="81">
        <v>223</v>
      </c>
      <c r="I691" t="s">
        <v>47</v>
      </c>
      <c r="J691" s="3">
        <v>1402.36</v>
      </c>
    </row>
    <row r="692" spans="1:10" x14ac:dyDescent="0.25">
      <c r="A692" t="s">
        <v>121</v>
      </c>
      <c r="B692" t="s">
        <v>59</v>
      </c>
      <c r="C692" s="82">
        <v>301863015</v>
      </c>
      <c r="D692">
        <v>201508</v>
      </c>
      <c r="E692" s="1">
        <v>42216</v>
      </c>
      <c r="F692" s="1">
        <v>42244</v>
      </c>
      <c r="G692" t="s">
        <v>203</v>
      </c>
      <c r="H692" s="81">
        <v>1172</v>
      </c>
      <c r="I692" t="s">
        <v>47</v>
      </c>
      <c r="J692" s="3">
        <v>5736.16</v>
      </c>
    </row>
    <row r="693" spans="1:10" x14ac:dyDescent="0.25">
      <c r="A693" t="s">
        <v>121</v>
      </c>
      <c r="B693" t="s">
        <v>59</v>
      </c>
      <c r="C693" s="82">
        <v>301863015</v>
      </c>
      <c r="D693">
        <v>201509</v>
      </c>
      <c r="E693" s="1">
        <v>42245</v>
      </c>
      <c r="F693" s="1">
        <v>42275</v>
      </c>
      <c r="G693" t="s">
        <v>203</v>
      </c>
      <c r="H693" s="81">
        <v>357</v>
      </c>
      <c r="I693" t="s">
        <v>47</v>
      </c>
      <c r="J693" s="3">
        <v>2119.61</v>
      </c>
    </row>
    <row r="694" spans="1:10" x14ac:dyDescent="0.25">
      <c r="A694" t="s">
        <v>121</v>
      </c>
      <c r="B694" t="s">
        <v>59</v>
      </c>
      <c r="C694" s="82">
        <v>301863015</v>
      </c>
      <c r="D694">
        <v>201510</v>
      </c>
      <c r="E694" s="1">
        <v>42276</v>
      </c>
      <c r="F694" s="1">
        <v>42310</v>
      </c>
      <c r="G694" t="s">
        <v>203</v>
      </c>
      <c r="H694" s="81">
        <v>432</v>
      </c>
      <c r="I694" t="s">
        <v>47</v>
      </c>
      <c r="J694" s="3">
        <v>2418.7600000000002</v>
      </c>
    </row>
    <row r="695" spans="1:10" x14ac:dyDescent="0.25">
      <c r="A695" t="s">
        <v>121</v>
      </c>
      <c r="B695" t="s">
        <v>59</v>
      </c>
      <c r="C695" s="82">
        <v>301863015</v>
      </c>
      <c r="D695">
        <v>201511</v>
      </c>
      <c r="E695" s="1">
        <v>42311</v>
      </c>
      <c r="F695" s="1">
        <v>42341</v>
      </c>
      <c r="G695" t="s">
        <v>203</v>
      </c>
      <c r="H695" s="81">
        <v>425</v>
      </c>
      <c r="I695" t="s">
        <v>47</v>
      </c>
      <c r="J695" s="3">
        <v>2214.71</v>
      </c>
    </row>
    <row r="696" spans="1:10" x14ac:dyDescent="0.25">
      <c r="A696" t="s">
        <v>121</v>
      </c>
      <c r="B696" t="s">
        <v>59</v>
      </c>
      <c r="C696" s="82">
        <v>301863015</v>
      </c>
      <c r="D696">
        <v>201512</v>
      </c>
      <c r="E696" s="1">
        <v>42342</v>
      </c>
      <c r="F696" s="1">
        <v>42369</v>
      </c>
      <c r="G696" t="s">
        <v>203</v>
      </c>
      <c r="H696" s="81">
        <v>554</v>
      </c>
      <c r="I696" t="s">
        <v>47</v>
      </c>
      <c r="J696" s="3">
        <v>2610.16</v>
      </c>
    </row>
    <row r="697" spans="1:10" x14ac:dyDescent="0.25">
      <c r="A697" t="s">
        <v>121</v>
      </c>
      <c r="B697" t="s">
        <v>59</v>
      </c>
      <c r="C697" s="82">
        <v>301863015</v>
      </c>
      <c r="D697">
        <v>201601</v>
      </c>
      <c r="E697" s="1">
        <v>42370</v>
      </c>
      <c r="F697" s="1">
        <v>42404</v>
      </c>
      <c r="G697" t="s">
        <v>203</v>
      </c>
      <c r="H697" s="81">
        <v>501</v>
      </c>
      <c r="I697" t="s">
        <v>47</v>
      </c>
      <c r="J697" s="3">
        <v>2361.96</v>
      </c>
    </row>
    <row r="698" spans="1:10" x14ac:dyDescent="0.25">
      <c r="A698" t="s">
        <v>121</v>
      </c>
      <c r="B698" t="s">
        <v>59</v>
      </c>
      <c r="C698" s="82">
        <v>301863015</v>
      </c>
      <c r="D698">
        <v>201602</v>
      </c>
      <c r="E698" s="1">
        <v>42405</v>
      </c>
      <c r="F698" s="1">
        <v>42433</v>
      </c>
      <c r="G698" t="s">
        <v>203</v>
      </c>
      <c r="H698" s="81">
        <v>539</v>
      </c>
      <c r="I698" t="s">
        <v>47</v>
      </c>
      <c r="J698" s="3">
        <v>2585.21</v>
      </c>
    </row>
    <row r="699" spans="1:10" x14ac:dyDescent="0.25">
      <c r="A699" t="s">
        <v>121</v>
      </c>
      <c r="B699" t="s">
        <v>59</v>
      </c>
      <c r="C699" s="82">
        <v>301863015</v>
      </c>
      <c r="D699">
        <v>201603</v>
      </c>
      <c r="E699" s="1">
        <v>42434</v>
      </c>
      <c r="F699" s="1">
        <v>42461</v>
      </c>
      <c r="G699" t="s">
        <v>203</v>
      </c>
      <c r="H699" s="81">
        <v>446</v>
      </c>
      <c r="I699" t="s">
        <v>47</v>
      </c>
      <c r="J699" s="3">
        <v>2323.14</v>
      </c>
    </row>
    <row r="700" spans="1:10" x14ac:dyDescent="0.25">
      <c r="A700" t="s">
        <v>121</v>
      </c>
      <c r="B700" t="s">
        <v>59</v>
      </c>
      <c r="C700" s="82">
        <v>301863015</v>
      </c>
      <c r="D700">
        <v>201604</v>
      </c>
      <c r="E700" s="1">
        <v>42462</v>
      </c>
      <c r="F700" s="1">
        <v>42493</v>
      </c>
      <c r="G700" t="s">
        <v>203</v>
      </c>
      <c r="H700" s="81">
        <v>389</v>
      </c>
      <c r="I700" t="s">
        <v>47</v>
      </c>
      <c r="J700" s="3">
        <v>2203.63</v>
      </c>
    </row>
    <row r="701" spans="1:10" x14ac:dyDescent="0.25">
      <c r="A701" t="s">
        <v>121</v>
      </c>
      <c r="B701" t="s">
        <v>59</v>
      </c>
      <c r="C701" s="82">
        <v>301863015</v>
      </c>
      <c r="D701">
        <v>201605</v>
      </c>
      <c r="E701" s="1">
        <v>42494</v>
      </c>
      <c r="F701" s="1">
        <v>42521</v>
      </c>
      <c r="G701" t="s">
        <v>203</v>
      </c>
      <c r="H701" s="81">
        <v>327</v>
      </c>
      <c r="I701" t="s">
        <v>47</v>
      </c>
      <c r="J701" s="3">
        <v>1758.17</v>
      </c>
    </row>
    <row r="702" spans="1:10" x14ac:dyDescent="0.25">
      <c r="A702" t="s">
        <v>121</v>
      </c>
      <c r="B702" t="s">
        <v>59</v>
      </c>
      <c r="C702" s="82">
        <v>301863015</v>
      </c>
      <c r="D702">
        <v>201606</v>
      </c>
      <c r="E702" s="1">
        <v>42522</v>
      </c>
      <c r="F702" s="1">
        <v>42550</v>
      </c>
      <c r="G702" t="s">
        <v>203</v>
      </c>
      <c r="H702" s="81">
        <v>343</v>
      </c>
      <c r="I702" t="s">
        <v>47</v>
      </c>
      <c r="J702" s="3">
        <v>1860.9</v>
      </c>
    </row>
    <row r="703" spans="1:10" x14ac:dyDescent="0.25">
      <c r="A703" t="s">
        <v>125</v>
      </c>
      <c r="B703" t="s">
        <v>59</v>
      </c>
      <c r="C703" s="82">
        <v>301689527</v>
      </c>
      <c r="D703">
        <v>201508</v>
      </c>
      <c r="E703" s="1">
        <v>42200</v>
      </c>
      <c r="F703" s="1">
        <v>42283</v>
      </c>
      <c r="G703" t="s">
        <v>220</v>
      </c>
      <c r="H703" s="81">
        <v>5</v>
      </c>
      <c r="I703" t="s">
        <v>47</v>
      </c>
      <c r="J703" s="3">
        <v>75.95</v>
      </c>
    </row>
    <row r="704" spans="1:10" x14ac:dyDescent="0.25">
      <c r="A704" t="s">
        <v>125</v>
      </c>
      <c r="B704" t="s">
        <v>59</v>
      </c>
      <c r="C704" s="82">
        <v>301689527</v>
      </c>
      <c r="D704">
        <v>201511</v>
      </c>
      <c r="E704" s="1">
        <v>42284</v>
      </c>
      <c r="F704" s="1">
        <v>42377</v>
      </c>
      <c r="G704" t="s">
        <v>220</v>
      </c>
      <c r="H704" s="81">
        <v>5</v>
      </c>
      <c r="I704" t="s">
        <v>47</v>
      </c>
      <c r="J704" s="3">
        <v>75.95</v>
      </c>
    </row>
    <row r="705" spans="1:10" x14ac:dyDescent="0.25">
      <c r="A705" t="s">
        <v>125</v>
      </c>
      <c r="B705" t="s">
        <v>59</v>
      </c>
      <c r="C705" s="82">
        <v>301689527</v>
      </c>
      <c r="D705">
        <v>201602</v>
      </c>
      <c r="E705" s="1">
        <v>42378</v>
      </c>
      <c r="F705" s="1">
        <v>42467</v>
      </c>
      <c r="G705" t="s">
        <v>220</v>
      </c>
      <c r="H705" s="81">
        <v>6</v>
      </c>
      <c r="I705" t="s">
        <v>47</v>
      </c>
      <c r="J705" s="3">
        <v>86.23</v>
      </c>
    </row>
    <row r="706" spans="1:10" x14ac:dyDescent="0.25">
      <c r="A706" t="s">
        <v>125</v>
      </c>
      <c r="B706" t="s">
        <v>59</v>
      </c>
      <c r="C706" s="82">
        <v>301689527</v>
      </c>
      <c r="D706">
        <v>201605</v>
      </c>
      <c r="E706" s="1">
        <v>42468</v>
      </c>
      <c r="F706" s="1">
        <v>42563</v>
      </c>
      <c r="G706" t="s">
        <v>220</v>
      </c>
      <c r="H706" s="81">
        <v>5</v>
      </c>
      <c r="I706" t="s">
        <v>47</v>
      </c>
      <c r="J706" s="3">
        <v>76.900000000000006</v>
      </c>
    </row>
    <row r="707" spans="1:10" x14ac:dyDescent="0.25">
      <c r="A707" t="s">
        <v>156</v>
      </c>
      <c r="B707" t="s">
        <v>59</v>
      </c>
      <c r="C707" s="82">
        <v>305395543</v>
      </c>
      <c r="D707">
        <v>201507</v>
      </c>
      <c r="E707" s="1">
        <v>42186</v>
      </c>
      <c r="F707" s="1">
        <v>42214</v>
      </c>
      <c r="G707" t="s">
        <v>222</v>
      </c>
      <c r="H707" s="81">
        <v>32</v>
      </c>
      <c r="I707" t="s">
        <v>47</v>
      </c>
      <c r="J707" s="3">
        <v>361.04</v>
      </c>
    </row>
    <row r="708" spans="1:10" x14ac:dyDescent="0.25">
      <c r="A708" t="s">
        <v>156</v>
      </c>
      <c r="B708" t="s">
        <v>59</v>
      </c>
      <c r="C708" s="82">
        <v>305395543</v>
      </c>
      <c r="D708">
        <v>201508</v>
      </c>
      <c r="E708" s="1">
        <v>42215</v>
      </c>
      <c r="F708" s="1">
        <v>42243</v>
      </c>
      <c r="G708" t="s">
        <v>222</v>
      </c>
      <c r="H708" s="81">
        <v>34</v>
      </c>
      <c r="I708" t="s">
        <v>47</v>
      </c>
      <c r="J708" s="3">
        <v>398.94</v>
      </c>
    </row>
    <row r="709" spans="1:10" x14ac:dyDescent="0.25">
      <c r="A709" t="s">
        <v>156</v>
      </c>
      <c r="B709" t="s">
        <v>59</v>
      </c>
      <c r="C709" s="82">
        <v>305395543</v>
      </c>
      <c r="D709">
        <v>201509</v>
      </c>
      <c r="E709" s="1">
        <v>42244</v>
      </c>
      <c r="F709" s="1">
        <v>42275</v>
      </c>
      <c r="G709" t="s">
        <v>222</v>
      </c>
      <c r="H709" s="81">
        <v>34</v>
      </c>
      <c r="I709" t="s">
        <v>47</v>
      </c>
      <c r="J709" s="3">
        <v>398.94</v>
      </c>
    </row>
    <row r="710" spans="1:10" x14ac:dyDescent="0.25">
      <c r="A710" t="s">
        <v>156</v>
      </c>
      <c r="B710" t="s">
        <v>59</v>
      </c>
      <c r="C710" s="82">
        <v>305395543</v>
      </c>
      <c r="D710">
        <v>201510</v>
      </c>
      <c r="E710" s="1">
        <v>42276</v>
      </c>
      <c r="F710" s="1">
        <v>42310</v>
      </c>
      <c r="G710" t="s">
        <v>222</v>
      </c>
      <c r="H710" s="81">
        <v>31</v>
      </c>
      <c r="I710" t="s">
        <v>47</v>
      </c>
      <c r="J710" s="3">
        <v>360.69</v>
      </c>
    </row>
    <row r="711" spans="1:10" x14ac:dyDescent="0.25">
      <c r="A711" t="s">
        <v>156</v>
      </c>
      <c r="B711" t="s">
        <v>59</v>
      </c>
      <c r="C711" s="82">
        <v>305395543</v>
      </c>
      <c r="D711">
        <v>201511</v>
      </c>
      <c r="E711" s="1">
        <v>42311</v>
      </c>
      <c r="F711" s="1">
        <v>42341</v>
      </c>
      <c r="G711" t="s">
        <v>222</v>
      </c>
      <c r="H711" s="81">
        <v>20</v>
      </c>
      <c r="I711" t="s">
        <v>47</v>
      </c>
      <c r="J711" s="3">
        <v>248.84</v>
      </c>
    </row>
    <row r="712" spans="1:10" x14ac:dyDescent="0.25">
      <c r="A712" t="s">
        <v>156</v>
      </c>
      <c r="B712" t="s">
        <v>59</v>
      </c>
      <c r="C712" s="82">
        <v>305395543</v>
      </c>
      <c r="D712">
        <v>201512</v>
      </c>
      <c r="E712" s="1">
        <v>42342</v>
      </c>
      <c r="F712" s="1">
        <v>42369</v>
      </c>
      <c r="G712" t="s">
        <v>222</v>
      </c>
      <c r="H712" s="81">
        <v>16</v>
      </c>
      <c r="I712" t="s">
        <v>47</v>
      </c>
      <c r="J712" s="3">
        <v>212.04</v>
      </c>
    </row>
    <row r="713" spans="1:10" x14ac:dyDescent="0.25">
      <c r="A713" t="s">
        <v>156</v>
      </c>
      <c r="B713" t="s">
        <v>59</v>
      </c>
      <c r="C713" s="82">
        <v>305395543</v>
      </c>
      <c r="D713">
        <v>201601</v>
      </c>
      <c r="E713" s="1">
        <v>42370</v>
      </c>
      <c r="F713" s="1">
        <v>42402</v>
      </c>
      <c r="G713" t="s">
        <v>222</v>
      </c>
      <c r="H713" s="81">
        <v>17</v>
      </c>
      <c r="I713" t="s">
        <v>47</v>
      </c>
      <c r="J713" s="3">
        <v>221.24</v>
      </c>
    </row>
    <row r="714" spans="1:10" x14ac:dyDescent="0.25">
      <c r="A714" t="s">
        <v>156</v>
      </c>
      <c r="B714" t="s">
        <v>59</v>
      </c>
      <c r="C714" s="82">
        <v>305395543</v>
      </c>
      <c r="D714">
        <v>201602</v>
      </c>
      <c r="E714" s="1">
        <v>42403</v>
      </c>
      <c r="F714" s="1">
        <v>42433</v>
      </c>
      <c r="G714" t="s">
        <v>222</v>
      </c>
      <c r="H714" s="81">
        <v>22</v>
      </c>
      <c r="I714" t="s">
        <v>47</v>
      </c>
      <c r="J714" s="3">
        <v>267.24</v>
      </c>
    </row>
    <row r="715" spans="1:10" x14ac:dyDescent="0.25">
      <c r="A715" t="s">
        <v>156</v>
      </c>
      <c r="B715" t="s">
        <v>59</v>
      </c>
      <c r="C715" s="82">
        <v>305395543</v>
      </c>
      <c r="D715">
        <v>201603</v>
      </c>
      <c r="E715" s="1">
        <v>42434</v>
      </c>
      <c r="F715" s="1">
        <v>42461</v>
      </c>
      <c r="G715" t="s">
        <v>222</v>
      </c>
      <c r="H715" s="81">
        <v>20</v>
      </c>
      <c r="I715" t="s">
        <v>47</v>
      </c>
      <c r="J715" s="3">
        <v>252.1</v>
      </c>
    </row>
    <row r="716" spans="1:10" x14ac:dyDescent="0.25">
      <c r="A716" t="s">
        <v>156</v>
      </c>
      <c r="B716" t="s">
        <v>59</v>
      </c>
      <c r="C716" s="82">
        <v>305395543</v>
      </c>
      <c r="D716">
        <v>201604</v>
      </c>
      <c r="E716" s="1">
        <v>42462</v>
      </c>
      <c r="F716" s="1">
        <v>42493</v>
      </c>
      <c r="G716" t="s">
        <v>222</v>
      </c>
      <c r="H716" s="81">
        <v>23</v>
      </c>
      <c r="I716" t="s">
        <v>47</v>
      </c>
      <c r="J716" s="3">
        <v>280.08999999999997</v>
      </c>
    </row>
    <row r="717" spans="1:10" x14ac:dyDescent="0.25">
      <c r="A717" t="s">
        <v>156</v>
      </c>
      <c r="B717" t="s">
        <v>59</v>
      </c>
      <c r="C717" s="82">
        <v>305395543</v>
      </c>
      <c r="D717">
        <v>201605</v>
      </c>
      <c r="E717" s="1">
        <v>42494</v>
      </c>
      <c r="F717" s="1">
        <v>42521</v>
      </c>
      <c r="G717" t="s">
        <v>222</v>
      </c>
      <c r="H717" s="81">
        <v>23</v>
      </c>
      <c r="I717" t="s">
        <v>47</v>
      </c>
      <c r="J717" s="3">
        <v>280.08999999999997</v>
      </c>
    </row>
    <row r="718" spans="1:10" x14ac:dyDescent="0.25">
      <c r="A718" t="s">
        <v>156</v>
      </c>
      <c r="B718" t="s">
        <v>59</v>
      </c>
      <c r="C718" s="82">
        <v>305395543</v>
      </c>
      <c r="D718">
        <v>201606</v>
      </c>
      <c r="E718" s="1">
        <v>42522</v>
      </c>
      <c r="F718" s="1">
        <v>42550</v>
      </c>
      <c r="G718" t="s">
        <v>222</v>
      </c>
      <c r="H718" s="81">
        <v>32</v>
      </c>
      <c r="I718" t="s">
        <v>47</v>
      </c>
      <c r="J718" s="3">
        <v>375.46</v>
      </c>
    </row>
    <row r="719" spans="1:10" x14ac:dyDescent="0.25">
      <c r="A719" t="s">
        <v>134</v>
      </c>
      <c r="B719" t="s">
        <v>59</v>
      </c>
      <c r="C719" s="82">
        <v>301886404</v>
      </c>
      <c r="D719">
        <v>201507</v>
      </c>
      <c r="E719" s="1">
        <v>42186</v>
      </c>
      <c r="F719" s="1">
        <v>42214</v>
      </c>
      <c r="G719" t="s">
        <v>204</v>
      </c>
      <c r="H719" s="81">
        <v>25</v>
      </c>
      <c r="I719" t="s">
        <v>47</v>
      </c>
      <c r="J719" s="3">
        <v>402.87</v>
      </c>
    </row>
    <row r="720" spans="1:10" x14ac:dyDescent="0.25">
      <c r="A720" t="s">
        <v>134</v>
      </c>
      <c r="B720" t="s">
        <v>59</v>
      </c>
      <c r="C720" s="82">
        <v>301886404</v>
      </c>
      <c r="D720">
        <v>201508</v>
      </c>
      <c r="E720" s="1">
        <v>42215</v>
      </c>
      <c r="F720" s="1">
        <v>42243</v>
      </c>
      <c r="G720" t="s">
        <v>204</v>
      </c>
      <c r="H720" s="81">
        <v>16</v>
      </c>
      <c r="I720" t="s">
        <v>47</v>
      </c>
      <c r="J720" s="3">
        <v>356.56</v>
      </c>
    </row>
    <row r="721" spans="1:10" x14ac:dyDescent="0.25">
      <c r="A721" t="s">
        <v>134</v>
      </c>
      <c r="B721" t="s">
        <v>59</v>
      </c>
      <c r="C721" s="82">
        <v>301886404</v>
      </c>
      <c r="D721">
        <v>201509</v>
      </c>
      <c r="E721" s="1">
        <v>42244</v>
      </c>
      <c r="F721" s="1">
        <v>42275</v>
      </c>
      <c r="G721" t="s">
        <v>204</v>
      </c>
      <c r="H721" s="81">
        <v>11</v>
      </c>
      <c r="I721" t="s">
        <v>47</v>
      </c>
      <c r="J721" s="3">
        <v>310.56</v>
      </c>
    </row>
    <row r="722" spans="1:10" x14ac:dyDescent="0.25">
      <c r="A722" t="s">
        <v>134</v>
      </c>
      <c r="B722" t="s">
        <v>59</v>
      </c>
      <c r="C722" s="82">
        <v>301886404</v>
      </c>
      <c r="D722">
        <v>201510</v>
      </c>
      <c r="E722" s="1">
        <v>42283</v>
      </c>
      <c r="F722" s="1">
        <v>42310</v>
      </c>
      <c r="G722" t="s">
        <v>204</v>
      </c>
      <c r="H722" s="81">
        <v>26</v>
      </c>
      <c r="I722" t="s">
        <v>47</v>
      </c>
      <c r="J722" s="3">
        <v>448.56</v>
      </c>
    </row>
    <row r="723" spans="1:10" x14ac:dyDescent="0.25">
      <c r="A723" t="s">
        <v>134</v>
      </c>
      <c r="B723" t="s">
        <v>59</v>
      </c>
      <c r="C723" s="82">
        <v>301886404</v>
      </c>
      <c r="D723">
        <v>201511</v>
      </c>
      <c r="E723" s="1">
        <v>42311</v>
      </c>
      <c r="F723" s="1">
        <v>42341</v>
      </c>
      <c r="G723" t="s">
        <v>204</v>
      </c>
      <c r="H723" s="81">
        <v>24</v>
      </c>
      <c r="I723" t="s">
        <v>47</v>
      </c>
      <c r="J723" s="3">
        <v>430.16</v>
      </c>
    </row>
    <row r="724" spans="1:10" x14ac:dyDescent="0.25">
      <c r="A724" t="s">
        <v>134</v>
      </c>
      <c r="B724" t="s">
        <v>59</v>
      </c>
      <c r="C724" s="82">
        <v>301886404</v>
      </c>
      <c r="D724">
        <v>201512</v>
      </c>
      <c r="E724" s="1">
        <v>42342</v>
      </c>
      <c r="F724" s="1">
        <v>42369</v>
      </c>
      <c r="G724" t="s">
        <v>204</v>
      </c>
      <c r="H724" s="81">
        <v>27</v>
      </c>
      <c r="I724" t="s">
        <v>47</v>
      </c>
      <c r="J724" s="3">
        <v>457.76</v>
      </c>
    </row>
    <row r="725" spans="1:10" x14ac:dyDescent="0.25">
      <c r="A725" t="s">
        <v>134</v>
      </c>
      <c r="B725" t="s">
        <v>59</v>
      </c>
      <c r="C725" s="82">
        <v>301886404</v>
      </c>
      <c r="D725">
        <v>201601</v>
      </c>
      <c r="E725" s="1">
        <v>42370</v>
      </c>
      <c r="F725" s="1">
        <v>42402</v>
      </c>
      <c r="G725" t="s">
        <v>204</v>
      </c>
      <c r="H725" s="81">
        <v>15</v>
      </c>
      <c r="I725" t="s">
        <v>47</v>
      </c>
      <c r="J725" s="3">
        <v>347.36</v>
      </c>
    </row>
    <row r="726" spans="1:10" x14ac:dyDescent="0.25">
      <c r="A726" t="s">
        <v>134</v>
      </c>
      <c r="B726" t="s">
        <v>59</v>
      </c>
      <c r="C726" s="82">
        <v>301886404</v>
      </c>
      <c r="D726">
        <v>201602</v>
      </c>
      <c r="E726" s="1">
        <v>42403</v>
      </c>
      <c r="F726" s="1">
        <v>42433</v>
      </c>
      <c r="G726" t="s">
        <v>204</v>
      </c>
      <c r="H726" s="81">
        <v>32</v>
      </c>
      <c r="I726" t="s">
        <v>47</v>
      </c>
      <c r="J726" s="3">
        <v>503.76</v>
      </c>
    </row>
    <row r="727" spans="1:10" x14ac:dyDescent="0.25">
      <c r="A727" t="s">
        <v>134</v>
      </c>
      <c r="B727" t="s">
        <v>59</v>
      </c>
      <c r="C727" s="82">
        <v>301886404</v>
      </c>
      <c r="D727">
        <v>201603</v>
      </c>
      <c r="E727" s="1">
        <v>42434</v>
      </c>
      <c r="F727" s="1">
        <v>42461</v>
      </c>
      <c r="G727" t="s">
        <v>204</v>
      </c>
      <c r="H727" s="81">
        <v>18</v>
      </c>
      <c r="I727" t="s">
        <v>47</v>
      </c>
      <c r="J727" s="3">
        <v>379.45</v>
      </c>
    </row>
    <row r="728" spans="1:10" x14ac:dyDescent="0.25">
      <c r="A728" t="s">
        <v>134</v>
      </c>
      <c r="B728" t="s">
        <v>59</v>
      </c>
      <c r="C728" s="82">
        <v>301886404</v>
      </c>
      <c r="D728">
        <v>201604</v>
      </c>
      <c r="E728" s="1">
        <v>42462</v>
      </c>
      <c r="F728" s="1">
        <v>42493</v>
      </c>
      <c r="G728" t="s">
        <v>204</v>
      </c>
      <c r="H728" s="81">
        <v>29</v>
      </c>
      <c r="I728" t="s">
        <v>47</v>
      </c>
      <c r="J728" s="3">
        <v>482.08</v>
      </c>
    </row>
    <row r="729" spans="1:10" x14ac:dyDescent="0.25">
      <c r="A729" t="s">
        <v>134</v>
      </c>
      <c r="B729" t="s">
        <v>59</v>
      </c>
      <c r="C729" s="82">
        <v>301886404</v>
      </c>
      <c r="D729">
        <v>201605</v>
      </c>
      <c r="E729" s="1">
        <v>42494</v>
      </c>
      <c r="F729" s="1">
        <v>42521</v>
      </c>
      <c r="G729" t="s">
        <v>204</v>
      </c>
      <c r="H729" s="81">
        <v>21</v>
      </c>
      <c r="I729" t="s">
        <v>47</v>
      </c>
      <c r="J729" s="3">
        <v>407.44</v>
      </c>
    </row>
    <row r="730" spans="1:10" x14ac:dyDescent="0.25">
      <c r="A730" t="s">
        <v>134</v>
      </c>
      <c r="B730" t="s">
        <v>59</v>
      </c>
      <c r="C730" s="82">
        <v>301886404</v>
      </c>
      <c r="D730">
        <v>201606</v>
      </c>
      <c r="E730" s="1">
        <v>42522</v>
      </c>
      <c r="F730" s="1">
        <v>42550</v>
      </c>
      <c r="G730" t="s">
        <v>204</v>
      </c>
      <c r="H730" s="81">
        <v>13</v>
      </c>
      <c r="I730" t="s">
        <v>47</v>
      </c>
      <c r="J730" s="3">
        <v>332.8</v>
      </c>
    </row>
    <row r="731" spans="1:10" x14ac:dyDescent="0.25">
      <c r="A731" t="s">
        <v>139</v>
      </c>
      <c r="B731" t="s">
        <v>59</v>
      </c>
      <c r="C731" s="82">
        <v>300749488</v>
      </c>
      <c r="D731">
        <v>201507</v>
      </c>
      <c r="E731" s="1">
        <v>42186</v>
      </c>
      <c r="F731" s="1">
        <v>42215</v>
      </c>
      <c r="G731" t="s">
        <v>210</v>
      </c>
      <c r="H731" s="81">
        <v>101</v>
      </c>
      <c r="I731" t="s">
        <v>47</v>
      </c>
      <c r="J731" s="3">
        <v>1026.1199999999999</v>
      </c>
    </row>
    <row r="732" spans="1:10" x14ac:dyDescent="0.25">
      <c r="A732" t="s">
        <v>139</v>
      </c>
      <c r="B732" t="s">
        <v>59</v>
      </c>
      <c r="C732" s="82">
        <v>300749488</v>
      </c>
      <c r="D732">
        <v>201508</v>
      </c>
      <c r="E732" s="1">
        <v>42216</v>
      </c>
      <c r="F732" s="1">
        <v>42244</v>
      </c>
      <c r="G732" t="s">
        <v>210</v>
      </c>
      <c r="H732" s="81">
        <v>118</v>
      </c>
      <c r="I732" t="s">
        <v>47</v>
      </c>
      <c r="J732" s="3">
        <v>1234.56</v>
      </c>
    </row>
    <row r="733" spans="1:10" x14ac:dyDescent="0.25">
      <c r="A733" t="s">
        <v>139</v>
      </c>
      <c r="B733" t="s">
        <v>59</v>
      </c>
      <c r="C733" s="82">
        <v>300749488</v>
      </c>
      <c r="D733">
        <v>201509</v>
      </c>
      <c r="E733" s="1">
        <v>42245</v>
      </c>
      <c r="F733" s="1">
        <v>42275</v>
      </c>
      <c r="G733" t="s">
        <v>210</v>
      </c>
      <c r="H733" s="81">
        <v>168</v>
      </c>
      <c r="I733" t="s">
        <v>47</v>
      </c>
      <c r="J733" s="3">
        <v>1707.51</v>
      </c>
    </row>
    <row r="734" spans="1:10" x14ac:dyDescent="0.25">
      <c r="A734" t="s">
        <v>139</v>
      </c>
      <c r="B734" t="s">
        <v>59</v>
      </c>
      <c r="C734" s="82">
        <v>300749488</v>
      </c>
      <c r="D734">
        <v>201510</v>
      </c>
      <c r="E734" s="1">
        <v>42276</v>
      </c>
      <c r="F734" s="1">
        <v>42310</v>
      </c>
      <c r="G734" t="s">
        <v>210</v>
      </c>
      <c r="H734" s="81">
        <v>159</v>
      </c>
      <c r="I734" t="s">
        <v>47</v>
      </c>
      <c r="J734" s="3">
        <v>1765.66</v>
      </c>
    </row>
    <row r="735" spans="1:10" x14ac:dyDescent="0.25">
      <c r="A735" t="s">
        <v>139</v>
      </c>
      <c r="B735" t="s">
        <v>59</v>
      </c>
      <c r="C735" s="82">
        <v>300749488</v>
      </c>
      <c r="D735">
        <v>201511</v>
      </c>
      <c r="E735" s="1">
        <v>42311</v>
      </c>
      <c r="F735" s="1">
        <v>42341</v>
      </c>
      <c r="G735" t="s">
        <v>210</v>
      </c>
      <c r="H735" s="81">
        <v>67</v>
      </c>
      <c r="I735" t="s">
        <v>47</v>
      </c>
      <c r="J735" s="3">
        <v>878.41</v>
      </c>
    </row>
    <row r="736" spans="1:10" x14ac:dyDescent="0.25">
      <c r="A736" t="s">
        <v>139</v>
      </c>
      <c r="B736" t="s">
        <v>59</v>
      </c>
      <c r="C736" s="82">
        <v>300749488</v>
      </c>
      <c r="D736">
        <v>201512</v>
      </c>
      <c r="E736" s="1">
        <v>42342</v>
      </c>
      <c r="F736" s="1">
        <v>42369</v>
      </c>
      <c r="G736" t="s">
        <v>210</v>
      </c>
      <c r="H736" s="81">
        <v>115</v>
      </c>
      <c r="I736" t="s">
        <v>47</v>
      </c>
      <c r="J736" s="3">
        <v>1320.01</v>
      </c>
    </row>
    <row r="737" spans="1:10" x14ac:dyDescent="0.25">
      <c r="A737" t="s">
        <v>139</v>
      </c>
      <c r="B737" t="s">
        <v>59</v>
      </c>
      <c r="C737" s="82">
        <v>300749488</v>
      </c>
      <c r="D737">
        <v>201601</v>
      </c>
      <c r="E737" s="1">
        <v>42370</v>
      </c>
      <c r="F737" s="1">
        <v>42402</v>
      </c>
      <c r="G737" t="s">
        <v>210</v>
      </c>
      <c r="H737" s="81">
        <v>101</v>
      </c>
      <c r="I737" t="s">
        <v>47</v>
      </c>
      <c r="J737" s="3">
        <v>1191.21</v>
      </c>
    </row>
    <row r="738" spans="1:10" x14ac:dyDescent="0.25">
      <c r="A738" t="s">
        <v>139</v>
      </c>
      <c r="B738" t="s">
        <v>59</v>
      </c>
      <c r="C738" s="82">
        <v>300749488</v>
      </c>
      <c r="D738">
        <v>201602</v>
      </c>
      <c r="E738" s="1">
        <v>42403</v>
      </c>
      <c r="F738" s="1">
        <v>42433</v>
      </c>
      <c r="G738" t="s">
        <v>210</v>
      </c>
      <c r="H738" s="81">
        <v>96</v>
      </c>
      <c r="I738" t="s">
        <v>47</v>
      </c>
      <c r="J738" s="3">
        <v>1145.21</v>
      </c>
    </row>
    <row r="739" spans="1:10" x14ac:dyDescent="0.25">
      <c r="A739" t="s">
        <v>139</v>
      </c>
      <c r="B739" t="s">
        <v>59</v>
      </c>
      <c r="C739" s="82">
        <v>300749488</v>
      </c>
      <c r="D739">
        <v>201603</v>
      </c>
      <c r="E739" s="1">
        <v>42434</v>
      </c>
      <c r="F739" s="1">
        <v>42461</v>
      </c>
      <c r="G739" t="s">
        <v>210</v>
      </c>
      <c r="H739" s="81">
        <v>48</v>
      </c>
      <c r="I739" t="s">
        <v>47</v>
      </c>
      <c r="J739" s="3">
        <v>713.46</v>
      </c>
    </row>
    <row r="740" spans="1:10" x14ac:dyDescent="0.25">
      <c r="A740" t="s">
        <v>139</v>
      </c>
      <c r="B740" t="s">
        <v>59</v>
      </c>
      <c r="C740" s="82">
        <v>300749488</v>
      </c>
      <c r="D740">
        <v>201604</v>
      </c>
      <c r="E740" s="1">
        <v>42462</v>
      </c>
      <c r="F740" s="1">
        <v>42493</v>
      </c>
      <c r="G740" t="s">
        <v>210</v>
      </c>
      <c r="H740" s="81">
        <v>121</v>
      </c>
      <c r="I740" t="s">
        <v>47</v>
      </c>
      <c r="J740" s="3">
        <v>1554.32</v>
      </c>
    </row>
    <row r="741" spans="1:10" x14ac:dyDescent="0.25">
      <c r="A741" t="s">
        <v>139</v>
      </c>
      <c r="B741" t="s">
        <v>59</v>
      </c>
      <c r="C741" s="82">
        <v>300749488</v>
      </c>
      <c r="D741">
        <v>201605</v>
      </c>
      <c r="E741" s="1">
        <v>42494</v>
      </c>
      <c r="F741" s="1">
        <v>42521</v>
      </c>
      <c r="G741" t="s">
        <v>210</v>
      </c>
      <c r="H741" s="81">
        <v>101</v>
      </c>
      <c r="I741" t="s">
        <v>47</v>
      </c>
      <c r="J741" s="3">
        <v>1374.37</v>
      </c>
    </row>
    <row r="742" spans="1:10" x14ac:dyDescent="0.25">
      <c r="A742" t="s">
        <v>139</v>
      </c>
      <c r="B742" t="s">
        <v>59</v>
      </c>
      <c r="C742" s="82">
        <v>300749488</v>
      </c>
      <c r="D742">
        <v>201606</v>
      </c>
      <c r="E742" s="1">
        <v>42522</v>
      </c>
      <c r="F742" s="1">
        <v>42550</v>
      </c>
      <c r="G742" t="s">
        <v>210</v>
      </c>
      <c r="H742" s="81">
        <v>150</v>
      </c>
      <c r="I742" t="s">
        <v>47</v>
      </c>
      <c r="J742" s="3">
        <v>2109.89</v>
      </c>
    </row>
    <row r="743" spans="1:10" x14ac:dyDescent="0.25">
      <c r="A743" t="s">
        <v>139</v>
      </c>
      <c r="B743" t="s">
        <v>59</v>
      </c>
      <c r="C743" s="82">
        <v>305395592</v>
      </c>
      <c r="D743">
        <v>201507</v>
      </c>
      <c r="E743" s="1">
        <v>42186</v>
      </c>
      <c r="F743" s="1">
        <v>42214</v>
      </c>
      <c r="G743" t="s">
        <v>211</v>
      </c>
      <c r="H743" s="81">
        <v>15</v>
      </c>
      <c r="I743" t="s">
        <v>47</v>
      </c>
      <c r="J743" s="3">
        <v>242.83</v>
      </c>
    </row>
    <row r="744" spans="1:10" x14ac:dyDescent="0.25">
      <c r="A744" t="s">
        <v>139</v>
      </c>
      <c r="B744" t="s">
        <v>59</v>
      </c>
      <c r="C744" s="82">
        <v>305395592</v>
      </c>
      <c r="D744">
        <v>201508</v>
      </c>
      <c r="E744" s="1">
        <v>42215</v>
      </c>
      <c r="F744" s="1">
        <v>42243</v>
      </c>
      <c r="G744" t="s">
        <v>211</v>
      </c>
      <c r="H744" s="81">
        <v>9</v>
      </c>
      <c r="I744" t="s">
        <v>47</v>
      </c>
      <c r="J744" s="3">
        <v>209.53</v>
      </c>
    </row>
    <row r="745" spans="1:10" x14ac:dyDescent="0.25">
      <c r="A745" t="s">
        <v>139</v>
      </c>
      <c r="B745" t="s">
        <v>59</v>
      </c>
      <c r="C745" s="82">
        <v>305395592</v>
      </c>
      <c r="D745">
        <v>201509</v>
      </c>
      <c r="E745" s="1">
        <v>42244</v>
      </c>
      <c r="F745" s="1">
        <v>42275</v>
      </c>
      <c r="G745" t="s">
        <v>211</v>
      </c>
      <c r="H745" s="81">
        <v>9</v>
      </c>
      <c r="I745" t="s">
        <v>47</v>
      </c>
      <c r="J745" s="3">
        <v>209.53</v>
      </c>
    </row>
    <row r="746" spans="1:10" x14ac:dyDescent="0.25">
      <c r="A746" t="s">
        <v>139</v>
      </c>
      <c r="B746" t="s">
        <v>59</v>
      </c>
      <c r="C746" s="82">
        <v>305395592</v>
      </c>
      <c r="D746">
        <v>201510</v>
      </c>
      <c r="E746" s="1">
        <v>42276</v>
      </c>
      <c r="F746" s="1">
        <v>42310</v>
      </c>
      <c r="G746" t="s">
        <v>211</v>
      </c>
      <c r="H746" s="81">
        <v>20</v>
      </c>
      <c r="I746" t="s">
        <v>47</v>
      </c>
      <c r="J746" s="3">
        <v>310.73</v>
      </c>
    </row>
    <row r="747" spans="1:10" x14ac:dyDescent="0.25">
      <c r="A747" t="s">
        <v>139</v>
      </c>
      <c r="B747" t="s">
        <v>59</v>
      </c>
      <c r="C747" s="82">
        <v>305395592</v>
      </c>
      <c r="D747">
        <v>201511</v>
      </c>
      <c r="E747" s="1">
        <v>42311</v>
      </c>
      <c r="F747" s="1">
        <v>42341</v>
      </c>
      <c r="G747" t="s">
        <v>211</v>
      </c>
      <c r="H747" s="81">
        <v>9</v>
      </c>
      <c r="I747" t="s">
        <v>47</v>
      </c>
      <c r="J747" s="3">
        <v>209.53</v>
      </c>
    </row>
    <row r="748" spans="1:10" x14ac:dyDescent="0.25">
      <c r="A748" t="s">
        <v>139</v>
      </c>
      <c r="B748" t="s">
        <v>59</v>
      </c>
      <c r="C748" s="82">
        <v>305395592</v>
      </c>
      <c r="D748">
        <v>201512</v>
      </c>
      <c r="E748" s="1">
        <v>42342</v>
      </c>
      <c r="F748" s="1">
        <v>42369</v>
      </c>
      <c r="G748" t="s">
        <v>211</v>
      </c>
      <c r="H748" s="81">
        <v>17</v>
      </c>
      <c r="I748" t="s">
        <v>47</v>
      </c>
      <c r="J748" s="3">
        <v>283.13</v>
      </c>
    </row>
    <row r="749" spans="1:10" x14ac:dyDescent="0.25">
      <c r="A749" t="s">
        <v>139</v>
      </c>
      <c r="B749" t="s">
        <v>59</v>
      </c>
      <c r="C749" s="82">
        <v>305395592</v>
      </c>
      <c r="D749">
        <v>201601</v>
      </c>
      <c r="E749" s="1">
        <v>42370</v>
      </c>
      <c r="F749" s="1">
        <v>42402</v>
      </c>
      <c r="G749" t="s">
        <v>211</v>
      </c>
      <c r="H749" s="81">
        <v>14</v>
      </c>
      <c r="I749" t="s">
        <v>47</v>
      </c>
      <c r="J749" s="3">
        <v>255.53</v>
      </c>
    </row>
    <row r="750" spans="1:10" x14ac:dyDescent="0.25">
      <c r="A750" t="s">
        <v>139</v>
      </c>
      <c r="B750" t="s">
        <v>59</v>
      </c>
      <c r="C750" s="82">
        <v>305395592</v>
      </c>
      <c r="D750">
        <v>201602</v>
      </c>
      <c r="E750" s="1">
        <v>42403</v>
      </c>
      <c r="F750" s="1">
        <v>42433</v>
      </c>
      <c r="G750" t="s">
        <v>211</v>
      </c>
      <c r="H750" s="81">
        <v>14</v>
      </c>
      <c r="I750" t="s">
        <v>47</v>
      </c>
      <c r="J750" s="3">
        <v>255.53</v>
      </c>
    </row>
    <row r="751" spans="1:10" x14ac:dyDescent="0.25">
      <c r="A751" t="s">
        <v>139</v>
      </c>
      <c r="B751" t="s">
        <v>59</v>
      </c>
      <c r="C751" s="82">
        <v>305395592</v>
      </c>
      <c r="D751">
        <v>201603</v>
      </c>
      <c r="E751" s="1">
        <v>42434</v>
      </c>
      <c r="F751" s="1">
        <v>42461</v>
      </c>
      <c r="G751" t="s">
        <v>211</v>
      </c>
      <c r="H751" s="81">
        <v>7</v>
      </c>
      <c r="I751" t="s">
        <v>47</v>
      </c>
      <c r="J751" s="3">
        <v>193.61</v>
      </c>
    </row>
    <row r="752" spans="1:10" x14ac:dyDescent="0.25">
      <c r="A752" t="s">
        <v>139</v>
      </c>
      <c r="B752" t="s">
        <v>59</v>
      </c>
      <c r="C752" s="82">
        <v>305395592</v>
      </c>
      <c r="D752">
        <v>201604</v>
      </c>
      <c r="E752" s="1">
        <v>42462</v>
      </c>
      <c r="F752" s="1">
        <v>42493</v>
      </c>
      <c r="G752" t="s">
        <v>211</v>
      </c>
      <c r="H752" s="81">
        <v>21</v>
      </c>
      <c r="I752" t="s">
        <v>47</v>
      </c>
      <c r="J752" s="3">
        <v>324.23</v>
      </c>
    </row>
    <row r="753" spans="1:10" x14ac:dyDescent="0.25">
      <c r="A753" t="s">
        <v>139</v>
      </c>
      <c r="B753" t="s">
        <v>59</v>
      </c>
      <c r="C753" s="82">
        <v>305395592</v>
      </c>
      <c r="D753">
        <v>201605</v>
      </c>
      <c r="E753" s="1">
        <v>42494</v>
      </c>
      <c r="F753" s="1">
        <v>42521</v>
      </c>
      <c r="G753" t="s">
        <v>211</v>
      </c>
      <c r="H753" s="81">
        <v>12</v>
      </c>
      <c r="I753" t="s">
        <v>47</v>
      </c>
      <c r="J753" s="3">
        <v>240.26</v>
      </c>
    </row>
    <row r="754" spans="1:10" x14ac:dyDescent="0.25">
      <c r="A754" t="s">
        <v>139</v>
      </c>
      <c r="B754" t="s">
        <v>59</v>
      </c>
      <c r="C754" s="82">
        <v>305395592</v>
      </c>
      <c r="D754">
        <v>201606</v>
      </c>
      <c r="E754" s="1">
        <v>42522</v>
      </c>
      <c r="F754" s="1">
        <v>42550</v>
      </c>
      <c r="G754" t="s">
        <v>211</v>
      </c>
      <c r="H754" s="81">
        <v>22</v>
      </c>
      <c r="I754" t="s">
        <v>47</v>
      </c>
      <c r="J754" s="3">
        <v>363.96</v>
      </c>
    </row>
    <row r="755" spans="1:10" x14ac:dyDescent="0.25">
      <c r="A755" t="s">
        <v>139</v>
      </c>
      <c r="B755" t="s">
        <v>59</v>
      </c>
      <c r="C755" s="82">
        <v>307009001</v>
      </c>
      <c r="D755">
        <v>201507</v>
      </c>
      <c r="E755" s="1">
        <v>42186</v>
      </c>
      <c r="F755" s="1">
        <v>42214</v>
      </c>
      <c r="G755" t="s">
        <v>221</v>
      </c>
      <c r="H755" s="81">
        <v>13</v>
      </c>
      <c r="I755" t="s">
        <v>47</v>
      </c>
      <c r="J755" s="3">
        <v>329.77</v>
      </c>
    </row>
    <row r="756" spans="1:10" x14ac:dyDescent="0.25">
      <c r="A756" t="s">
        <v>139</v>
      </c>
      <c r="B756" t="s">
        <v>59</v>
      </c>
      <c r="C756" s="82">
        <v>307009001</v>
      </c>
      <c r="D756">
        <v>201508</v>
      </c>
      <c r="E756" s="1">
        <v>42215</v>
      </c>
      <c r="F756" s="1">
        <v>42247</v>
      </c>
      <c r="G756" t="s">
        <v>221</v>
      </c>
      <c r="H756" s="81">
        <v>10</v>
      </c>
      <c r="I756" t="s">
        <v>47</v>
      </c>
      <c r="J756" s="3">
        <v>345.46</v>
      </c>
    </row>
    <row r="757" spans="1:10" x14ac:dyDescent="0.25">
      <c r="A757" t="s">
        <v>139</v>
      </c>
      <c r="B757" t="s">
        <v>59</v>
      </c>
      <c r="C757" s="82">
        <v>307009001</v>
      </c>
      <c r="D757">
        <v>201509</v>
      </c>
      <c r="E757" s="1">
        <v>42248</v>
      </c>
      <c r="F757" s="1">
        <v>42279</v>
      </c>
      <c r="G757" t="s">
        <v>221</v>
      </c>
      <c r="H757" s="81">
        <v>12</v>
      </c>
      <c r="I757" t="s">
        <v>47</v>
      </c>
      <c r="J757" s="3">
        <v>363.86</v>
      </c>
    </row>
    <row r="758" spans="1:10" x14ac:dyDescent="0.25">
      <c r="A758" t="s">
        <v>139</v>
      </c>
      <c r="B758" t="s">
        <v>59</v>
      </c>
      <c r="C758" s="82">
        <v>307009001</v>
      </c>
      <c r="D758">
        <v>201510</v>
      </c>
      <c r="E758" s="1">
        <v>42280</v>
      </c>
      <c r="F758" s="1">
        <v>42310</v>
      </c>
      <c r="G758" t="s">
        <v>221</v>
      </c>
      <c r="H758" s="81">
        <v>22</v>
      </c>
      <c r="I758" t="s">
        <v>47</v>
      </c>
      <c r="J758" s="3">
        <v>462.96</v>
      </c>
    </row>
    <row r="759" spans="1:10" x14ac:dyDescent="0.25">
      <c r="A759" t="s">
        <v>139</v>
      </c>
      <c r="B759" t="s">
        <v>59</v>
      </c>
      <c r="C759" s="82">
        <v>307009001</v>
      </c>
      <c r="D759">
        <v>201511</v>
      </c>
      <c r="E759" s="1">
        <v>42311</v>
      </c>
      <c r="F759" s="1">
        <v>42339</v>
      </c>
      <c r="G759" t="s">
        <v>221</v>
      </c>
      <c r="H759" s="81">
        <v>11</v>
      </c>
      <c r="I759" t="s">
        <v>47</v>
      </c>
      <c r="J759" s="3">
        <v>354.66</v>
      </c>
    </row>
    <row r="760" spans="1:10" x14ac:dyDescent="0.25">
      <c r="A760" t="s">
        <v>139</v>
      </c>
      <c r="B760" t="s">
        <v>59</v>
      </c>
      <c r="C760" s="82">
        <v>307009001</v>
      </c>
      <c r="D760">
        <v>201512</v>
      </c>
      <c r="E760" s="1">
        <v>42340</v>
      </c>
      <c r="F760" s="1">
        <v>42374</v>
      </c>
      <c r="G760" t="s">
        <v>221</v>
      </c>
      <c r="H760" s="81">
        <v>14</v>
      </c>
      <c r="I760" t="s">
        <v>47</v>
      </c>
      <c r="J760" s="3">
        <v>382.26</v>
      </c>
    </row>
    <row r="761" spans="1:10" x14ac:dyDescent="0.25">
      <c r="A761" t="s">
        <v>139</v>
      </c>
      <c r="B761" t="s">
        <v>59</v>
      </c>
      <c r="C761" s="82">
        <v>307009001</v>
      </c>
      <c r="D761">
        <v>201601</v>
      </c>
      <c r="E761" s="1">
        <v>42375</v>
      </c>
      <c r="F761" s="1">
        <v>42401</v>
      </c>
      <c r="G761" t="s">
        <v>221</v>
      </c>
      <c r="H761" s="81">
        <v>15</v>
      </c>
      <c r="I761" t="s">
        <v>47</v>
      </c>
      <c r="J761" s="3">
        <v>391.46</v>
      </c>
    </row>
    <row r="762" spans="1:10" x14ac:dyDescent="0.25">
      <c r="A762" t="s">
        <v>139</v>
      </c>
      <c r="B762" t="s">
        <v>59</v>
      </c>
      <c r="C762" s="82">
        <v>307009001</v>
      </c>
      <c r="D762">
        <v>201602</v>
      </c>
      <c r="E762" s="1">
        <v>42402</v>
      </c>
      <c r="F762" s="1">
        <v>42433</v>
      </c>
      <c r="G762" t="s">
        <v>221</v>
      </c>
      <c r="H762" s="81">
        <v>11</v>
      </c>
      <c r="I762" t="s">
        <v>47</v>
      </c>
      <c r="J762" s="3">
        <v>354.66</v>
      </c>
    </row>
    <row r="763" spans="1:10" x14ac:dyDescent="0.25">
      <c r="A763" t="s">
        <v>139</v>
      </c>
      <c r="B763" t="s">
        <v>59</v>
      </c>
      <c r="C763" s="82">
        <v>307009001</v>
      </c>
      <c r="D763">
        <v>201603</v>
      </c>
      <c r="E763" s="1">
        <v>42434</v>
      </c>
      <c r="F763" s="1">
        <v>42464</v>
      </c>
      <c r="G763" t="s">
        <v>221</v>
      </c>
      <c r="H763" s="81">
        <v>7</v>
      </c>
      <c r="I763" t="s">
        <v>47</v>
      </c>
      <c r="J763" s="3">
        <v>321.91000000000003</v>
      </c>
    </row>
    <row r="764" spans="1:10" x14ac:dyDescent="0.25">
      <c r="A764" t="s">
        <v>139</v>
      </c>
      <c r="B764" t="s">
        <v>59</v>
      </c>
      <c r="C764" s="82">
        <v>307009001</v>
      </c>
      <c r="D764">
        <v>201604</v>
      </c>
      <c r="E764" s="1">
        <v>42465</v>
      </c>
      <c r="F764" s="1">
        <v>42492</v>
      </c>
      <c r="G764" t="s">
        <v>221</v>
      </c>
      <c r="H764" s="81">
        <v>18</v>
      </c>
      <c r="I764" t="s">
        <v>47</v>
      </c>
      <c r="J764" s="3">
        <v>424.54</v>
      </c>
    </row>
    <row r="765" spans="1:10" x14ac:dyDescent="0.25">
      <c r="A765" t="s">
        <v>139</v>
      </c>
      <c r="B765" t="s">
        <v>59</v>
      </c>
      <c r="C765" s="82">
        <v>307009001</v>
      </c>
      <c r="D765">
        <v>201605</v>
      </c>
      <c r="E765" s="1">
        <v>42493</v>
      </c>
      <c r="F765" s="1">
        <v>42528</v>
      </c>
      <c r="G765" t="s">
        <v>221</v>
      </c>
      <c r="H765" s="81">
        <v>17</v>
      </c>
      <c r="I765" t="s">
        <v>47</v>
      </c>
      <c r="J765" s="3">
        <v>415.21</v>
      </c>
    </row>
    <row r="766" spans="1:10" x14ac:dyDescent="0.25">
      <c r="A766" t="s">
        <v>139</v>
      </c>
      <c r="B766" t="s">
        <v>59</v>
      </c>
      <c r="C766" s="82">
        <v>307009001</v>
      </c>
      <c r="D766">
        <v>201606</v>
      </c>
      <c r="E766" s="1">
        <v>42529</v>
      </c>
      <c r="F766" s="1">
        <v>42551</v>
      </c>
      <c r="G766" t="s">
        <v>221</v>
      </c>
      <c r="H766" s="81">
        <v>22</v>
      </c>
      <c r="I766" t="s">
        <v>47</v>
      </c>
      <c r="J766" s="3">
        <v>496.06</v>
      </c>
    </row>
    <row r="767" spans="1:10" x14ac:dyDescent="0.25">
      <c r="A767" t="s">
        <v>4</v>
      </c>
      <c r="B767" t="s">
        <v>59</v>
      </c>
      <c r="C767" s="82">
        <v>301882122</v>
      </c>
      <c r="D767">
        <v>201507</v>
      </c>
      <c r="E767" s="1">
        <v>42186</v>
      </c>
      <c r="F767" s="1">
        <v>42214</v>
      </c>
      <c r="G767" t="s">
        <v>205</v>
      </c>
      <c r="H767" s="81">
        <v>38</v>
      </c>
      <c r="I767" t="s">
        <v>47</v>
      </c>
      <c r="J767" s="3">
        <v>522.08000000000004</v>
      </c>
    </row>
    <row r="768" spans="1:10" x14ac:dyDescent="0.25">
      <c r="A768" t="s">
        <v>4</v>
      </c>
      <c r="B768" t="s">
        <v>59</v>
      </c>
      <c r="C768" s="82">
        <v>301882122</v>
      </c>
      <c r="D768">
        <v>201508</v>
      </c>
      <c r="E768" s="1">
        <v>42215</v>
      </c>
      <c r="F768" s="1">
        <v>42243</v>
      </c>
      <c r="G768" t="s">
        <v>205</v>
      </c>
      <c r="H768" s="81">
        <v>55</v>
      </c>
      <c r="I768" t="s">
        <v>47</v>
      </c>
      <c r="J768" s="3">
        <v>715.36</v>
      </c>
    </row>
    <row r="769" spans="1:10" x14ac:dyDescent="0.25">
      <c r="A769" t="s">
        <v>4</v>
      </c>
      <c r="B769" t="s">
        <v>59</v>
      </c>
      <c r="C769" s="82">
        <v>301882122</v>
      </c>
      <c r="D769">
        <v>201509</v>
      </c>
      <c r="E769" s="1">
        <v>42244</v>
      </c>
      <c r="F769" s="1">
        <v>42275</v>
      </c>
      <c r="G769" t="s">
        <v>205</v>
      </c>
      <c r="H769" s="81">
        <v>215</v>
      </c>
      <c r="I769" t="s">
        <v>47</v>
      </c>
      <c r="J769" s="3">
        <v>552.15</v>
      </c>
    </row>
    <row r="770" spans="1:10" x14ac:dyDescent="0.25">
      <c r="A770" t="s">
        <v>4</v>
      </c>
      <c r="B770" t="s">
        <v>59</v>
      </c>
      <c r="C770" s="82">
        <v>301882122</v>
      </c>
      <c r="D770">
        <v>201510</v>
      </c>
      <c r="E770" s="1">
        <v>42276</v>
      </c>
      <c r="F770" s="1">
        <v>42317</v>
      </c>
      <c r="G770" t="s">
        <v>205</v>
      </c>
      <c r="H770" s="81">
        <v>99</v>
      </c>
      <c r="I770" t="s">
        <v>47</v>
      </c>
      <c r="J770" s="3">
        <v>526.65</v>
      </c>
    </row>
    <row r="771" spans="1:10" x14ac:dyDescent="0.25">
      <c r="A771" t="s">
        <v>4</v>
      </c>
      <c r="B771" t="s">
        <v>59</v>
      </c>
      <c r="C771" s="82">
        <v>301882122</v>
      </c>
      <c r="D771">
        <v>201511</v>
      </c>
      <c r="E771" s="1">
        <v>42318</v>
      </c>
      <c r="F771" s="1">
        <v>42341</v>
      </c>
      <c r="G771" t="s">
        <v>205</v>
      </c>
      <c r="H771" s="81">
        <v>98</v>
      </c>
      <c r="I771" t="s">
        <v>47</v>
      </c>
      <c r="J771" s="3">
        <v>524.1</v>
      </c>
    </row>
    <row r="772" spans="1:10" x14ac:dyDescent="0.25">
      <c r="A772" t="s">
        <v>4</v>
      </c>
      <c r="B772" t="s">
        <v>59</v>
      </c>
      <c r="C772" s="82">
        <v>301882122</v>
      </c>
      <c r="D772">
        <v>201512</v>
      </c>
      <c r="E772" s="1">
        <v>42342</v>
      </c>
      <c r="F772" s="1">
        <v>42369</v>
      </c>
      <c r="G772" t="s">
        <v>205</v>
      </c>
      <c r="H772" s="81">
        <v>74</v>
      </c>
      <c r="I772" t="s">
        <v>47</v>
      </c>
      <c r="J772" s="3">
        <v>462.9</v>
      </c>
    </row>
    <row r="773" spans="1:10" x14ac:dyDescent="0.25">
      <c r="A773" t="s">
        <v>4</v>
      </c>
      <c r="B773" t="s">
        <v>59</v>
      </c>
      <c r="C773" s="82">
        <v>301882122</v>
      </c>
      <c r="D773">
        <v>201601</v>
      </c>
      <c r="E773" s="1">
        <v>42370</v>
      </c>
      <c r="F773" s="1">
        <v>42402</v>
      </c>
      <c r="G773" t="s">
        <v>205</v>
      </c>
      <c r="H773" s="81">
        <v>74</v>
      </c>
      <c r="I773" t="s">
        <v>47</v>
      </c>
      <c r="J773" s="3">
        <v>462.9</v>
      </c>
    </row>
    <row r="774" spans="1:10" x14ac:dyDescent="0.25">
      <c r="A774" t="s">
        <v>4</v>
      </c>
      <c r="B774" t="s">
        <v>59</v>
      </c>
      <c r="C774" s="82">
        <v>301882122</v>
      </c>
      <c r="D774">
        <v>201602</v>
      </c>
      <c r="E774" s="1">
        <v>42404</v>
      </c>
      <c r="F774" s="1">
        <v>42436</v>
      </c>
      <c r="G774" t="s">
        <v>205</v>
      </c>
      <c r="H774" s="81">
        <v>74</v>
      </c>
      <c r="I774" t="s">
        <v>47</v>
      </c>
      <c r="J774" s="3">
        <v>462.9</v>
      </c>
    </row>
    <row r="775" spans="1:10" x14ac:dyDescent="0.25">
      <c r="A775" t="s">
        <v>4</v>
      </c>
      <c r="B775" t="s">
        <v>59</v>
      </c>
      <c r="C775" s="82">
        <v>301882122</v>
      </c>
      <c r="D775">
        <v>201603</v>
      </c>
      <c r="E775" s="1">
        <v>42437</v>
      </c>
      <c r="F775" s="1">
        <v>42464</v>
      </c>
      <c r="G775" t="s">
        <v>205</v>
      </c>
      <c r="H775" s="81">
        <v>88</v>
      </c>
      <c r="I775" t="s">
        <v>47</v>
      </c>
      <c r="J775" s="3">
        <v>512.85</v>
      </c>
    </row>
    <row r="776" spans="1:10" x14ac:dyDescent="0.25">
      <c r="A776" t="s">
        <v>4</v>
      </c>
      <c r="B776" t="s">
        <v>59</v>
      </c>
      <c r="C776" s="82">
        <v>301882122</v>
      </c>
      <c r="D776">
        <v>201604</v>
      </c>
      <c r="E776" s="1">
        <v>42465</v>
      </c>
      <c r="F776" s="1">
        <v>42493</v>
      </c>
      <c r="G776" t="s">
        <v>205</v>
      </c>
      <c r="H776" s="81">
        <v>422</v>
      </c>
      <c r="I776" t="s">
        <v>47</v>
      </c>
      <c r="J776" s="3">
        <v>1407.97</v>
      </c>
    </row>
    <row r="777" spans="1:10" x14ac:dyDescent="0.25">
      <c r="A777" t="s">
        <v>4</v>
      </c>
      <c r="B777" t="s">
        <v>59</v>
      </c>
      <c r="C777" s="82">
        <v>301882122</v>
      </c>
      <c r="D777">
        <v>201605</v>
      </c>
      <c r="E777" s="1">
        <v>42495</v>
      </c>
      <c r="F777" s="1">
        <v>42522</v>
      </c>
      <c r="G777" t="s">
        <v>205</v>
      </c>
      <c r="H777" s="81">
        <v>62</v>
      </c>
      <c r="I777" t="s">
        <v>47</v>
      </c>
      <c r="J777" s="3">
        <v>443.17</v>
      </c>
    </row>
    <row r="778" spans="1:10" x14ac:dyDescent="0.25">
      <c r="A778" t="s">
        <v>4</v>
      </c>
      <c r="B778" t="s">
        <v>59</v>
      </c>
      <c r="C778" s="82">
        <v>301882122</v>
      </c>
      <c r="D778">
        <v>201606</v>
      </c>
      <c r="E778" s="1">
        <v>42523</v>
      </c>
      <c r="F778" s="1">
        <v>42550</v>
      </c>
      <c r="G778" t="s">
        <v>205</v>
      </c>
      <c r="H778" s="81">
        <v>113</v>
      </c>
      <c r="I778" t="s">
        <v>47</v>
      </c>
      <c r="J778" s="3">
        <v>579.85</v>
      </c>
    </row>
    <row r="779" spans="1:10" x14ac:dyDescent="0.25">
      <c r="A779" t="s">
        <v>4</v>
      </c>
      <c r="B779" t="s">
        <v>59</v>
      </c>
      <c r="C779" s="82">
        <v>306598442</v>
      </c>
      <c r="D779">
        <v>201507</v>
      </c>
      <c r="E779" s="1">
        <v>42186</v>
      </c>
      <c r="F779" s="1">
        <v>42214</v>
      </c>
      <c r="G779" t="s">
        <v>217</v>
      </c>
      <c r="H779" s="81">
        <v>743</v>
      </c>
      <c r="I779" t="s">
        <v>47</v>
      </c>
      <c r="J779" s="3">
        <v>4485</v>
      </c>
    </row>
    <row r="780" spans="1:10" x14ac:dyDescent="0.25">
      <c r="A780" t="s">
        <v>4</v>
      </c>
      <c r="B780" t="s">
        <v>59</v>
      </c>
      <c r="C780" s="82">
        <v>306598442</v>
      </c>
      <c r="D780">
        <v>201508</v>
      </c>
      <c r="E780" s="1">
        <v>42215</v>
      </c>
      <c r="F780" s="1">
        <v>42247</v>
      </c>
      <c r="G780" t="s">
        <v>217</v>
      </c>
      <c r="H780" s="81">
        <v>1000</v>
      </c>
      <c r="I780" t="s">
        <v>47</v>
      </c>
      <c r="J780" s="3">
        <v>6052.7</v>
      </c>
    </row>
    <row r="781" spans="1:10" x14ac:dyDescent="0.25">
      <c r="A781" t="s">
        <v>4</v>
      </c>
      <c r="B781" t="s">
        <v>59</v>
      </c>
      <c r="C781" s="82">
        <v>306598442</v>
      </c>
      <c r="D781">
        <v>201509</v>
      </c>
      <c r="E781" s="1">
        <v>42248</v>
      </c>
      <c r="F781" s="1">
        <v>42279</v>
      </c>
      <c r="G781" t="s">
        <v>217</v>
      </c>
      <c r="H781" s="81">
        <v>602</v>
      </c>
      <c r="I781" t="s">
        <v>47</v>
      </c>
      <c r="J781" s="3">
        <v>3624.9</v>
      </c>
    </row>
    <row r="782" spans="1:10" x14ac:dyDescent="0.25">
      <c r="A782" t="s">
        <v>4</v>
      </c>
      <c r="B782" t="s">
        <v>59</v>
      </c>
      <c r="C782" s="82">
        <v>306598442</v>
      </c>
      <c r="D782">
        <v>201510</v>
      </c>
      <c r="E782" s="1">
        <v>42280</v>
      </c>
      <c r="F782" s="1">
        <v>42310</v>
      </c>
      <c r="G782" t="s">
        <v>217</v>
      </c>
      <c r="H782" s="81">
        <v>295</v>
      </c>
      <c r="I782" t="s">
        <v>47</v>
      </c>
      <c r="J782" s="3">
        <v>1752.2</v>
      </c>
    </row>
    <row r="783" spans="1:10" x14ac:dyDescent="0.25">
      <c r="A783" t="s">
        <v>4</v>
      </c>
      <c r="B783" t="s">
        <v>59</v>
      </c>
      <c r="C783" s="82">
        <v>306598442</v>
      </c>
      <c r="D783">
        <v>201511</v>
      </c>
      <c r="E783" s="1">
        <v>42311</v>
      </c>
      <c r="F783" s="1">
        <v>42346</v>
      </c>
      <c r="G783" t="s">
        <v>217</v>
      </c>
      <c r="H783" s="81">
        <v>18</v>
      </c>
      <c r="I783" t="s">
        <v>47</v>
      </c>
      <c r="J783" s="3">
        <v>87.35</v>
      </c>
    </row>
    <row r="784" spans="1:10" x14ac:dyDescent="0.25">
      <c r="A784" t="s">
        <v>4</v>
      </c>
      <c r="B784" t="s">
        <v>59</v>
      </c>
      <c r="C784" s="82">
        <v>306598442</v>
      </c>
      <c r="D784">
        <v>201512</v>
      </c>
      <c r="E784" s="1">
        <v>42347</v>
      </c>
      <c r="F784" s="1">
        <v>42374</v>
      </c>
      <c r="G784" t="s">
        <v>217</v>
      </c>
      <c r="H784" s="81">
        <v>17</v>
      </c>
      <c r="I784" t="s">
        <v>47</v>
      </c>
      <c r="J784" s="3">
        <v>84.8</v>
      </c>
    </row>
    <row r="785" spans="1:10" x14ac:dyDescent="0.25">
      <c r="A785" t="s">
        <v>4</v>
      </c>
      <c r="B785" t="s">
        <v>59</v>
      </c>
      <c r="C785" s="82">
        <v>306598442</v>
      </c>
      <c r="D785">
        <v>201601</v>
      </c>
      <c r="E785" s="1">
        <v>42375</v>
      </c>
      <c r="F785" s="1">
        <v>42401</v>
      </c>
      <c r="G785" t="s">
        <v>217</v>
      </c>
      <c r="H785" s="81"/>
      <c r="I785" t="s">
        <v>47</v>
      </c>
      <c r="J785" s="3">
        <v>41.45</v>
      </c>
    </row>
    <row r="786" spans="1:10" x14ac:dyDescent="0.25">
      <c r="A786" t="s">
        <v>4</v>
      </c>
      <c r="B786" t="s">
        <v>59</v>
      </c>
      <c r="C786" s="82">
        <v>306598442</v>
      </c>
      <c r="D786">
        <v>201602</v>
      </c>
      <c r="E786" s="1">
        <v>42402</v>
      </c>
      <c r="F786" s="1">
        <v>42437</v>
      </c>
      <c r="G786" t="s">
        <v>217</v>
      </c>
      <c r="H786" s="81">
        <v>6</v>
      </c>
      <c r="I786" t="s">
        <v>47</v>
      </c>
      <c r="J786" s="3">
        <v>56.75</v>
      </c>
    </row>
    <row r="787" spans="1:10" x14ac:dyDescent="0.25">
      <c r="A787" t="s">
        <v>4</v>
      </c>
      <c r="B787" t="s">
        <v>59</v>
      </c>
      <c r="C787" s="82">
        <v>306598442</v>
      </c>
      <c r="D787">
        <v>201603</v>
      </c>
      <c r="E787" s="1">
        <v>42438</v>
      </c>
      <c r="F787" s="1">
        <v>42461</v>
      </c>
      <c r="G787" t="s">
        <v>217</v>
      </c>
      <c r="H787" s="81">
        <v>230</v>
      </c>
      <c r="I787" t="s">
        <v>47</v>
      </c>
      <c r="J787" s="3">
        <v>660</v>
      </c>
    </row>
    <row r="788" spans="1:10" x14ac:dyDescent="0.25">
      <c r="A788" t="s">
        <v>4</v>
      </c>
      <c r="B788" t="s">
        <v>59</v>
      </c>
      <c r="C788" s="82">
        <v>306598442</v>
      </c>
      <c r="D788">
        <v>201604</v>
      </c>
      <c r="E788" s="1">
        <v>42462</v>
      </c>
      <c r="F788" s="1">
        <v>42492</v>
      </c>
      <c r="G788" t="s">
        <v>217</v>
      </c>
      <c r="H788" s="81">
        <v>546</v>
      </c>
      <c r="I788" t="s">
        <v>47</v>
      </c>
      <c r="J788" s="3">
        <v>1506.88</v>
      </c>
    </row>
    <row r="789" spans="1:10" x14ac:dyDescent="0.25">
      <c r="A789" t="s">
        <v>4</v>
      </c>
      <c r="B789" t="s">
        <v>59</v>
      </c>
      <c r="C789" s="82">
        <v>306598442</v>
      </c>
      <c r="D789">
        <v>201605</v>
      </c>
      <c r="E789" s="1">
        <v>42493</v>
      </c>
      <c r="F789" s="1">
        <v>42529</v>
      </c>
      <c r="G789" t="s">
        <v>217</v>
      </c>
      <c r="H789" s="81">
        <v>660</v>
      </c>
      <c r="I789" t="s">
        <v>47</v>
      </c>
      <c r="J789" s="3">
        <v>1812.4</v>
      </c>
    </row>
    <row r="790" spans="1:10" x14ac:dyDescent="0.25">
      <c r="A790" t="s">
        <v>4</v>
      </c>
      <c r="B790" t="s">
        <v>59</v>
      </c>
      <c r="C790" s="82">
        <v>306598442</v>
      </c>
      <c r="D790">
        <v>201606</v>
      </c>
      <c r="E790" s="1">
        <v>42530</v>
      </c>
      <c r="F790" s="1">
        <v>42551</v>
      </c>
      <c r="G790" t="s">
        <v>217</v>
      </c>
      <c r="H790" s="81">
        <v>715</v>
      </c>
      <c r="I790" t="s">
        <v>47</v>
      </c>
      <c r="J790" s="3">
        <v>4581.8</v>
      </c>
    </row>
    <row r="791" spans="1:10" x14ac:dyDescent="0.25">
      <c r="A791" t="s">
        <v>4</v>
      </c>
      <c r="B791" t="s">
        <v>59</v>
      </c>
      <c r="C791" s="82">
        <v>306598517</v>
      </c>
      <c r="D791">
        <v>201507</v>
      </c>
      <c r="E791" s="1">
        <v>42186</v>
      </c>
      <c r="F791" s="1">
        <v>42214</v>
      </c>
      <c r="G791" t="s">
        <v>218</v>
      </c>
      <c r="H791" s="81"/>
      <c r="I791" t="s">
        <v>47</v>
      </c>
      <c r="J791" s="3">
        <v>5.75</v>
      </c>
    </row>
    <row r="792" spans="1:10" x14ac:dyDescent="0.25">
      <c r="A792" t="s">
        <v>4</v>
      </c>
      <c r="B792" t="s">
        <v>59</v>
      </c>
      <c r="C792" s="82">
        <v>306598517</v>
      </c>
      <c r="D792">
        <v>201508</v>
      </c>
      <c r="E792" s="1">
        <v>42215</v>
      </c>
      <c r="F792" s="1">
        <v>42243</v>
      </c>
      <c r="G792" t="s">
        <v>218</v>
      </c>
      <c r="H792" s="81">
        <v>0</v>
      </c>
      <c r="I792" t="s">
        <v>47</v>
      </c>
      <c r="J792" s="3">
        <v>5.75</v>
      </c>
    </row>
    <row r="793" spans="1:10" x14ac:dyDescent="0.25">
      <c r="A793" t="s">
        <v>4</v>
      </c>
      <c r="B793" t="s">
        <v>59</v>
      </c>
      <c r="C793" s="82">
        <v>306598517</v>
      </c>
      <c r="D793">
        <v>201509</v>
      </c>
      <c r="E793" s="1">
        <v>42244</v>
      </c>
      <c r="F793" s="1">
        <v>42279</v>
      </c>
      <c r="G793" t="s">
        <v>218</v>
      </c>
      <c r="H793" s="81">
        <v>0</v>
      </c>
      <c r="I793" t="s">
        <v>47</v>
      </c>
      <c r="J793" s="3">
        <v>5.75</v>
      </c>
    </row>
    <row r="794" spans="1:10" x14ac:dyDescent="0.25">
      <c r="A794" t="s">
        <v>4</v>
      </c>
      <c r="B794" t="s">
        <v>59</v>
      </c>
      <c r="C794" s="82">
        <v>306598517</v>
      </c>
      <c r="D794">
        <v>201510</v>
      </c>
      <c r="E794" s="1">
        <v>42280</v>
      </c>
      <c r="F794" s="1">
        <v>42310</v>
      </c>
      <c r="G794" t="s">
        <v>218</v>
      </c>
      <c r="H794" s="81"/>
      <c r="I794" t="s">
        <v>47</v>
      </c>
      <c r="J794" s="3">
        <v>5.75</v>
      </c>
    </row>
    <row r="795" spans="1:10" x14ac:dyDescent="0.25">
      <c r="A795" t="s">
        <v>4</v>
      </c>
      <c r="B795" t="s">
        <v>59</v>
      </c>
      <c r="C795" s="82">
        <v>306598517</v>
      </c>
      <c r="D795">
        <v>201511</v>
      </c>
      <c r="E795" s="1">
        <v>42311</v>
      </c>
      <c r="F795" s="1">
        <v>42340</v>
      </c>
      <c r="G795" t="s">
        <v>218</v>
      </c>
      <c r="H795" s="81"/>
      <c r="I795" t="s">
        <v>47</v>
      </c>
      <c r="J795" s="3">
        <v>5.75</v>
      </c>
    </row>
    <row r="796" spans="1:10" x14ac:dyDescent="0.25">
      <c r="A796" t="s">
        <v>4</v>
      </c>
      <c r="B796" t="s">
        <v>59</v>
      </c>
      <c r="C796" s="82">
        <v>306598517</v>
      </c>
      <c r="D796">
        <v>201512</v>
      </c>
      <c r="E796" s="1">
        <v>42341</v>
      </c>
      <c r="F796" s="1">
        <v>42373</v>
      </c>
      <c r="G796" t="s">
        <v>218</v>
      </c>
      <c r="H796" s="81">
        <v>0</v>
      </c>
      <c r="I796" t="s">
        <v>47</v>
      </c>
      <c r="J796" s="3">
        <v>5.75</v>
      </c>
    </row>
    <row r="797" spans="1:10" x14ac:dyDescent="0.25">
      <c r="A797" t="s">
        <v>4</v>
      </c>
      <c r="B797" t="s">
        <v>59</v>
      </c>
      <c r="C797" s="82">
        <v>306598517</v>
      </c>
      <c r="D797">
        <v>201601</v>
      </c>
      <c r="E797" s="1">
        <v>42374</v>
      </c>
      <c r="F797" s="1">
        <v>42401</v>
      </c>
      <c r="G797" t="s">
        <v>218</v>
      </c>
      <c r="H797" s="81">
        <v>0</v>
      </c>
      <c r="I797" t="s">
        <v>47</v>
      </c>
      <c r="J797" s="3">
        <v>5.75</v>
      </c>
    </row>
    <row r="798" spans="1:10" x14ac:dyDescent="0.25">
      <c r="A798" t="s">
        <v>4</v>
      </c>
      <c r="B798" t="s">
        <v>59</v>
      </c>
      <c r="C798" s="82">
        <v>306598517</v>
      </c>
      <c r="D798">
        <v>201602</v>
      </c>
      <c r="E798" s="1">
        <v>42402</v>
      </c>
      <c r="F798" s="1">
        <v>42433</v>
      </c>
      <c r="G798" t="s">
        <v>218</v>
      </c>
      <c r="H798" s="81"/>
      <c r="I798" t="s">
        <v>47</v>
      </c>
      <c r="J798" s="3">
        <v>5.75</v>
      </c>
    </row>
    <row r="799" spans="1:10" x14ac:dyDescent="0.25">
      <c r="A799" t="s">
        <v>4</v>
      </c>
      <c r="B799" t="s">
        <v>59</v>
      </c>
      <c r="C799" s="82">
        <v>306598517</v>
      </c>
      <c r="D799">
        <v>201603</v>
      </c>
      <c r="E799" s="1">
        <v>42434</v>
      </c>
      <c r="F799" s="1">
        <v>42461</v>
      </c>
      <c r="G799" t="s">
        <v>218</v>
      </c>
      <c r="H799" s="81">
        <v>0</v>
      </c>
      <c r="I799" t="s">
        <v>47</v>
      </c>
      <c r="J799" s="3">
        <v>5.8</v>
      </c>
    </row>
    <row r="800" spans="1:10" x14ac:dyDescent="0.25">
      <c r="A800" t="s">
        <v>4</v>
      </c>
      <c r="B800" t="s">
        <v>59</v>
      </c>
      <c r="C800" s="82">
        <v>306598517</v>
      </c>
      <c r="D800">
        <v>201604</v>
      </c>
      <c r="E800" s="1">
        <v>42462</v>
      </c>
      <c r="F800" s="1">
        <v>42492</v>
      </c>
      <c r="G800" t="s">
        <v>218</v>
      </c>
      <c r="H800" s="81">
        <v>0</v>
      </c>
      <c r="I800" t="s">
        <v>47</v>
      </c>
      <c r="J800" s="3">
        <v>5.8</v>
      </c>
    </row>
    <row r="801" spans="1:10" x14ac:dyDescent="0.25">
      <c r="A801" t="s">
        <v>4</v>
      </c>
      <c r="B801" t="s">
        <v>59</v>
      </c>
      <c r="C801" s="82">
        <v>306598517</v>
      </c>
      <c r="D801">
        <v>201605</v>
      </c>
      <c r="E801" s="1">
        <v>42493</v>
      </c>
      <c r="F801" s="1">
        <v>42528</v>
      </c>
      <c r="G801" t="s">
        <v>218</v>
      </c>
      <c r="H801" s="81">
        <v>0</v>
      </c>
      <c r="I801" t="s">
        <v>47</v>
      </c>
      <c r="J801" s="3">
        <v>5.8</v>
      </c>
    </row>
    <row r="802" spans="1:10" x14ac:dyDescent="0.25">
      <c r="A802" t="s">
        <v>4</v>
      </c>
      <c r="B802" t="s">
        <v>59</v>
      </c>
      <c r="C802" s="82">
        <v>306598517</v>
      </c>
      <c r="D802">
        <v>201606</v>
      </c>
      <c r="E802" s="1">
        <v>42529</v>
      </c>
      <c r="F802" s="1">
        <v>42551</v>
      </c>
      <c r="G802" t="s">
        <v>218</v>
      </c>
      <c r="H802" s="81">
        <v>0</v>
      </c>
      <c r="I802" t="s">
        <v>47</v>
      </c>
      <c r="J802" s="3">
        <v>5.8</v>
      </c>
    </row>
    <row r="803" spans="1:10" x14ac:dyDescent="0.25">
      <c r="A803" t="s">
        <v>4</v>
      </c>
      <c r="B803" t="s">
        <v>59</v>
      </c>
      <c r="C803" s="82">
        <v>306598582</v>
      </c>
      <c r="D803">
        <v>201507</v>
      </c>
      <c r="E803" s="1">
        <v>42186</v>
      </c>
      <c r="F803" s="1">
        <v>42214</v>
      </c>
      <c r="G803" t="s">
        <v>219</v>
      </c>
      <c r="H803" s="81">
        <v>189</v>
      </c>
      <c r="I803" t="s">
        <v>47</v>
      </c>
      <c r="J803" s="3">
        <v>1158.8499999999999</v>
      </c>
    </row>
    <row r="804" spans="1:10" x14ac:dyDescent="0.25">
      <c r="A804" t="s">
        <v>4</v>
      </c>
      <c r="B804" t="s">
        <v>59</v>
      </c>
      <c r="C804" s="82">
        <v>306598582</v>
      </c>
      <c r="D804">
        <v>201508</v>
      </c>
      <c r="E804" s="1">
        <v>42215</v>
      </c>
      <c r="F804" s="1">
        <v>42247</v>
      </c>
      <c r="G804" t="s">
        <v>219</v>
      </c>
      <c r="H804" s="81">
        <v>570</v>
      </c>
      <c r="I804" t="s">
        <v>47</v>
      </c>
      <c r="J804" s="3">
        <v>3482.95</v>
      </c>
    </row>
    <row r="805" spans="1:10" x14ac:dyDescent="0.25">
      <c r="A805" t="s">
        <v>4</v>
      </c>
      <c r="B805" t="s">
        <v>59</v>
      </c>
      <c r="C805" s="82">
        <v>306598582</v>
      </c>
      <c r="D805">
        <v>201509</v>
      </c>
      <c r="E805" s="1">
        <v>42248</v>
      </c>
      <c r="F805" s="1">
        <v>42276</v>
      </c>
      <c r="G805" t="s">
        <v>219</v>
      </c>
      <c r="H805" s="81">
        <v>530</v>
      </c>
      <c r="I805" t="s">
        <v>47</v>
      </c>
      <c r="J805" s="3">
        <v>3238.95</v>
      </c>
    </row>
    <row r="806" spans="1:10" x14ac:dyDescent="0.25">
      <c r="A806" t="s">
        <v>4</v>
      </c>
      <c r="B806" t="s">
        <v>59</v>
      </c>
      <c r="C806" s="82">
        <v>306598582</v>
      </c>
      <c r="D806">
        <v>201510</v>
      </c>
      <c r="E806" s="1">
        <v>42277</v>
      </c>
      <c r="F806" s="1">
        <v>42310</v>
      </c>
      <c r="G806" t="s">
        <v>219</v>
      </c>
      <c r="H806" s="81">
        <v>106</v>
      </c>
      <c r="I806" t="s">
        <v>47</v>
      </c>
      <c r="J806" s="3">
        <v>652.54999999999995</v>
      </c>
    </row>
    <row r="807" spans="1:10" x14ac:dyDescent="0.25">
      <c r="A807" t="s">
        <v>4</v>
      </c>
      <c r="B807" t="s">
        <v>59</v>
      </c>
      <c r="C807" s="82">
        <v>306598582</v>
      </c>
      <c r="D807">
        <v>201511</v>
      </c>
      <c r="E807" s="1">
        <v>42311</v>
      </c>
      <c r="F807" s="1">
        <v>42346</v>
      </c>
      <c r="G807" t="s">
        <v>219</v>
      </c>
      <c r="H807" s="81">
        <v>133</v>
      </c>
      <c r="I807" t="s">
        <v>47</v>
      </c>
      <c r="J807" s="3">
        <v>817.25</v>
      </c>
    </row>
    <row r="808" spans="1:10" x14ac:dyDescent="0.25">
      <c r="A808" t="s">
        <v>4</v>
      </c>
      <c r="B808" t="s">
        <v>59</v>
      </c>
      <c r="C808" s="82">
        <v>306598582</v>
      </c>
      <c r="D808">
        <v>201512</v>
      </c>
      <c r="E808" s="1">
        <v>42347</v>
      </c>
      <c r="F808" s="1">
        <v>42373</v>
      </c>
      <c r="G808" t="s">
        <v>219</v>
      </c>
      <c r="H808" s="81">
        <v>132</v>
      </c>
      <c r="I808" t="s">
        <v>47</v>
      </c>
      <c r="J808" s="3">
        <v>378.05</v>
      </c>
    </row>
    <row r="809" spans="1:10" x14ac:dyDescent="0.25">
      <c r="A809" t="s">
        <v>4</v>
      </c>
      <c r="B809" t="s">
        <v>59</v>
      </c>
      <c r="C809" s="82">
        <v>306598582</v>
      </c>
      <c r="D809">
        <v>201601</v>
      </c>
      <c r="E809" s="1">
        <v>42374</v>
      </c>
      <c r="F809" s="1">
        <v>42405</v>
      </c>
      <c r="G809" t="s">
        <v>219</v>
      </c>
      <c r="H809" s="81">
        <v>3</v>
      </c>
      <c r="I809" t="s">
        <v>47</v>
      </c>
      <c r="J809" s="3">
        <v>49.1</v>
      </c>
    </row>
    <row r="810" spans="1:10" x14ac:dyDescent="0.25">
      <c r="A810" t="s">
        <v>4</v>
      </c>
      <c r="B810" t="s">
        <v>59</v>
      </c>
      <c r="C810" s="82">
        <v>306598582</v>
      </c>
      <c r="D810">
        <v>201602</v>
      </c>
      <c r="E810" s="1">
        <v>42406</v>
      </c>
      <c r="F810" s="1">
        <v>42436</v>
      </c>
      <c r="G810" t="s">
        <v>219</v>
      </c>
      <c r="H810" s="81">
        <v>6</v>
      </c>
      <c r="I810" t="s">
        <v>47</v>
      </c>
      <c r="J810" s="3">
        <v>56.75</v>
      </c>
    </row>
    <row r="811" spans="1:10" x14ac:dyDescent="0.25">
      <c r="A811" t="s">
        <v>4</v>
      </c>
      <c r="B811" t="s">
        <v>59</v>
      </c>
      <c r="C811" s="82">
        <v>306598582</v>
      </c>
      <c r="D811">
        <v>201603</v>
      </c>
      <c r="E811" s="1">
        <v>42437</v>
      </c>
      <c r="F811" s="1">
        <v>42464</v>
      </c>
      <c r="G811" t="s">
        <v>219</v>
      </c>
      <c r="H811" s="81">
        <v>132</v>
      </c>
      <c r="I811" t="s">
        <v>47</v>
      </c>
      <c r="J811" s="3">
        <v>397.36</v>
      </c>
    </row>
    <row r="812" spans="1:10" x14ac:dyDescent="0.25">
      <c r="A812" t="s">
        <v>4</v>
      </c>
      <c r="B812" t="s">
        <v>59</v>
      </c>
      <c r="C812" s="82">
        <v>306598582</v>
      </c>
      <c r="D812">
        <v>201604</v>
      </c>
      <c r="E812" s="1">
        <v>42465</v>
      </c>
      <c r="F812" s="1">
        <v>42493</v>
      </c>
      <c r="G812" t="s">
        <v>219</v>
      </c>
      <c r="H812" s="81">
        <v>236</v>
      </c>
      <c r="I812" t="s">
        <v>47</v>
      </c>
      <c r="J812" s="3">
        <v>676.08</v>
      </c>
    </row>
    <row r="813" spans="1:10" x14ac:dyDescent="0.25">
      <c r="A813" t="s">
        <v>4</v>
      </c>
      <c r="B813" t="s">
        <v>59</v>
      </c>
      <c r="C813" s="82">
        <v>306598582</v>
      </c>
      <c r="D813">
        <v>201605</v>
      </c>
      <c r="E813" s="1">
        <v>42494</v>
      </c>
      <c r="F813" s="1">
        <v>42528</v>
      </c>
      <c r="G813" t="s">
        <v>219</v>
      </c>
      <c r="H813" s="81">
        <v>1030</v>
      </c>
      <c r="I813" t="s">
        <v>47</v>
      </c>
      <c r="J813" s="3">
        <v>2804</v>
      </c>
    </row>
    <row r="814" spans="1:10" x14ac:dyDescent="0.25">
      <c r="A814" t="s">
        <v>4</v>
      </c>
      <c r="B814" t="s">
        <v>59</v>
      </c>
      <c r="C814" s="82">
        <v>306598582</v>
      </c>
      <c r="D814">
        <v>201606</v>
      </c>
      <c r="E814" s="1">
        <v>42530</v>
      </c>
      <c r="F814" s="1">
        <v>42551</v>
      </c>
      <c r="G814" t="s">
        <v>219</v>
      </c>
      <c r="H814" s="81">
        <v>719</v>
      </c>
      <c r="I814" t="s">
        <v>47</v>
      </c>
      <c r="J814" s="3">
        <v>3988.32</v>
      </c>
    </row>
    <row r="815" spans="1:10" x14ac:dyDescent="0.25">
      <c r="A815" t="s">
        <v>88</v>
      </c>
      <c r="B815" t="s">
        <v>59</v>
      </c>
      <c r="C815" s="82">
        <v>301865101</v>
      </c>
      <c r="D815">
        <v>201507</v>
      </c>
      <c r="E815" s="1">
        <v>42186</v>
      </c>
      <c r="F815" s="1">
        <v>42214</v>
      </c>
      <c r="G815" t="s">
        <v>206</v>
      </c>
      <c r="H815" s="81">
        <v>276.70999999999998</v>
      </c>
      <c r="I815" t="s">
        <v>47</v>
      </c>
      <c r="J815" s="3">
        <v>2641.74</v>
      </c>
    </row>
    <row r="816" spans="1:10" x14ac:dyDescent="0.25">
      <c r="A816" t="s">
        <v>88</v>
      </c>
      <c r="B816" t="s">
        <v>59</v>
      </c>
      <c r="C816" s="82">
        <v>301865101</v>
      </c>
      <c r="D816">
        <v>201508</v>
      </c>
      <c r="E816" s="1">
        <v>42215</v>
      </c>
      <c r="F816" s="1">
        <v>42244</v>
      </c>
      <c r="G816" t="s">
        <v>206</v>
      </c>
      <c r="H816" s="81">
        <v>217.08</v>
      </c>
      <c r="I816" t="s">
        <v>47</v>
      </c>
      <c r="J816" s="3">
        <v>2138.6799999999998</v>
      </c>
    </row>
    <row r="817" spans="1:10" x14ac:dyDescent="0.25">
      <c r="A817" t="s">
        <v>88</v>
      </c>
      <c r="B817" t="s">
        <v>59</v>
      </c>
      <c r="C817" s="82">
        <v>301865101</v>
      </c>
      <c r="D817">
        <v>201509</v>
      </c>
      <c r="E817" s="1">
        <v>42245</v>
      </c>
      <c r="F817" s="1">
        <v>42275</v>
      </c>
      <c r="G817" t="s">
        <v>206</v>
      </c>
      <c r="H817" s="81">
        <v>532.65</v>
      </c>
      <c r="I817" t="s">
        <v>47</v>
      </c>
      <c r="J817" s="3">
        <v>5041.93</v>
      </c>
    </row>
    <row r="818" spans="1:10" x14ac:dyDescent="0.25">
      <c r="A818" t="s">
        <v>88</v>
      </c>
      <c r="B818" t="s">
        <v>59</v>
      </c>
      <c r="C818" s="82">
        <v>301865101</v>
      </c>
      <c r="D818">
        <v>201510</v>
      </c>
      <c r="E818" s="1">
        <v>42276</v>
      </c>
      <c r="F818" s="1">
        <v>42310</v>
      </c>
      <c r="G818" t="s">
        <v>206</v>
      </c>
      <c r="H818" s="81">
        <v>590.94000000000005</v>
      </c>
      <c r="I818" t="s">
        <v>47</v>
      </c>
      <c r="J818" s="3">
        <v>5578.19</v>
      </c>
    </row>
    <row r="819" spans="1:10" x14ac:dyDescent="0.25">
      <c r="A819" t="s">
        <v>88</v>
      </c>
      <c r="B819" t="s">
        <v>59</v>
      </c>
      <c r="C819" s="82">
        <v>301865101</v>
      </c>
      <c r="D819">
        <v>201511</v>
      </c>
      <c r="E819" s="1">
        <v>42311</v>
      </c>
      <c r="F819" s="1">
        <v>42341</v>
      </c>
      <c r="G819" t="s">
        <v>206</v>
      </c>
      <c r="H819" s="81">
        <v>442.87</v>
      </c>
      <c r="I819" t="s">
        <v>47</v>
      </c>
      <c r="J819" s="3">
        <v>4220.3999999999996</v>
      </c>
    </row>
    <row r="820" spans="1:10" x14ac:dyDescent="0.25">
      <c r="A820" t="s">
        <v>88</v>
      </c>
      <c r="B820" t="s">
        <v>59</v>
      </c>
      <c r="C820" s="82">
        <v>301865101</v>
      </c>
      <c r="D820">
        <v>201512</v>
      </c>
      <c r="E820" s="1">
        <v>42342</v>
      </c>
      <c r="F820" s="1">
        <v>42369</v>
      </c>
      <c r="G820" t="s">
        <v>206</v>
      </c>
      <c r="H820" s="81">
        <v>344.38</v>
      </c>
      <c r="I820" t="s">
        <v>47</v>
      </c>
      <c r="J820" s="3">
        <v>3314.3</v>
      </c>
    </row>
    <row r="821" spans="1:10" x14ac:dyDescent="0.25">
      <c r="A821" t="s">
        <v>88</v>
      </c>
      <c r="B821" t="s">
        <v>59</v>
      </c>
      <c r="C821" s="82">
        <v>301865101</v>
      </c>
      <c r="D821">
        <v>201601</v>
      </c>
      <c r="E821" s="1">
        <v>42370</v>
      </c>
      <c r="F821" s="1">
        <v>42402</v>
      </c>
      <c r="G821" t="s">
        <v>206</v>
      </c>
      <c r="H821" s="81">
        <v>278.05</v>
      </c>
      <c r="I821" t="s">
        <v>47</v>
      </c>
      <c r="J821" s="3">
        <v>2704.06</v>
      </c>
    </row>
    <row r="822" spans="1:10" x14ac:dyDescent="0.25">
      <c r="A822" t="s">
        <v>88</v>
      </c>
      <c r="B822" t="s">
        <v>59</v>
      </c>
      <c r="C822" s="82">
        <v>301865101</v>
      </c>
      <c r="D822">
        <v>201602</v>
      </c>
      <c r="E822" s="1">
        <v>42403</v>
      </c>
      <c r="F822" s="1">
        <v>42433</v>
      </c>
      <c r="G822" t="s">
        <v>206</v>
      </c>
      <c r="H822" s="81">
        <v>480.39</v>
      </c>
      <c r="I822" t="s">
        <v>47</v>
      </c>
      <c r="J822" s="3">
        <v>4565.58</v>
      </c>
    </row>
    <row r="823" spans="1:10" x14ac:dyDescent="0.25">
      <c r="A823" t="s">
        <v>88</v>
      </c>
      <c r="B823" t="s">
        <v>59</v>
      </c>
      <c r="C823" s="82">
        <v>301865101</v>
      </c>
      <c r="D823">
        <v>201603</v>
      </c>
      <c r="E823" s="1">
        <v>42434</v>
      </c>
      <c r="F823" s="1">
        <v>42461</v>
      </c>
      <c r="G823" t="s">
        <v>206</v>
      </c>
      <c r="H823" s="81">
        <v>353.09</v>
      </c>
      <c r="I823" t="s">
        <v>47</v>
      </c>
      <c r="J823" s="3">
        <v>3442.09</v>
      </c>
    </row>
    <row r="824" spans="1:10" x14ac:dyDescent="0.25">
      <c r="A824" t="s">
        <v>88</v>
      </c>
      <c r="B824" t="s">
        <v>59</v>
      </c>
      <c r="C824" s="82">
        <v>301865101</v>
      </c>
      <c r="D824">
        <v>201604</v>
      </c>
      <c r="E824" s="1">
        <v>42462</v>
      </c>
      <c r="F824" s="1">
        <v>42493</v>
      </c>
      <c r="G824" t="s">
        <v>206</v>
      </c>
      <c r="H824" s="81">
        <v>546.04999999999995</v>
      </c>
      <c r="I824" t="s">
        <v>47</v>
      </c>
      <c r="J824" s="3">
        <v>5242.3999999999996</v>
      </c>
    </row>
    <row r="825" spans="1:10" x14ac:dyDescent="0.25">
      <c r="A825" t="s">
        <v>88</v>
      </c>
      <c r="B825" t="s">
        <v>59</v>
      </c>
      <c r="C825" s="82">
        <v>301865101</v>
      </c>
      <c r="D825">
        <v>201605</v>
      </c>
      <c r="E825" s="1">
        <v>42494</v>
      </c>
      <c r="F825" s="1">
        <v>42521</v>
      </c>
      <c r="G825" t="s">
        <v>206</v>
      </c>
      <c r="H825" s="81">
        <v>299.49</v>
      </c>
      <c r="I825" t="s">
        <v>47</v>
      </c>
      <c r="J825" s="3">
        <v>2915.27</v>
      </c>
    </row>
    <row r="826" spans="1:10" x14ac:dyDescent="0.25">
      <c r="A826" t="s">
        <v>88</v>
      </c>
      <c r="B826" t="s">
        <v>59</v>
      </c>
      <c r="C826" s="82">
        <v>301865101</v>
      </c>
      <c r="D826">
        <v>201606</v>
      </c>
      <c r="E826" s="1">
        <v>42523</v>
      </c>
      <c r="F826" s="1">
        <v>42550</v>
      </c>
      <c r="G826" t="s">
        <v>206</v>
      </c>
      <c r="H826" s="81">
        <v>279.39</v>
      </c>
      <c r="I826" t="s">
        <v>47</v>
      </c>
      <c r="J826" s="3">
        <v>2745.55</v>
      </c>
    </row>
    <row r="827" spans="1:10" x14ac:dyDescent="0.25">
      <c r="A827" t="s">
        <v>183</v>
      </c>
      <c r="B827" t="s">
        <v>59</v>
      </c>
      <c r="C827" s="82">
        <v>306220336</v>
      </c>
      <c r="D827">
        <v>201507</v>
      </c>
      <c r="E827" s="1">
        <v>42186</v>
      </c>
      <c r="F827" s="1">
        <v>42214</v>
      </c>
      <c r="G827" t="s">
        <v>207</v>
      </c>
      <c r="H827" s="81">
        <v>67</v>
      </c>
      <c r="I827" t="s">
        <v>47</v>
      </c>
      <c r="J827" s="3">
        <v>719.67</v>
      </c>
    </row>
    <row r="828" spans="1:10" x14ac:dyDescent="0.25">
      <c r="A828" t="s">
        <v>183</v>
      </c>
      <c r="B828" t="s">
        <v>59</v>
      </c>
      <c r="C828" s="82">
        <v>306220336</v>
      </c>
      <c r="D828">
        <v>201508</v>
      </c>
      <c r="E828" s="1">
        <v>42215</v>
      </c>
      <c r="F828" s="1">
        <v>42243</v>
      </c>
      <c r="G828" t="s">
        <v>207</v>
      </c>
      <c r="H828" s="81">
        <v>80</v>
      </c>
      <c r="I828" t="s">
        <v>47</v>
      </c>
      <c r="J828" s="3">
        <v>862.73</v>
      </c>
    </row>
    <row r="829" spans="1:10" x14ac:dyDescent="0.25">
      <c r="A829" t="s">
        <v>183</v>
      </c>
      <c r="B829" t="s">
        <v>59</v>
      </c>
      <c r="C829" s="82">
        <v>306220336</v>
      </c>
      <c r="D829">
        <v>201509</v>
      </c>
      <c r="E829" s="1">
        <v>42244</v>
      </c>
      <c r="F829" s="1">
        <v>42275</v>
      </c>
      <c r="G829" t="s">
        <v>207</v>
      </c>
      <c r="H829" s="81">
        <v>238</v>
      </c>
      <c r="I829" t="s">
        <v>47</v>
      </c>
      <c r="J829" s="3">
        <v>2678.43</v>
      </c>
    </row>
    <row r="830" spans="1:10" x14ac:dyDescent="0.25">
      <c r="A830" t="s">
        <v>183</v>
      </c>
      <c r="B830" t="s">
        <v>59</v>
      </c>
      <c r="C830" s="82">
        <v>306220336</v>
      </c>
      <c r="D830">
        <v>201510</v>
      </c>
      <c r="E830" s="1">
        <v>42276</v>
      </c>
      <c r="F830" s="1">
        <v>42310</v>
      </c>
      <c r="G830" t="s">
        <v>207</v>
      </c>
      <c r="H830" s="81">
        <v>272</v>
      </c>
      <c r="I830" t="s">
        <v>47</v>
      </c>
      <c r="J830" s="3">
        <v>3111.93</v>
      </c>
    </row>
    <row r="831" spans="1:10" x14ac:dyDescent="0.25">
      <c r="A831" t="s">
        <v>183</v>
      </c>
      <c r="B831" t="s">
        <v>59</v>
      </c>
      <c r="C831" s="82">
        <v>306220336</v>
      </c>
      <c r="D831">
        <v>201511</v>
      </c>
      <c r="E831" s="1">
        <v>42311</v>
      </c>
      <c r="F831" s="1">
        <v>42341</v>
      </c>
      <c r="G831" t="s">
        <v>207</v>
      </c>
      <c r="H831" s="81">
        <v>201</v>
      </c>
      <c r="I831" t="s">
        <v>47</v>
      </c>
      <c r="J831" s="3">
        <v>2206.6799999999998</v>
      </c>
    </row>
    <row r="832" spans="1:10" x14ac:dyDescent="0.25">
      <c r="A832" t="s">
        <v>183</v>
      </c>
      <c r="B832" t="s">
        <v>59</v>
      </c>
      <c r="C832" s="82">
        <v>306220336</v>
      </c>
      <c r="D832">
        <v>201512</v>
      </c>
      <c r="E832" s="1">
        <v>42342</v>
      </c>
      <c r="F832" s="1">
        <v>42369</v>
      </c>
      <c r="G832" t="s">
        <v>207</v>
      </c>
      <c r="H832" s="81">
        <v>160</v>
      </c>
      <c r="I832" t="s">
        <v>47</v>
      </c>
      <c r="J832" s="3">
        <v>1598.73</v>
      </c>
    </row>
    <row r="833" spans="1:10" x14ac:dyDescent="0.25">
      <c r="A833" t="s">
        <v>183</v>
      </c>
      <c r="B833" t="s">
        <v>59</v>
      </c>
      <c r="C833" s="82">
        <v>306220336</v>
      </c>
      <c r="D833">
        <v>201601</v>
      </c>
      <c r="E833" s="1">
        <v>42370</v>
      </c>
      <c r="F833" s="1">
        <v>42402</v>
      </c>
      <c r="G833" t="s">
        <v>207</v>
      </c>
      <c r="H833" s="81">
        <v>71</v>
      </c>
      <c r="I833" t="s">
        <v>47</v>
      </c>
      <c r="J833" s="3">
        <v>779.93</v>
      </c>
    </row>
    <row r="834" spans="1:10" x14ac:dyDescent="0.25">
      <c r="A834" t="s">
        <v>183</v>
      </c>
      <c r="B834" t="s">
        <v>59</v>
      </c>
      <c r="C834" s="82">
        <v>306220336</v>
      </c>
      <c r="D834">
        <v>201602</v>
      </c>
      <c r="E834" s="1">
        <v>42403</v>
      </c>
      <c r="F834" s="1">
        <v>42433</v>
      </c>
      <c r="G834" t="s">
        <v>207</v>
      </c>
      <c r="H834" s="81">
        <v>121</v>
      </c>
      <c r="I834" t="s">
        <v>47</v>
      </c>
      <c r="J834" s="3">
        <v>1239.93</v>
      </c>
    </row>
    <row r="835" spans="1:10" x14ac:dyDescent="0.25">
      <c r="A835" t="s">
        <v>183</v>
      </c>
      <c r="B835" t="s">
        <v>59</v>
      </c>
      <c r="C835" s="82">
        <v>306220336</v>
      </c>
      <c r="D835">
        <v>201603</v>
      </c>
      <c r="E835" s="1">
        <v>42434</v>
      </c>
      <c r="F835" s="1">
        <v>42461</v>
      </c>
      <c r="G835" t="s">
        <v>207</v>
      </c>
      <c r="H835" s="81">
        <v>83</v>
      </c>
      <c r="I835" t="s">
        <v>47</v>
      </c>
      <c r="J835" s="3">
        <v>902.69</v>
      </c>
    </row>
    <row r="836" spans="1:10" x14ac:dyDescent="0.25">
      <c r="A836" t="s">
        <v>183</v>
      </c>
      <c r="B836" t="s">
        <v>59</v>
      </c>
      <c r="C836" s="82">
        <v>306220336</v>
      </c>
      <c r="D836">
        <v>201604</v>
      </c>
      <c r="E836" s="1">
        <v>42462</v>
      </c>
      <c r="F836" s="1">
        <v>42493</v>
      </c>
      <c r="G836" t="s">
        <v>207</v>
      </c>
      <c r="H836" s="81">
        <v>110</v>
      </c>
      <c r="I836" t="s">
        <v>47</v>
      </c>
      <c r="J836" s="3">
        <v>1154.5999999999999</v>
      </c>
    </row>
    <row r="837" spans="1:10" x14ac:dyDescent="0.25">
      <c r="A837" t="s">
        <v>183</v>
      </c>
      <c r="B837" t="s">
        <v>59</v>
      </c>
      <c r="C837" s="82">
        <v>306220336</v>
      </c>
      <c r="D837">
        <v>201605</v>
      </c>
      <c r="E837" s="1">
        <v>42494</v>
      </c>
      <c r="F837" s="1">
        <v>42521</v>
      </c>
      <c r="G837" t="s">
        <v>207</v>
      </c>
      <c r="H837" s="81">
        <v>5</v>
      </c>
      <c r="I837" t="s">
        <v>47</v>
      </c>
      <c r="J837" s="3">
        <v>604.13</v>
      </c>
    </row>
    <row r="838" spans="1:10" x14ac:dyDescent="0.25">
      <c r="A838" t="s">
        <v>183</v>
      </c>
      <c r="B838" t="s">
        <v>59</v>
      </c>
      <c r="C838" s="82">
        <v>306220336</v>
      </c>
      <c r="D838">
        <v>201606</v>
      </c>
      <c r="E838" s="1">
        <v>42522</v>
      </c>
      <c r="F838" s="1">
        <v>42550</v>
      </c>
      <c r="G838" t="s">
        <v>207</v>
      </c>
      <c r="H838" s="81">
        <v>63</v>
      </c>
      <c r="I838" t="s">
        <v>47</v>
      </c>
      <c r="J838" s="3">
        <v>716.09</v>
      </c>
    </row>
    <row r="839" spans="1:10" x14ac:dyDescent="0.25">
      <c r="A839" t="s">
        <v>142</v>
      </c>
      <c r="B839" t="s">
        <v>59</v>
      </c>
      <c r="C839" s="82">
        <v>301862991</v>
      </c>
      <c r="D839">
        <v>201507</v>
      </c>
      <c r="E839" s="1">
        <v>42186</v>
      </c>
      <c r="F839" s="1">
        <v>42215</v>
      </c>
      <c r="G839" t="s">
        <v>208</v>
      </c>
      <c r="H839" s="81">
        <v>2</v>
      </c>
      <c r="I839" t="s">
        <v>47</v>
      </c>
      <c r="J839" s="3">
        <v>71.739999999999995</v>
      </c>
    </row>
    <row r="840" spans="1:10" x14ac:dyDescent="0.25">
      <c r="A840" t="s">
        <v>142</v>
      </c>
      <c r="B840" t="s">
        <v>59</v>
      </c>
      <c r="C840" s="82">
        <v>301862991</v>
      </c>
      <c r="D840">
        <v>201508</v>
      </c>
      <c r="E840" s="1">
        <v>42216</v>
      </c>
      <c r="F840" s="1">
        <v>42244</v>
      </c>
      <c r="G840" t="s">
        <v>208</v>
      </c>
      <c r="H840" s="81">
        <v>2</v>
      </c>
      <c r="I840" t="s">
        <v>47</v>
      </c>
      <c r="J840" s="3">
        <v>83.24</v>
      </c>
    </row>
    <row r="841" spans="1:10" x14ac:dyDescent="0.25">
      <c r="A841" t="s">
        <v>142</v>
      </c>
      <c r="B841" t="s">
        <v>59</v>
      </c>
      <c r="C841" s="82">
        <v>301862991</v>
      </c>
      <c r="D841">
        <v>201509</v>
      </c>
      <c r="E841" s="1">
        <v>42245</v>
      </c>
      <c r="F841" s="1">
        <v>42275</v>
      </c>
      <c r="G841" t="s">
        <v>208</v>
      </c>
      <c r="H841" s="81">
        <v>3</v>
      </c>
      <c r="I841" t="s">
        <v>47</v>
      </c>
      <c r="J841" s="3">
        <v>92.44</v>
      </c>
    </row>
    <row r="842" spans="1:10" x14ac:dyDescent="0.25">
      <c r="A842" t="s">
        <v>142</v>
      </c>
      <c r="B842" t="s">
        <v>59</v>
      </c>
      <c r="C842" s="82">
        <v>301862991</v>
      </c>
      <c r="D842">
        <v>201510</v>
      </c>
      <c r="E842" s="1">
        <v>42276</v>
      </c>
      <c r="F842" s="1">
        <v>42310</v>
      </c>
      <c r="G842" t="s">
        <v>208</v>
      </c>
      <c r="H842" s="81">
        <v>2</v>
      </c>
      <c r="I842" t="s">
        <v>47</v>
      </c>
      <c r="J842" s="3">
        <v>83.24</v>
      </c>
    </row>
    <row r="843" spans="1:10" x14ac:dyDescent="0.25">
      <c r="A843" t="s">
        <v>142</v>
      </c>
      <c r="B843" t="s">
        <v>59</v>
      </c>
      <c r="C843" s="82">
        <v>301862991</v>
      </c>
      <c r="D843">
        <v>201511</v>
      </c>
      <c r="E843" s="1">
        <v>42311</v>
      </c>
      <c r="F843" s="1">
        <v>42341</v>
      </c>
      <c r="G843" t="s">
        <v>208</v>
      </c>
      <c r="H843" s="81">
        <v>2</v>
      </c>
      <c r="I843" t="s">
        <v>47</v>
      </c>
      <c r="J843" s="3">
        <v>83.24</v>
      </c>
    </row>
    <row r="844" spans="1:10" x14ac:dyDescent="0.25">
      <c r="A844" t="s">
        <v>142</v>
      </c>
      <c r="B844" t="s">
        <v>59</v>
      </c>
      <c r="C844" s="82">
        <v>301862991</v>
      </c>
      <c r="D844">
        <v>201512</v>
      </c>
      <c r="E844" s="1">
        <v>42342</v>
      </c>
      <c r="F844" s="1">
        <v>42373</v>
      </c>
      <c r="G844" t="s">
        <v>208</v>
      </c>
      <c r="H844" s="81">
        <v>1</v>
      </c>
      <c r="I844" t="s">
        <v>47</v>
      </c>
      <c r="J844" s="3">
        <v>74.040000000000006</v>
      </c>
    </row>
    <row r="845" spans="1:10" x14ac:dyDescent="0.25">
      <c r="A845" t="s">
        <v>142</v>
      </c>
      <c r="B845" t="s">
        <v>59</v>
      </c>
      <c r="C845" s="82">
        <v>301862991</v>
      </c>
      <c r="D845">
        <v>201601</v>
      </c>
      <c r="E845" s="1">
        <v>42374</v>
      </c>
      <c r="F845" s="1">
        <v>42404</v>
      </c>
      <c r="G845" t="s">
        <v>208</v>
      </c>
      <c r="H845" s="81">
        <v>2</v>
      </c>
      <c r="I845" t="s">
        <v>47</v>
      </c>
      <c r="J845" s="3">
        <v>83.24</v>
      </c>
    </row>
    <row r="846" spans="1:10" x14ac:dyDescent="0.25">
      <c r="A846" t="s">
        <v>142</v>
      </c>
      <c r="B846" t="s">
        <v>59</v>
      </c>
      <c r="C846" s="82">
        <v>301862991</v>
      </c>
      <c r="D846">
        <v>201602</v>
      </c>
      <c r="E846" s="1">
        <v>42405</v>
      </c>
      <c r="F846" s="1">
        <v>42436</v>
      </c>
      <c r="G846" t="s">
        <v>208</v>
      </c>
      <c r="H846" s="81">
        <v>2</v>
      </c>
      <c r="I846" t="s">
        <v>47</v>
      </c>
      <c r="J846" s="3">
        <v>83.24</v>
      </c>
    </row>
    <row r="847" spans="1:10" x14ac:dyDescent="0.25">
      <c r="A847" t="s">
        <v>142</v>
      </c>
      <c r="B847" t="s">
        <v>59</v>
      </c>
      <c r="C847" s="82">
        <v>301862991</v>
      </c>
      <c r="D847">
        <v>201603</v>
      </c>
      <c r="E847" s="1">
        <v>42437</v>
      </c>
      <c r="F847" s="1">
        <v>42464</v>
      </c>
      <c r="G847" t="s">
        <v>208</v>
      </c>
      <c r="H847" s="81">
        <v>2</v>
      </c>
      <c r="I847" t="s">
        <v>47</v>
      </c>
      <c r="J847" s="3">
        <v>84.16</v>
      </c>
    </row>
    <row r="848" spans="1:10" x14ac:dyDescent="0.25">
      <c r="A848" t="s">
        <v>142</v>
      </c>
      <c r="B848" t="s">
        <v>59</v>
      </c>
      <c r="C848" s="82">
        <v>301862991</v>
      </c>
      <c r="D848">
        <v>201604</v>
      </c>
      <c r="E848" s="1">
        <v>42465</v>
      </c>
      <c r="F848" s="1">
        <v>42494</v>
      </c>
      <c r="G848" t="s">
        <v>208</v>
      </c>
      <c r="H848" s="81">
        <v>7</v>
      </c>
      <c r="I848" t="s">
        <v>47</v>
      </c>
      <c r="J848" s="3">
        <v>130.81</v>
      </c>
    </row>
    <row r="849" spans="1:10" x14ac:dyDescent="0.25">
      <c r="A849" t="s">
        <v>142</v>
      </c>
      <c r="B849" t="s">
        <v>59</v>
      </c>
      <c r="C849" s="82">
        <v>301862991</v>
      </c>
      <c r="D849">
        <v>201605</v>
      </c>
      <c r="E849" s="1">
        <v>42495</v>
      </c>
      <c r="F849" s="1">
        <v>42522</v>
      </c>
      <c r="G849" t="s">
        <v>208</v>
      </c>
      <c r="H849" s="81">
        <v>8</v>
      </c>
      <c r="I849" t="s">
        <v>47</v>
      </c>
      <c r="J849" s="3">
        <v>140.13999999999999</v>
      </c>
    </row>
    <row r="850" spans="1:10" x14ac:dyDescent="0.25">
      <c r="A850" t="s">
        <v>142</v>
      </c>
      <c r="B850" t="s">
        <v>59</v>
      </c>
      <c r="C850" s="82">
        <v>301862991</v>
      </c>
      <c r="D850">
        <v>201606</v>
      </c>
      <c r="E850" s="1">
        <v>42523</v>
      </c>
      <c r="F850" s="1">
        <v>42550</v>
      </c>
      <c r="G850" t="s">
        <v>208</v>
      </c>
      <c r="H850" s="81">
        <v>5</v>
      </c>
      <c r="I850" t="s">
        <v>47</v>
      </c>
      <c r="J850" s="3">
        <v>112.15</v>
      </c>
    </row>
    <row r="851" spans="1:10" x14ac:dyDescent="0.25">
      <c r="A851" t="s">
        <v>127</v>
      </c>
      <c r="B851" t="s">
        <v>59</v>
      </c>
      <c r="C851" s="82">
        <v>301077178</v>
      </c>
      <c r="D851">
        <v>201508</v>
      </c>
      <c r="E851" s="1">
        <v>42187</v>
      </c>
      <c r="F851" s="1">
        <v>42278</v>
      </c>
      <c r="G851" t="s">
        <v>209</v>
      </c>
      <c r="H851" s="81">
        <v>46</v>
      </c>
      <c r="I851" t="s">
        <v>47</v>
      </c>
      <c r="J851" s="3">
        <v>129.05000000000001</v>
      </c>
    </row>
    <row r="852" spans="1:10" x14ac:dyDescent="0.25">
      <c r="A852" t="s">
        <v>127</v>
      </c>
      <c r="B852" t="s">
        <v>59</v>
      </c>
      <c r="C852" s="82">
        <v>301077178</v>
      </c>
      <c r="D852">
        <v>201511</v>
      </c>
      <c r="E852" s="1">
        <v>42279</v>
      </c>
      <c r="F852" s="1">
        <v>42373</v>
      </c>
      <c r="G852" t="s">
        <v>209</v>
      </c>
      <c r="H852" s="81">
        <v>47</v>
      </c>
      <c r="I852" t="s">
        <v>47</v>
      </c>
      <c r="J852" s="3">
        <v>131.6</v>
      </c>
    </row>
    <row r="853" spans="1:10" x14ac:dyDescent="0.25">
      <c r="A853" t="s">
        <v>127</v>
      </c>
      <c r="B853" t="s">
        <v>59</v>
      </c>
      <c r="C853" s="82">
        <v>301077178</v>
      </c>
      <c r="D853">
        <v>201602</v>
      </c>
      <c r="E853" s="1">
        <v>42374</v>
      </c>
      <c r="F853" s="1">
        <v>42461</v>
      </c>
      <c r="G853" t="s">
        <v>209</v>
      </c>
      <c r="H853" s="81">
        <v>60</v>
      </c>
      <c r="I853" t="s">
        <v>47</v>
      </c>
      <c r="J853" s="3">
        <v>172.7</v>
      </c>
    </row>
    <row r="854" spans="1:10" x14ac:dyDescent="0.25">
      <c r="A854" t="s">
        <v>127</v>
      </c>
      <c r="B854" t="s">
        <v>59</v>
      </c>
      <c r="C854" s="82">
        <v>301077178</v>
      </c>
      <c r="D854">
        <v>201605</v>
      </c>
      <c r="E854" s="1">
        <v>42462</v>
      </c>
      <c r="F854" s="1">
        <v>42552</v>
      </c>
      <c r="G854" t="s">
        <v>209</v>
      </c>
      <c r="H854" s="81">
        <v>57</v>
      </c>
      <c r="I854" t="s">
        <v>47</v>
      </c>
      <c r="J854" s="3">
        <v>164.66</v>
      </c>
    </row>
    <row r="855" spans="1:10" x14ac:dyDescent="0.25">
      <c r="A855" t="s">
        <v>53</v>
      </c>
      <c r="B855" t="s">
        <v>59</v>
      </c>
      <c r="C855" s="82">
        <v>306220351</v>
      </c>
      <c r="D855">
        <v>201507</v>
      </c>
      <c r="E855" s="1">
        <v>42186</v>
      </c>
      <c r="F855" s="1">
        <v>42214</v>
      </c>
      <c r="G855" t="s">
        <v>82</v>
      </c>
      <c r="H855" s="81">
        <v>26</v>
      </c>
      <c r="I855" t="s">
        <v>47</v>
      </c>
      <c r="J855" s="3">
        <v>343.7</v>
      </c>
    </row>
    <row r="856" spans="1:10" x14ac:dyDescent="0.25">
      <c r="A856" t="s">
        <v>53</v>
      </c>
      <c r="B856" t="s">
        <v>59</v>
      </c>
      <c r="C856" s="82">
        <v>306220351</v>
      </c>
      <c r="D856">
        <v>201508</v>
      </c>
      <c r="E856" s="1">
        <v>42215</v>
      </c>
      <c r="F856" s="1">
        <v>42243</v>
      </c>
      <c r="G856" t="s">
        <v>82</v>
      </c>
      <c r="H856" s="81">
        <v>63</v>
      </c>
      <c r="I856" t="s">
        <v>47</v>
      </c>
      <c r="J856" s="3">
        <v>706.33</v>
      </c>
    </row>
    <row r="857" spans="1:10" x14ac:dyDescent="0.25">
      <c r="A857" t="s">
        <v>53</v>
      </c>
      <c r="B857" t="s">
        <v>59</v>
      </c>
      <c r="C857" s="82">
        <v>306220351</v>
      </c>
      <c r="D857">
        <v>201509</v>
      </c>
      <c r="E857" s="1">
        <v>42244</v>
      </c>
      <c r="F857" s="1">
        <v>42275</v>
      </c>
      <c r="G857" t="s">
        <v>82</v>
      </c>
      <c r="H857" s="81">
        <v>130</v>
      </c>
      <c r="I857" t="s">
        <v>47</v>
      </c>
      <c r="J857" s="3">
        <v>1510.88</v>
      </c>
    </row>
    <row r="858" spans="1:10" x14ac:dyDescent="0.25">
      <c r="A858" t="s">
        <v>53</v>
      </c>
      <c r="B858" t="s">
        <v>59</v>
      </c>
      <c r="C858" s="82">
        <v>306220351</v>
      </c>
      <c r="D858">
        <v>201510</v>
      </c>
      <c r="E858" s="1">
        <v>42276</v>
      </c>
      <c r="F858" s="1">
        <v>42310</v>
      </c>
      <c r="G858" t="s">
        <v>82</v>
      </c>
      <c r="H858" s="81">
        <v>89</v>
      </c>
      <c r="I858" t="s">
        <v>47</v>
      </c>
      <c r="J858" s="3">
        <v>988.13</v>
      </c>
    </row>
    <row r="859" spans="1:10" x14ac:dyDescent="0.25">
      <c r="A859" t="s">
        <v>53</v>
      </c>
      <c r="B859" t="s">
        <v>59</v>
      </c>
      <c r="C859" s="82">
        <v>306220351</v>
      </c>
      <c r="D859">
        <v>201511</v>
      </c>
      <c r="E859" s="1">
        <v>42311</v>
      </c>
      <c r="F859" s="1">
        <v>42341</v>
      </c>
      <c r="G859" t="s">
        <v>82</v>
      </c>
      <c r="H859" s="81">
        <v>45</v>
      </c>
      <c r="I859" t="s">
        <v>47</v>
      </c>
      <c r="J859" s="3">
        <v>540.73</v>
      </c>
    </row>
    <row r="860" spans="1:10" x14ac:dyDescent="0.25">
      <c r="A860" t="s">
        <v>53</v>
      </c>
      <c r="B860" t="s">
        <v>59</v>
      </c>
      <c r="C860" s="82">
        <v>306220351</v>
      </c>
      <c r="D860">
        <v>201512</v>
      </c>
      <c r="E860" s="1">
        <v>42342</v>
      </c>
      <c r="F860" s="1">
        <v>42369</v>
      </c>
      <c r="G860" t="s">
        <v>82</v>
      </c>
      <c r="H860" s="81">
        <v>32</v>
      </c>
      <c r="I860" t="s">
        <v>47</v>
      </c>
      <c r="J860" s="3">
        <v>421.13</v>
      </c>
    </row>
    <row r="861" spans="1:10" x14ac:dyDescent="0.25">
      <c r="A861" t="s">
        <v>53</v>
      </c>
      <c r="B861" t="s">
        <v>59</v>
      </c>
      <c r="C861" s="82">
        <v>306220351</v>
      </c>
      <c r="D861">
        <v>201601</v>
      </c>
      <c r="E861" s="1">
        <v>42370</v>
      </c>
      <c r="F861" s="1">
        <v>42402</v>
      </c>
      <c r="G861" t="s">
        <v>82</v>
      </c>
      <c r="H861" s="81">
        <v>24</v>
      </c>
      <c r="I861" t="s">
        <v>47</v>
      </c>
      <c r="J861" s="3">
        <v>347.53</v>
      </c>
    </row>
    <row r="862" spans="1:10" x14ac:dyDescent="0.25">
      <c r="A862" t="s">
        <v>53</v>
      </c>
      <c r="B862" t="s">
        <v>59</v>
      </c>
      <c r="C862" s="82">
        <v>306220351</v>
      </c>
      <c r="D862">
        <v>201602</v>
      </c>
      <c r="E862" s="1">
        <v>42403</v>
      </c>
      <c r="F862" s="1">
        <v>42433</v>
      </c>
      <c r="G862" t="s">
        <v>82</v>
      </c>
      <c r="H862" s="81">
        <v>51</v>
      </c>
      <c r="I862" t="s">
        <v>47</v>
      </c>
      <c r="J862" s="3">
        <v>595.92999999999995</v>
      </c>
    </row>
    <row r="863" spans="1:10" x14ac:dyDescent="0.25">
      <c r="A863" t="s">
        <v>53</v>
      </c>
      <c r="B863" t="s">
        <v>59</v>
      </c>
      <c r="C863" s="82">
        <v>306220351</v>
      </c>
      <c r="D863">
        <v>201603</v>
      </c>
      <c r="E863" s="1">
        <v>42434</v>
      </c>
      <c r="F863" s="1">
        <v>42461</v>
      </c>
      <c r="G863" t="s">
        <v>82</v>
      </c>
      <c r="H863" s="81">
        <v>30</v>
      </c>
      <c r="I863" t="s">
        <v>47</v>
      </c>
      <c r="J863" s="3">
        <v>408.2</v>
      </c>
    </row>
    <row r="864" spans="1:10" x14ac:dyDescent="0.25">
      <c r="A864" t="s">
        <v>53</v>
      </c>
      <c r="B864" t="s">
        <v>59</v>
      </c>
      <c r="C864" s="82">
        <v>306220351</v>
      </c>
      <c r="D864">
        <v>201604</v>
      </c>
      <c r="E864" s="1">
        <v>42462</v>
      </c>
      <c r="F864" s="1">
        <v>42493</v>
      </c>
      <c r="G864" t="s">
        <v>82</v>
      </c>
      <c r="H864" s="81">
        <v>54</v>
      </c>
      <c r="I864" t="s">
        <v>47</v>
      </c>
      <c r="J864" s="3">
        <v>632.12</v>
      </c>
    </row>
    <row r="865" spans="1:10" x14ac:dyDescent="0.25">
      <c r="A865" t="s">
        <v>53</v>
      </c>
      <c r="B865" t="s">
        <v>59</v>
      </c>
      <c r="C865" s="82">
        <v>306220351</v>
      </c>
      <c r="D865">
        <v>201605</v>
      </c>
      <c r="E865" s="1">
        <v>42494</v>
      </c>
      <c r="F865" s="1">
        <v>42521</v>
      </c>
      <c r="G865" t="s">
        <v>82</v>
      </c>
      <c r="H865" s="81">
        <v>13</v>
      </c>
      <c r="I865" t="s">
        <v>47</v>
      </c>
      <c r="J865" s="3">
        <v>249.59</v>
      </c>
    </row>
    <row r="866" spans="1:10" x14ac:dyDescent="0.25">
      <c r="A866" t="s">
        <v>53</v>
      </c>
      <c r="B866" t="s">
        <v>59</v>
      </c>
      <c r="C866" s="82">
        <v>306220351</v>
      </c>
      <c r="D866">
        <v>201606</v>
      </c>
      <c r="E866" s="1">
        <v>42522</v>
      </c>
      <c r="F866" s="1">
        <v>42550</v>
      </c>
      <c r="G866" t="s">
        <v>82</v>
      </c>
      <c r="H866" s="81">
        <v>12</v>
      </c>
      <c r="I866" t="s">
        <v>47</v>
      </c>
      <c r="J866" s="3">
        <v>240.26</v>
      </c>
    </row>
    <row r="867" spans="1:10" x14ac:dyDescent="0.25">
      <c r="A867" t="s">
        <v>136</v>
      </c>
      <c r="B867" t="s">
        <v>59</v>
      </c>
      <c r="C867" s="82">
        <v>304581960</v>
      </c>
      <c r="D867">
        <v>201507</v>
      </c>
      <c r="E867" s="1">
        <v>42186</v>
      </c>
      <c r="F867" s="1">
        <v>42214</v>
      </c>
      <c r="G867" t="s">
        <v>212</v>
      </c>
      <c r="H867" s="81">
        <v>310</v>
      </c>
      <c r="I867" t="s">
        <v>47</v>
      </c>
      <c r="J867" s="3">
        <v>2837.37</v>
      </c>
    </row>
    <row r="868" spans="1:10" x14ac:dyDescent="0.25">
      <c r="A868" t="s">
        <v>136</v>
      </c>
      <c r="B868" t="s">
        <v>59</v>
      </c>
      <c r="C868" s="82">
        <v>304581960</v>
      </c>
      <c r="D868">
        <v>201508</v>
      </c>
      <c r="E868" s="1">
        <v>42215</v>
      </c>
      <c r="F868" s="1">
        <v>42243</v>
      </c>
      <c r="G868" t="s">
        <v>212</v>
      </c>
      <c r="H868" s="81">
        <v>274</v>
      </c>
      <c r="I868" t="s">
        <v>47</v>
      </c>
      <c r="J868" s="3">
        <v>2323.58</v>
      </c>
    </row>
    <row r="869" spans="1:10" x14ac:dyDescent="0.25">
      <c r="A869" t="s">
        <v>136</v>
      </c>
      <c r="B869" t="s">
        <v>59</v>
      </c>
      <c r="C869" s="82">
        <v>304581960</v>
      </c>
      <c r="D869">
        <v>201509</v>
      </c>
      <c r="E869" s="1">
        <v>42244</v>
      </c>
      <c r="F869" s="1">
        <v>42275</v>
      </c>
      <c r="G869" t="s">
        <v>212</v>
      </c>
      <c r="H869" s="81">
        <v>694</v>
      </c>
      <c r="I869" t="s">
        <v>47</v>
      </c>
      <c r="J869" s="3">
        <v>6400.43</v>
      </c>
    </row>
    <row r="870" spans="1:10" x14ac:dyDescent="0.25">
      <c r="A870" t="s">
        <v>136</v>
      </c>
      <c r="B870" t="s">
        <v>59</v>
      </c>
      <c r="C870" s="82">
        <v>304581960</v>
      </c>
      <c r="D870">
        <v>201510</v>
      </c>
      <c r="E870" s="1">
        <v>42276</v>
      </c>
      <c r="F870" s="1">
        <v>42310</v>
      </c>
      <c r="G870" t="s">
        <v>212</v>
      </c>
      <c r="H870" s="81">
        <v>712</v>
      </c>
      <c r="I870" t="s">
        <v>47</v>
      </c>
      <c r="J870" s="3">
        <v>6736.33</v>
      </c>
    </row>
    <row r="871" spans="1:10" x14ac:dyDescent="0.25">
      <c r="A871" t="s">
        <v>136</v>
      </c>
      <c r="B871" t="s">
        <v>59</v>
      </c>
      <c r="C871" s="82">
        <v>304581960</v>
      </c>
      <c r="D871">
        <v>201511</v>
      </c>
      <c r="E871" s="1">
        <v>42311</v>
      </c>
      <c r="F871" s="1">
        <v>42341</v>
      </c>
      <c r="G871" t="s">
        <v>212</v>
      </c>
      <c r="H871" s="81">
        <v>509</v>
      </c>
      <c r="I871" t="s">
        <v>47</v>
      </c>
      <c r="J871" s="3">
        <v>4818.08</v>
      </c>
    </row>
    <row r="872" spans="1:10" x14ac:dyDescent="0.25">
      <c r="A872" t="s">
        <v>136</v>
      </c>
      <c r="B872" t="s">
        <v>59</v>
      </c>
      <c r="C872" s="82">
        <v>304581960</v>
      </c>
      <c r="D872">
        <v>201512</v>
      </c>
      <c r="E872" s="1">
        <v>42342</v>
      </c>
      <c r="F872" s="1">
        <v>42369</v>
      </c>
      <c r="G872" t="s">
        <v>212</v>
      </c>
      <c r="H872" s="81">
        <v>451</v>
      </c>
      <c r="I872" t="s">
        <v>47</v>
      </c>
      <c r="J872" s="3">
        <v>4284.4799999999996</v>
      </c>
    </row>
    <row r="873" spans="1:10" x14ac:dyDescent="0.25">
      <c r="A873" t="s">
        <v>136</v>
      </c>
      <c r="B873" t="s">
        <v>59</v>
      </c>
      <c r="C873" s="82">
        <v>304581960</v>
      </c>
      <c r="D873">
        <v>201601</v>
      </c>
      <c r="E873" s="1">
        <v>42370</v>
      </c>
      <c r="F873" s="1">
        <v>42402</v>
      </c>
      <c r="G873" t="s">
        <v>212</v>
      </c>
      <c r="H873" s="81">
        <v>553</v>
      </c>
      <c r="I873" t="s">
        <v>47</v>
      </c>
      <c r="J873" s="3">
        <v>5222.88</v>
      </c>
    </row>
    <row r="874" spans="1:10" x14ac:dyDescent="0.25">
      <c r="A874" t="s">
        <v>136</v>
      </c>
      <c r="B874" t="s">
        <v>59</v>
      </c>
      <c r="C874" s="82">
        <v>304581960</v>
      </c>
      <c r="D874">
        <v>201602</v>
      </c>
      <c r="E874" s="1">
        <v>42403</v>
      </c>
      <c r="F874" s="1">
        <v>42433</v>
      </c>
      <c r="G874" t="s">
        <v>212</v>
      </c>
      <c r="H874" s="81">
        <v>777</v>
      </c>
      <c r="I874" t="s">
        <v>47</v>
      </c>
      <c r="J874" s="3">
        <v>7283.68</v>
      </c>
    </row>
    <row r="875" spans="1:10" x14ac:dyDescent="0.25">
      <c r="A875" t="s">
        <v>136</v>
      </c>
      <c r="B875" t="s">
        <v>59</v>
      </c>
      <c r="C875" s="82">
        <v>304581960</v>
      </c>
      <c r="D875">
        <v>201603</v>
      </c>
      <c r="E875" s="1">
        <v>42434</v>
      </c>
      <c r="F875" s="1">
        <v>42461</v>
      </c>
      <c r="G875" t="s">
        <v>212</v>
      </c>
      <c r="H875" s="81">
        <v>584</v>
      </c>
      <c r="I875" t="s">
        <v>47</v>
      </c>
      <c r="J875" s="3">
        <v>5586.04</v>
      </c>
    </row>
    <row r="876" spans="1:10" x14ac:dyDescent="0.25">
      <c r="A876" t="s">
        <v>136</v>
      </c>
      <c r="B876" t="s">
        <v>59</v>
      </c>
      <c r="C876" s="82">
        <v>304581960</v>
      </c>
      <c r="D876">
        <v>201604</v>
      </c>
      <c r="E876" s="1">
        <v>42462</v>
      </c>
      <c r="F876" s="1">
        <v>42493</v>
      </c>
      <c r="G876" t="s">
        <v>212</v>
      </c>
      <c r="H876" s="81">
        <v>792</v>
      </c>
      <c r="I876" t="s">
        <v>47</v>
      </c>
      <c r="J876" s="3">
        <v>7380.38</v>
      </c>
    </row>
    <row r="877" spans="1:10" x14ac:dyDescent="0.25">
      <c r="A877" t="s">
        <v>136</v>
      </c>
      <c r="B877" t="s">
        <v>59</v>
      </c>
      <c r="C877" s="82">
        <v>304581960</v>
      </c>
      <c r="D877">
        <v>201605</v>
      </c>
      <c r="E877" s="1">
        <v>42494</v>
      </c>
      <c r="F877" s="1">
        <v>42521</v>
      </c>
      <c r="G877" t="s">
        <v>212</v>
      </c>
      <c r="H877" s="81">
        <v>425</v>
      </c>
      <c r="I877" t="s">
        <v>47</v>
      </c>
      <c r="J877" s="3">
        <v>3962.92</v>
      </c>
    </row>
    <row r="878" spans="1:10" x14ac:dyDescent="0.25">
      <c r="A878" t="s">
        <v>136</v>
      </c>
      <c r="B878" t="s">
        <v>59</v>
      </c>
      <c r="C878" s="82">
        <v>304581960</v>
      </c>
      <c r="D878">
        <v>201606</v>
      </c>
      <c r="E878" s="1">
        <v>42522</v>
      </c>
      <c r="F878" s="1">
        <v>42550</v>
      </c>
      <c r="G878" t="s">
        <v>212</v>
      </c>
      <c r="H878" s="81">
        <v>288</v>
      </c>
      <c r="I878" t="s">
        <v>47</v>
      </c>
      <c r="J878" s="3">
        <v>2684.71</v>
      </c>
    </row>
    <row r="879" spans="1:10" x14ac:dyDescent="0.25">
      <c r="A879" t="s">
        <v>145</v>
      </c>
      <c r="B879" t="s">
        <v>59</v>
      </c>
      <c r="C879" s="82">
        <v>305393522</v>
      </c>
      <c r="D879">
        <v>201507</v>
      </c>
      <c r="E879" s="1">
        <v>42186</v>
      </c>
      <c r="F879" s="1">
        <v>42215</v>
      </c>
      <c r="G879" t="s">
        <v>213</v>
      </c>
      <c r="H879" s="81">
        <v>6</v>
      </c>
      <c r="I879" t="s">
        <v>47</v>
      </c>
      <c r="J879" s="3">
        <v>73.989999999999995</v>
      </c>
    </row>
    <row r="880" spans="1:10" x14ac:dyDescent="0.25">
      <c r="A880" t="s">
        <v>145</v>
      </c>
      <c r="B880" t="s">
        <v>59</v>
      </c>
      <c r="C880" s="82">
        <v>305393522</v>
      </c>
      <c r="D880">
        <v>201508</v>
      </c>
      <c r="E880" s="1">
        <v>42216</v>
      </c>
      <c r="F880" s="1">
        <v>42243</v>
      </c>
      <c r="G880" t="s">
        <v>213</v>
      </c>
      <c r="H880" s="81">
        <v>6</v>
      </c>
      <c r="I880" t="s">
        <v>47</v>
      </c>
      <c r="J880" s="3">
        <v>77.739999999999995</v>
      </c>
    </row>
    <row r="881" spans="1:10" x14ac:dyDescent="0.25">
      <c r="A881" t="s">
        <v>145</v>
      </c>
      <c r="B881" t="s">
        <v>59</v>
      </c>
      <c r="C881" s="82">
        <v>305393522</v>
      </c>
      <c r="D881">
        <v>201509</v>
      </c>
      <c r="E881" s="1">
        <v>42244</v>
      </c>
      <c r="F881" s="1">
        <v>42275</v>
      </c>
      <c r="G881" t="s">
        <v>213</v>
      </c>
      <c r="H881" s="81">
        <v>13</v>
      </c>
      <c r="I881" t="s">
        <v>47</v>
      </c>
      <c r="J881" s="3">
        <v>142.13999999999999</v>
      </c>
    </row>
    <row r="882" spans="1:10" x14ac:dyDescent="0.25">
      <c r="A882" t="s">
        <v>145</v>
      </c>
      <c r="B882" t="s">
        <v>59</v>
      </c>
      <c r="C882" s="82">
        <v>305393522</v>
      </c>
      <c r="D882">
        <v>201510</v>
      </c>
      <c r="E882" s="1">
        <v>42276</v>
      </c>
      <c r="F882" s="1">
        <v>42310</v>
      </c>
      <c r="G882" t="s">
        <v>213</v>
      </c>
      <c r="H882" s="81">
        <v>14</v>
      </c>
      <c r="I882" t="s">
        <v>47</v>
      </c>
      <c r="J882" s="3">
        <v>151.34</v>
      </c>
    </row>
    <row r="883" spans="1:10" x14ac:dyDescent="0.25">
      <c r="A883" t="s">
        <v>145</v>
      </c>
      <c r="B883" t="s">
        <v>59</v>
      </c>
      <c r="C883" s="82">
        <v>305393522</v>
      </c>
      <c r="D883">
        <v>201511</v>
      </c>
      <c r="E883" s="1">
        <v>42311</v>
      </c>
      <c r="F883" s="1">
        <v>42341</v>
      </c>
      <c r="G883" t="s">
        <v>213</v>
      </c>
      <c r="H883" s="81">
        <v>11</v>
      </c>
      <c r="I883" t="s">
        <v>47</v>
      </c>
      <c r="J883" s="3">
        <v>123.74</v>
      </c>
    </row>
    <row r="884" spans="1:10" x14ac:dyDescent="0.25">
      <c r="A884" t="s">
        <v>145</v>
      </c>
      <c r="B884" t="s">
        <v>59</v>
      </c>
      <c r="C884" s="82">
        <v>305393522</v>
      </c>
      <c r="D884">
        <v>201512</v>
      </c>
      <c r="E884" s="1">
        <v>42342</v>
      </c>
      <c r="F884" s="1">
        <v>42369</v>
      </c>
      <c r="G884" t="s">
        <v>213</v>
      </c>
      <c r="H884" s="81">
        <v>8</v>
      </c>
      <c r="I884" t="s">
        <v>47</v>
      </c>
      <c r="J884" s="3">
        <v>96.14</v>
      </c>
    </row>
    <row r="885" spans="1:10" x14ac:dyDescent="0.25">
      <c r="A885" t="s">
        <v>145</v>
      </c>
      <c r="B885" t="s">
        <v>59</v>
      </c>
      <c r="C885" s="82">
        <v>305393522</v>
      </c>
      <c r="D885">
        <v>201601</v>
      </c>
      <c r="E885" s="1">
        <v>42370</v>
      </c>
      <c r="F885" s="1">
        <v>42402</v>
      </c>
      <c r="G885" t="s">
        <v>213</v>
      </c>
      <c r="H885" s="81">
        <v>8</v>
      </c>
      <c r="I885" t="s">
        <v>47</v>
      </c>
      <c r="J885" s="3">
        <v>96.14</v>
      </c>
    </row>
    <row r="886" spans="1:10" x14ac:dyDescent="0.25">
      <c r="A886" t="s">
        <v>145</v>
      </c>
      <c r="B886" t="s">
        <v>59</v>
      </c>
      <c r="C886" s="82">
        <v>305393522</v>
      </c>
      <c r="D886">
        <v>201602</v>
      </c>
      <c r="E886" s="1">
        <v>42403</v>
      </c>
      <c r="F886" s="1">
        <v>42433</v>
      </c>
      <c r="G886" t="s">
        <v>213</v>
      </c>
      <c r="H886" s="81">
        <v>13</v>
      </c>
      <c r="I886" t="s">
        <v>47</v>
      </c>
      <c r="J886" s="3">
        <v>142.13999999999999</v>
      </c>
    </row>
    <row r="887" spans="1:10" x14ac:dyDescent="0.25">
      <c r="A887" t="s">
        <v>145</v>
      </c>
      <c r="B887" t="s">
        <v>59</v>
      </c>
      <c r="C887" s="82">
        <v>305393522</v>
      </c>
      <c r="D887">
        <v>201603</v>
      </c>
      <c r="E887" s="1">
        <v>42434</v>
      </c>
      <c r="F887" s="1">
        <v>42461</v>
      </c>
      <c r="G887" t="s">
        <v>213</v>
      </c>
      <c r="H887" s="81">
        <v>9</v>
      </c>
      <c r="I887" t="s">
        <v>47</v>
      </c>
      <c r="J887" s="3">
        <v>106.56</v>
      </c>
    </row>
    <row r="888" spans="1:10" x14ac:dyDescent="0.25">
      <c r="A888" t="s">
        <v>145</v>
      </c>
      <c r="B888" t="s">
        <v>59</v>
      </c>
      <c r="C888" s="82">
        <v>305393522</v>
      </c>
      <c r="D888">
        <v>201604</v>
      </c>
      <c r="E888" s="1">
        <v>42462</v>
      </c>
      <c r="F888" s="1">
        <v>42494</v>
      </c>
      <c r="G888" t="s">
        <v>213</v>
      </c>
      <c r="H888" s="81">
        <v>14</v>
      </c>
      <c r="I888" t="s">
        <v>47</v>
      </c>
      <c r="J888" s="3">
        <v>153.21</v>
      </c>
    </row>
    <row r="889" spans="1:10" x14ac:dyDescent="0.25">
      <c r="A889" t="s">
        <v>145</v>
      </c>
      <c r="B889" t="s">
        <v>59</v>
      </c>
      <c r="C889" s="82">
        <v>305393522</v>
      </c>
      <c r="D889">
        <v>201605</v>
      </c>
      <c r="E889" s="1">
        <v>42494</v>
      </c>
      <c r="F889" s="1">
        <v>42521</v>
      </c>
      <c r="G889" t="s">
        <v>213</v>
      </c>
      <c r="H889" s="81">
        <v>11</v>
      </c>
      <c r="I889" t="s">
        <v>47</v>
      </c>
      <c r="J889" s="3">
        <v>125.22</v>
      </c>
    </row>
    <row r="890" spans="1:10" x14ac:dyDescent="0.25">
      <c r="A890" t="s">
        <v>145</v>
      </c>
      <c r="B890" t="s">
        <v>59</v>
      </c>
      <c r="C890" s="82">
        <v>305393522</v>
      </c>
      <c r="D890">
        <v>201606</v>
      </c>
      <c r="E890" s="1">
        <v>42523</v>
      </c>
      <c r="F890" s="1">
        <v>42550</v>
      </c>
      <c r="G890" t="s">
        <v>213</v>
      </c>
      <c r="H890" s="81">
        <v>8</v>
      </c>
      <c r="I890" t="s">
        <v>47</v>
      </c>
      <c r="J890" s="3">
        <v>97.23</v>
      </c>
    </row>
    <row r="891" spans="1:10" x14ac:dyDescent="0.25">
      <c r="A891" t="s">
        <v>159</v>
      </c>
      <c r="B891" t="s">
        <v>59</v>
      </c>
      <c r="C891" s="82">
        <v>306220344</v>
      </c>
      <c r="D891">
        <v>201507</v>
      </c>
      <c r="E891" s="1">
        <v>42186</v>
      </c>
      <c r="F891" s="1">
        <v>42214</v>
      </c>
      <c r="G891" t="s">
        <v>214</v>
      </c>
      <c r="H891" s="81">
        <v>124</v>
      </c>
      <c r="I891" t="s">
        <v>47</v>
      </c>
      <c r="J891" s="3">
        <v>1078.79</v>
      </c>
    </row>
    <row r="892" spans="1:10" x14ac:dyDescent="0.25">
      <c r="A892" t="s">
        <v>159</v>
      </c>
      <c r="B892" t="s">
        <v>59</v>
      </c>
      <c r="C892" s="82">
        <v>306220344</v>
      </c>
      <c r="D892">
        <v>201508</v>
      </c>
      <c r="E892" s="1">
        <v>42215</v>
      </c>
      <c r="F892" s="1">
        <v>42243</v>
      </c>
      <c r="G892" t="s">
        <v>214</v>
      </c>
      <c r="H892" s="81">
        <v>63</v>
      </c>
      <c r="I892" t="s">
        <v>47</v>
      </c>
      <c r="J892" s="3">
        <v>295.93</v>
      </c>
    </row>
    <row r="893" spans="1:10" x14ac:dyDescent="0.25">
      <c r="A893" t="s">
        <v>159</v>
      </c>
      <c r="B893" t="s">
        <v>59</v>
      </c>
      <c r="C893" s="82">
        <v>306220344</v>
      </c>
      <c r="D893">
        <v>201509</v>
      </c>
      <c r="E893" s="1">
        <v>42244</v>
      </c>
      <c r="F893" s="1">
        <v>42275</v>
      </c>
      <c r="G893" t="s">
        <v>214</v>
      </c>
      <c r="H893" s="81">
        <v>484</v>
      </c>
      <c r="I893" t="s">
        <v>47</v>
      </c>
      <c r="J893" s="3">
        <v>4415.78</v>
      </c>
    </row>
    <row r="894" spans="1:10" x14ac:dyDescent="0.25">
      <c r="A894" t="s">
        <v>159</v>
      </c>
      <c r="B894" t="s">
        <v>59</v>
      </c>
      <c r="C894" s="82">
        <v>306220344</v>
      </c>
      <c r="D894">
        <v>201510</v>
      </c>
      <c r="E894" s="1">
        <v>42276</v>
      </c>
      <c r="F894" s="1">
        <v>42310</v>
      </c>
      <c r="G894" t="s">
        <v>214</v>
      </c>
      <c r="H894" s="81">
        <v>490</v>
      </c>
      <c r="I894" t="s">
        <v>47</v>
      </c>
      <c r="J894" s="3">
        <v>4791.53</v>
      </c>
    </row>
    <row r="895" spans="1:10" x14ac:dyDescent="0.25">
      <c r="A895" t="s">
        <v>159</v>
      </c>
      <c r="B895" t="s">
        <v>59</v>
      </c>
      <c r="C895" s="82">
        <v>306220344</v>
      </c>
      <c r="D895">
        <v>201511</v>
      </c>
      <c r="E895" s="1">
        <v>42311</v>
      </c>
      <c r="F895" s="1">
        <v>42341</v>
      </c>
      <c r="G895" t="s">
        <v>214</v>
      </c>
      <c r="H895" s="81">
        <v>347</v>
      </c>
      <c r="I895" t="s">
        <v>47</v>
      </c>
      <c r="J895" s="3">
        <v>3327.68</v>
      </c>
    </row>
    <row r="896" spans="1:10" x14ac:dyDescent="0.25">
      <c r="A896" t="s">
        <v>159</v>
      </c>
      <c r="B896" t="s">
        <v>59</v>
      </c>
      <c r="C896" s="82">
        <v>306220344</v>
      </c>
      <c r="D896">
        <v>201512</v>
      </c>
      <c r="E896" s="1">
        <v>42342</v>
      </c>
      <c r="F896" s="1">
        <v>42369</v>
      </c>
      <c r="G896" t="s">
        <v>214</v>
      </c>
      <c r="H896" s="81">
        <v>252</v>
      </c>
      <c r="I896" t="s">
        <v>47</v>
      </c>
      <c r="J896" s="3">
        <v>2453.6799999999998</v>
      </c>
    </row>
    <row r="897" spans="1:10" x14ac:dyDescent="0.25">
      <c r="A897" t="s">
        <v>159</v>
      </c>
      <c r="B897" t="s">
        <v>59</v>
      </c>
      <c r="C897" s="82">
        <v>306220344</v>
      </c>
      <c r="D897">
        <v>201601</v>
      </c>
      <c r="E897" s="1">
        <v>42370</v>
      </c>
      <c r="F897" s="1">
        <v>42402</v>
      </c>
      <c r="G897" t="s">
        <v>214</v>
      </c>
      <c r="H897" s="81">
        <v>226</v>
      </c>
      <c r="I897" t="s">
        <v>47</v>
      </c>
      <c r="J897" s="3">
        <v>2214.48</v>
      </c>
    </row>
    <row r="898" spans="1:10" x14ac:dyDescent="0.25">
      <c r="A898" t="s">
        <v>159</v>
      </c>
      <c r="B898" t="s">
        <v>59</v>
      </c>
      <c r="C898" s="82">
        <v>306220344</v>
      </c>
      <c r="D898">
        <v>201602</v>
      </c>
      <c r="E898" s="1">
        <v>42403</v>
      </c>
      <c r="F898" s="1">
        <v>42433</v>
      </c>
      <c r="G898" t="s">
        <v>214</v>
      </c>
      <c r="H898" s="81">
        <v>474</v>
      </c>
      <c r="I898" t="s">
        <v>47</v>
      </c>
      <c r="J898" s="3">
        <v>4496.08</v>
      </c>
    </row>
    <row r="899" spans="1:10" x14ac:dyDescent="0.25">
      <c r="A899" t="s">
        <v>159</v>
      </c>
      <c r="B899" t="s">
        <v>59</v>
      </c>
      <c r="C899" s="82">
        <v>306220344</v>
      </c>
      <c r="D899">
        <v>201603</v>
      </c>
      <c r="E899" s="1">
        <v>42434</v>
      </c>
      <c r="F899" s="1">
        <v>42461</v>
      </c>
      <c r="G899" t="s">
        <v>214</v>
      </c>
      <c r="H899" s="81">
        <v>297</v>
      </c>
      <c r="I899" t="s">
        <v>47</v>
      </c>
      <c r="J899" s="3">
        <v>2908.33</v>
      </c>
    </row>
    <row r="900" spans="1:10" x14ac:dyDescent="0.25">
      <c r="A900" t="s">
        <v>159</v>
      </c>
      <c r="B900" t="s">
        <v>59</v>
      </c>
      <c r="C900" s="82">
        <v>306220344</v>
      </c>
      <c r="D900">
        <v>201604</v>
      </c>
      <c r="E900" s="1">
        <v>42462</v>
      </c>
      <c r="F900" s="1">
        <v>42493</v>
      </c>
      <c r="G900" t="s">
        <v>214</v>
      </c>
      <c r="H900" s="81">
        <v>490</v>
      </c>
      <c r="I900" t="s">
        <v>47</v>
      </c>
      <c r="J900" s="3">
        <v>4695.72</v>
      </c>
    </row>
    <row r="901" spans="1:10" x14ac:dyDescent="0.25">
      <c r="A901" t="s">
        <v>159</v>
      </c>
      <c r="B901" t="s">
        <v>59</v>
      </c>
      <c r="C901" s="82">
        <v>306220344</v>
      </c>
      <c r="D901">
        <v>201605</v>
      </c>
      <c r="E901" s="1">
        <v>42494</v>
      </c>
      <c r="F901" s="1">
        <v>42521</v>
      </c>
      <c r="G901" t="s">
        <v>214</v>
      </c>
      <c r="H901" s="81">
        <v>122</v>
      </c>
      <c r="I901" t="s">
        <v>47</v>
      </c>
      <c r="J901" s="3">
        <v>1222.3800000000001</v>
      </c>
    </row>
    <row r="902" spans="1:10" x14ac:dyDescent="0.25">
      <c r="A902" t="s">
        <v>159</v>
      </c>
      <c r="B902" t="s">
        <v>59</v>
      </c>
      <c r="C902" s="82">
        <v>306220344</v>
      </c>
      <c r="D902">
        <v>201606</v>
      </c>
      <c r="E902" s="1">
        <v>42522</v>
      </c>
      <c r="F902" s="1">
        <v>42550</v>
      </c>
      <c r="G902" t="s">
        <v>214</v>
      </c>
      <c r="H902" s="81">
        <v>37</v>
      </c>
      <c r="I902" t="s">
        <v>47</v>
      </c>
      <c r="J902" s="3">
        <v>289.68</v>
      </c>
    </row>
    <row r="903" spans="1:10" x14ac:dyDescent="0.25">
      <c r="A903" t="s">
        <v>148</v>
      </c>
      <c r="B903" t="s">
        <v>59</v>
      </c>
      <c r="C903" s="82">
        <v>301881108</v>
      </c>
      <c r="D903">
        <v>201507</v>
      </c>
      <c r="E903" s="1">
        <v>42186</v>
      </c>
      <c r="F903" s="1">
        <v>42214</v>
      </c>
      <c r="G903" t="s">
        <v>215</v>
      </c>
      <c r="H903" s="81">
        <v>74</v>
      </c>
      <c r="I903" t="s">
        <v>47</v>
      </c>
      <c r="J903" s="3">
        <v>1020.51</v>
      </c>
    </row>
    <row r="904" spans="1:10" x14ac:dyDescent="0.25">
      <c r="A904" t="s">
        <v>148</v>
      </c>
      <c r="B904" t="s">
        <v>59</v>
      </c>
      <c r="C904" s="82">
        <v>301881108</v>
      </c>
      <c r="D904">
        <v>201508</v>
      </c>
      <c r="E904" s="1">
        <v>42215</v>
      </c>
      <c r="F904" s="1">
        <v>42243</v>
      </c>
      <c r="G904" t="s">
        <v>215</v>
      </c>
      <c r="H904" s="81">
        <v>74</v>
      </c>
      <c r="I904" t="s">
        <v>47</v>
      </c>
      <c r="J904" s="3">
        <v>1094.23</v>
      </c>
    </row>
    <row r="905" spans="1:10" x14ac:dyDescent="0.25">
      <c r="A905" t="s">
        <v>148</v>
      </c>
      <c r="B905" t="s">
        <v>59</v>
      </c>
      <c r="C905" s="82">
        <v>301881108</v>
      </c>
      <c r="D905">
        <v>201509</v>
      </c>
      <c r="E905" s="1">
        <v>42244</v>
      </c>
      <c r="F905" s="1">
        <v>42275</v>
      </c>
      <c r="G905" t="s">
        <v>215</v>
      </c>
      <c r="H905" s="81">
        <v>195</v>
      </c>
      <c r="I905" t="s">
        <v>47</v>
      </c>
      <c r="J905" s="3">
        <v>2207.4299999999998</v>
      </c>
    </row>
    <row r="906" spans="1:10" x14ac:dyDescent="0.25">
      <c r="A906" t="s">
        <v>148</v>
      </c>
      <c r="B906" t="s">
        <v>59</v>
      </c>
      <c r="C906" s="82">
        <v>301881108</v>
      </c>
      <c r="D906">
        <v>201510</v>
      </c>
      <c r="E906" s="1">
        <v>42276</v>
      </c>
      <c r="F906" s="1">
        <v>42310</v>
      </c>
      <c r="G906" t="s">
        <v>215</v>
      </c>
      <c r="H906" s="81">
        <v>184</v>
      </c>
      <c r="I906" t="s">
        <v>47</v>
      </c>
      <c r="J906" s="3">
        <v>2106.23</v>
      </c>
    </row>
    <row r="907" spans="1:10" x14ac:dyDescent="0.25">
      <c r="A907" t="s">
        <v>148</v>
      </c>
      <c r="B907" t="s">
        <v>59</v>
      </c>
      <c r="C907" s="82">
        <v>301881108</v>
      </c>
      <c r="D907">
        <v>201511</v>
      </c>
      <c r="E907" s="1">
        <v>42311</v>
      </c>
      <c r="F907" s="1">
        <v>42341</v>
      </c>
      <c r="G907" t="s">
        <v>215</v>
      </c>
      <c r="H907" s="81">
        <v>135</v>
      </c>
      <c r="I907" t="s">
        <v>47</v>
      </c>
      <c r="J907" s="3">
        <v>1655.43</v>
      </c>
    </row>
    <row r="908" spans="1:10" x14ac:dyDescent="0.25">
      <c r="A908" t="s">
        <v>148</v>
      </c>
      <c r="B908" t="s">
        <v>59</v>
      </c>
      <c r="C908" s="82">
        <v>301881108</v>
      </c>
      <c r="D908">
        <v>201512</v>
      </c>
      <c r="E908" s="1">
        <v>42342</v>
      </c>
      <c r="F908" s="1">
        <v>42369</v>
      </c>
      <c r="G908" t="s">
        <v>215</v>
      </c>
      <c r="H908" s="81">
        <v>104</v>
      </c>
      <c r="I908" t="s">
        <v>47</v>
      </c>
      <c r="J908" s="3">
        <v>1370.23</v>
      </c>
    </row>
    <row r="909" spans="1:10" x14ac:dyDescent="0.25">
      <c r="A909" t="s">
        <v>148</v>
      </c>
      <c r="B909" t="s">
        <v>59</v>
      </c>
      <c r="C909" s="82">
        <v>301881108</v>
      </c>
      <c r="D909">
        <v>201601</v>
      </c>
      <c r="E909" s="1">
        <v>42370</v>
      </c>
      <c r="F909" s="1">
        <v>42402</v>
      </c>
      <c r="G909" t="s">
        <v>215</v>
      </c>
      <c r="H909" s="81">
        <v>82</v>
      </c>
      <c r="I909" t="s">
        <v>47</v>
      </c>
      <c r="J909" s="3">
        <v>1167.83</v>
      </c>
    </row>
    <row r="910" spans="1:10" x14ac:dyDescent="0.25">
      <c r="A910" t="s">
        <v>148</v>
      </c>
      <c r="B910" t="s">
        <v>59</v>
      </c>
      <c r="C910" s="82">
        <v>301881108</v>
      </c>
      <c r="D910">
        <v>201602</v>
      </c>
      <c r="E910" s="1">
        <v>42403</v>
      </c>
      <c r="F910" s="1">
        <v>42433</v>
      </c>
      <c r="G910" t="s">
        <v>215</v>
      </c>
      <c r="H910" s="81">
        <v>161</v>
      </c>
      <c r="I910" t="s">
        <v>47</v>
      </c>
      <c r="J910" s="3">
        <v>1894.63</v>
      </c>
    </row>
    <row r="911" spans="1:10" x14ac:dyDescent="0.25">
      <c r="A911" t="s">
        <v>148</v>
      </c>
      <c r="B911" t="s">
        <v>59</v>
      </c>
      <c r="C911" s="82">
        <v>301881108</v>
      </c>
      <c r="D911">
        <v>201603</v>
      </c>
      <c r="E911" s="1">
        <v>42434</v>
      </c>
      <c r="F911" s="1">
        <v>42461</v>
      </c>
      <c r="G911" t="s">
        <v>215</v>
      </c>
      <c r="H911" s="81">
        <v>121</v>
      </c>
      <c r="I911" t="s">
        <v>47</v>
      </c>
      <c r="J911" s="3">
        <v>1542.41</v>
      </c>
    </row>
    <row r="912" spans="1:10" x14ac:dyDescent="0.25">
      <c r="A912" t="s">
        <v>148</v>
      </c>
      <c r="B912" t="s">
        <v>59</v>
      </c>
      <c r="C912" s="82">
        <v>301881108</v>
      </c>
      <c r="D912">
        <v>201604</v>
      </c>
      <c r="E912" s="1">
        <v>42462</v>
      </c>
      <c r="F912" s="1">
        <v>42493</v>
      </c>
      <c r="G912" t="s">
        <v>215</v>
      </c>
      <c r="H912" s="81">
        <v>154</v>
      </c>
      <c r="I912" t="s">
        <v>47</v>
      </c>
      <c r="J912" s="3">
        <v>1850.3</v>
      </c>
    </row>
    <row r="913" spans="1:10" x14ac:dyDescent="0.25">
      <c r="A913" t="s">
        <v>148</v>
      </c>
      <c r="B913" t="s">
        <v>59</v>
      </c>
      <c r="C913" s="82">
        <v>301881108</v>
      </c>
      <c r="D913">
        <v>201605</v>
      </c>
      <c r="E913" s="1">
        <v>42494</v>
      </c>
      <c r="F913" s="1">
        <v>42521</v>
      </c>
      <c r="G913" t="s">
        <v>215</v>
      </c>
      <c r="H913" s="81">
        <v>89</v>
      </c>
      <c r="I913" t="s">
        <v>47</v>
      </c>
      <c r="J913" s="3">
        <v>1243.8499999999999</v>
      </c>
    </row>
    <row r="914" spans="1:10" x14ac:dyDescent="0.25">
      <c r="A914" t="s">
        <v>148</v>
      </c>
      <c r="B914" t="s">
        <v>59</v>
      </c>
      <c r="C914" s="82">
        <v>301881108</v>
      </c>
      <c r="D914">
        <v>201606</v>
      </c>
      <c r="E914" s="1">
        <v>42522</v>
      </c>
      <c r="F914" s="1">
        <v>42550</v>
      </c>
      <c r="G914" t="s">
        <v>215</v>
      </c>
      <c r="H914" s="81">
        <v>77</v>
      </c>
      <c r="I914" t="s">
        <v>47</v>
      </c>
      <c r="J914" s="3">
        <v>1131.8900000000001</v>
      </c>
    </row>
    <row r="915" spans="1:10" x14ac:dyDescent="0.25">
      <c r="A915" t="s">
        <v>151</v>
      </c>
      <c r="B915" t="s">
        <v>59</v>
      </c>
      <c r="C915" s="82">
        <v>301881744</v>
      </c>
      <c r="D915">
        <v>201507</v>
      </c>
      <c r="E915" s="1">
        <v>42186</v>
      </c>
      <c r="F915" s="1">
        <v>42214</v>
      </c>
      <c r="G915" t="s">
        <v>216</v>
      </c>
      <c r="H915" s="81">
        <v>7</v>
      </c>
      <c r="I915" t="s">
        <v>47</v>
      </c>
      <c r="J915" s="3">
        <v>169.47</v>
      </c>
    </row>
    <row r="916" spans="1:10" x14ac:dyDescent="0.25">
      <c r="A916" t="s">
        <v>151</v>
      </c>
      <c r="B916" t="s">
        <v>59</v>
      </c>
      <c r="C916" s="82">
        <v>301881744</v>
      </c>
      <c r="D916">
        <v>201508</v>
      </c>
      <c r="E916" s="1">
        <v>42215</v>
      </c>
      <c r="F916" s="1">
        <v>42243</v>
      </c>
      <c r="G916" t="s">
        <v>216</v>
      </c>
      <c r="H916" s="81">
        <v>7</v>
      </c>
      <c r="I916" t="s">
        <v>47</v>
      </c>
      <c r="J916" s="3">
        <v>191.13</v>
      </c>
    </row>
    <row r="917" spans="1:10" x14ac:dyDescent="0.25">
      <c r="A917" t="s">
        <v>151</v>
      </c>
      <c r="B917" t="s">
        <v>59</v>
      </c>
      <c r="C917" s="82">
        <v>301881744</v>
      </c>
      <c r="D917">
        <v>201509</v>
      </c>
      <c r="E917" s="1">
        <v>42244</v>
      </c>
      <c r="F917" s="1">
        <v>42275</v>
      </c>
      <c r="G917" t="s">
        <v>216</v>
      </c>
      <c r="H917" s="81">
        <v>15</v>
      </c>
      <c r="I917" t="s">
        <v>47</v>
      </c>
      <c r="J917" s="3">
        <v>264.73</v>
      </c>
    </row>
    <row r="918" spans="1:10" x14ac:dyDescent="0.25">
      <c r="A918" t="s">
        <v>151</v>
      </c>
      <c r="B918" t="s">
        <v>59</v>
      </c>
      <c r="C918" s="82">
        <v>301881744</v>
      </c>
      <c r="D918">
        <v>201510</v>
      </c>
      <c r="E918" s="1">
        <v>42276</v>
      </c>
      <c r="F918" s="1">
        <v>42310</v>
      </c>
      <c r="G918" t="s">
        <v>216</v>
      </c>
      <c r="H918" s="81">
        <v>16</v>
      </c>
      <c r="I918" t="s">
        <v>47</v>
      </c>
      <c r="J918" s="3">
        <v>273.93</v>
      </c>
    </row>
    <row r="919" spans="1:10" x14ac:dyDescent="0.25">
      <c r="A919" t="s">
        <v>151</v>
      </c>
      <c r="B919" t="s">
        <v>59</v>
      </c>
      <c r="C919" s="82">
        <v>301881744</v>
      </c>
      <c r="D919">
        <v>201511</v>
      </c>
      <c r="E919" s="1">
        <v>42311</v>
      </c>
      <c r="F919" s="1">
        <v>42341</v>
      </c>
      <c r="G919" t="s">
        <v>216</v>
      </c>
      <c r="H919" s="81">
        <v>12</v>
      </c>
      <c r="I919" t="s">
        <v>47</v>
      </c>
      <c r="J919" s="3">
        <v>237.13</v>
      </c>
    </row>
    <row r="920" spans="1:10" x14ac:dyDescent="0.25">
      <c r="A920" t="s">
        <v>151</v>
      </c>
      <c r="B920" t="s">
        <v>59</v>
      </c>
      <c r="C920" s="82">
        <v>301881744</v>
      </c>
      <c r="D920">
        <v>201512</v>
      </c>
      <c r="E920" s="1">
        <v>42342</v>
      </c>
      <c r="F920" s="1">
        <v>42369</v>
      </c>
      <c r="G920" t="s">
        <v>216</v>
      </c>
      <c r="H920" s="81">
        <v>7</v>
      </c>
      <c r="I920" t="s">
        <v>47</v>
      </c>
      <c r="J920" s="3">
        <v>191.13</v>
      </c>
    </row>
    <row r="921" spans="1:10" x14ac:dyDescent="0.25">
      <c r="A921" t="s">
        <v>151</v>
      </c>
      <c r="B921" t="s">
        <v>59</v>
      </c>
      <c r="C921" s="82">
        <v>301881744</v>
      </c>
      <c r="D921">
        <v>201601</v>
      </c>
      <c r="E921" s="1">
        <v>42370</v>
      </c>
      <c r="F921" s="1">
        <v>42402</v>
      </c>
      <c r="G921" t="s">
        <v>216</v>
      </c>
      <c r="H921" s="81">
        <v>7</v>
      </c>
      <c r="I921" t="s">
        <v>47</v>
      </c>
      <c r="J921" s="3">
        <v>191.13</v>
      </c>
    </row>
    <row r="922" spans="1:10" x14ac:dyDescent="0.25">
      <c r="A922" t="s">
        <v>151</v>
      </c>
      <c r="B922" t="s">
        <v>59</v>
      </c>
      <c r="C922" s="82">
        <v>301881744</v>
      </c>
      <c r="D922">
        <v>201602</v>
      </c>
      <c r="E922" s="1">
        <v>42403</v>
      </c>
      <c r="F922" s="1">
        <v>42433</v>
      </c>
      <c r="G922" t="s">
        <v>216</v>
      </c>
      <c r="H922" s="81">
        <v>13</v>
      </c>
      <c r="I922" t="s">
        <v>47</v>
      </c>
      <c r="J922" s="3">
        <v>246.33</v>
      </c>
    </row>
    <row r="923" spans="1:10" x14ac:dyDescent="0.25">
      <c r="A923" t="s">
        <v>151</v>
      </c>
      <c r="B923" t="s">
        <v>59</v>
      </c>
      <c r="C923" s="82">
        <v>301881744</v>
      </c>
      <c r="D923">
        <v>201603</v>
      </c>
      <c r="E923" s="1">
        <v>42434</v>
      </c>
      <c r="F923" s="1">
        <v>42461</v>
      </c>
      <c r="G923" t="s">
        <v>216</v>
      </c>
      <c r="H923" s="81">
        <v>10</v>
      </c>
      <c r="I923" t="s">
        <v>47</v>
      </c>
      <c r="J923" s="3">
        <v>221.6</v>
      </c>
    </row>
    <row r="924" spans="1:10" x14ac:dyDescent="0.25">
      <c r="A924" t="s">
        <v>151</v>
      </c>
      <c r="B924" t="s">
        <v>59</v>
      </c>
      <c r="C924" s="82">
        <v>301881744</v>
      </c>
      <c r="D924">
        <v>201604</v>
      </c>
      <c r="E924" s="1">
        <v>42462</v>
      </c>
      <c r="F924" s="1">
        <v>42493</v>
      </c>
      <c r="G924" t="s">
        <v>216</v>
      </c>
      <c r="H924" s="81">
        <v>14</v>
      </c>
      <c r="I924" t="s">
        <v>47</v>
      </c>
      <c r="J924" s="3">
        <v>258.92</v>
      </c>
    </row>
    <row r="925" spans="1:10" x14ac:dyDescent="0.25">
      <c r="A925" t="s">
        <v>151</v>
      </c>
      <c r="B925" t="s">
        <v>59</v>
      </c>
      <c r="C925" s="82">
        <v>301881744</v>
      </c>
      <c r="D925">
        <v>201605</v>
      </c>
      <c r="E925" s="1">
        <v>42494</v>
      </c>
      <c r="F925" s="1">
        <v>42521</v>
      </c>
      <c r="G925" t="s">
        <v>216</v>
      </c>
      <c r="H925" s="81">
        <v>7</v>
      </c>
      <c r="I925" t="s">
        <v>47</v>
      </c>
      <c r="J925" s="3">
        <v>193.61</v>
      </c>
    </row>
    <row r="926" spans="1:10" x14ac:dyDescent="0.25">
      <c r="A926" t="s">
        <v>151</v>
      </c>
      <c r="B926" t="s">
        <v>59</v>
      </c>
      <c r="C926" s="82">
        <v>301881744</v>
      </c>
      <c r="D926">
        <v>201606</v>
      </c>
      <c r="E926" s="1">
        <v>42522</v>
      </c>
      <c r="F926" s="1">
        <v>42550</v>
      </c>
      <c r="G926" t="s">
        <v>216</v>
      </c>
      <c r="H926" s="81">
        <v>7</v>
      </c>
      <c r="I926" t="s">
        <v>47</v>
      </c>
      <c r="J926" s="3">
        <v>193.61</v>
      </c>
    </row>
    <row r="927" spans="1:10" x14ac:dyDescent="0.25">
      <c r="H927" s="96">
        <f>SUM(H691:H926)</f>
        <v>36403.089999999997</v>
      </c>
      <c r="I927" t="s">
        <v>47</v>
      </c>
      <c r="J927" s="95">
        <f>SUM(J691:J926)</f>
        <v>295720.49999999983</v>
      </c>
    </row>
    <row r="928" spans="1:10" ht="15.75" thickBot="1" x14ac:dyDescent="0.3">
      <c r="G928" s="20" t="s">
        <v>597</v>
      </c>
      <c r="H928" s="97">
        <v>-57</v>
      </c>
      <c r="I928" t="s">
        <v>47</v>
      </c>
      <c r="J928" s="98">
        <v>-544.62</v>
      </c>
    </row>
    <row r="929" spans="8:10" ht="15.75" thickBot="1" x14ac:dyDescent="0.3">
      <c r="H929" s="91">
        <f>SUM(H927:H928)</f>
        <v>36346.089999999997</v>
      </c>
      <c r="J929" s="6">
        <f>SUM(J927:J928)</f>
        <v>295175.87999999983</v>
      </c>
    </row>
    <row r="930" spans="8:10" x14ac:dyDescent="0.25">
      <c r="H930"/>
      <c r="J930"/>
    </row>
    <row r="931" spans="8:10" x14ac:dyDescent="0.25">
      <c r="H931"/>
      <c r="J931"/>
    </row>
    <row r="932" spans="8:10" x14ac:dyDescent="0.25">
      <c r="H932"/>
      <c r="J932"/>
    </row>
    <row r="933" spans="8:10" x14ac:dyDescent="0.25">
      <c r="H933"/>
      <c r="J933"/>
    </row>
    <row r="934" spans="8:10" x14ac:dyDescent="0.25">
      <c r="H934"/>
      <c r="J934"/>
    </row>
    <row r="935" spans="8:10" x14ac:dyDescent="0.25">
      <c r="H935"/>
      <c r="J935"/>
    </row>
    <row r="936" spans="8:10" x14ac:dyDescent="0.25">
      <c r="H936"/>
      <c r="J936"/>
    </row>
    <row r="937" spans="8:10" x14ac:dyDescent="0.25">
      <c r="H937"/>
      <c r="J937"/>
    </row>
    <row r="938" spans="8:10" x14ac:dyDescent="0.25">
      <c r="H938"/>
      <c r="J938"/>
    </row>
    <row r="939" spans="8:10" x14ac:dyDescent="0.25">
      <c r="H939"/>
      <c r="J939"/>
    </row>
    <row r="940" spans="8:10" x14ac:dyDescent="0.25">
      <c r="H940"/>
      <c r="J940"/>
    </row>
    <row r="941" spans="8:10" x14ac:dyDescent="0.25">
      <c r="H941"/>
      <c r="J941"/>
    </row>
    <row r="942" spans="8:10" x14ac:dyDescent="0.25">
      <c r="H942"/>
      <c r="J942"/>
    </row>
    <row r="943" spans="8:10" x14ac:dyDescent="0.25">
      <c r="H943"/>
      <c r="J943"/>
    </row>
    <row r="944" spans="8:10" x14ac:dyDescent="0.25">
      <c r="H944"/>
      <c r="J944"/>
    </row>
    <row r="945" spans="8:10" x14ac:dyDescent="0.25">
      <c r="H945"/>
      <c r="J945"/>
    </row>
  </sheetData>
  <sortState xmlns:xlrd2="http://schemas.microsoft.com/office/spreadsheetml/2017/richdata2" ref="A687:J923">
    <sortCondition ref="A687:A923"/>
  </sortState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R1466"/>
  <sheetViews>
    <sheetView topLeftCell="A1121" workbookViewId="0">
      <selection activeCell="A1151" sqref="A1151"/>
    </sheetView>
  </sheetViews>
  <sheetFormatPr defaultColWidth="8.85546875" defaultRowHeight="15" x14ac:dyDescent="0.25"/>
  <cols>
    <col min="1" max="1" width="33.28515625" bestFit="1" customWidth="1"/>
    <col min="2" max="2" width="14.42578125" bestFit="1" customWidth="1"/>
    <col min="3" max="3" width="31.140625" style="82" bestFit="1" customWidth="1"/>
    <col min="4" max="4" width="10.42578125" customWidth="1"/>
    <col min="5" max="6" width="10.7109375" bestFit="1" customWidth="1"/>
    <col min="7" max="7" width="38.85546875" bestFit="1" customWidth="1"/>
    <col min="8" max="8" width="10.85546875" bestFit="1" customWidth="1"/>
    <col min="9" max="9" width="7.85546875" bestFit="1" customWidth="1"/>
    <col min="10" max="10" width="13.42578125" bestFit="1" customWidth="1"/>
    <col min="15" max="15" width="12.28515625" customWidth="1"/>
    <col min="18" max="18" width="11.85546875" bestFit="1" customWidth="1"/>
  </cols>
  <sheetData>
    <row r="1" spans="1:10" ht="15.75" x14ac:dyDescent="0.25">
      <c r="A1" s="103" t="s">
        <v>740</v>
      </c>
    </row>
    <row r="3" spans="1:10" x14ac:dyDescent="0.25">
      <c r="A3" t="s">
        <v>57</v>
      </c>
      <c r="B3" t="s">
        <v>5</v>
      </c>
      <c r="C3" s="82" t="s">
        <v>693</v>
      </c>
      <c r="D3">
        <v>201507</v>
      </c>
      <c r="E3" s="1">
        <v>42185</v>
      </c>
      <c r="F3" s="1">
        <v>42216</v>
      </c>
      <c r="G3" t="s">
        <v>693</v>
      </c>
      <c r="H3" s="81">
        <v>89340</v>
      </c>
      <c r="I3" t="s">
        <v>6</v>
      </c>
      <c r="J3" s="3">
        <v>5240.51</v>
      </c>
    </row>
    <row r="4" spans="1:10" x14ac:dyDescent="0.25">
      <c r="A4" t="s">
        <v>57</v>
      </c>
      <c r="B4" t="s">
        <v>5</v>
      </c>
      <c r="C4" s="82" t="s">
        <v>693</v>
      </c>
      <c r="D4">
        <v>201508</v>
      </c>
      <c r="E4" s="1">
        <v>42216</v>
      </c>
      <c r="F4" s="1">
        <v>42243</v>
      </c>
      <c r="G4" t="s">
        <v>693</v>
      </c>
      <c r="H4" s="81">
        <v>38720</v>
      </c>
      <c r="I4" t="s">
        <v>6</v>
      </c>
      <c r="J4" s="3">
        <v>2347.9499999999998</v>
      </c>
    </row>
    <row r="5" spans="1:10" x14ac:dyDescent="0.25">
      <c r="A5" t="s">
        <v>57</v>
      </c>
      <c r="B5" t="s">
        <v>5</v>
      </c>
      <c r="C5" s="82" t="s">
        <v>693</v>
      </c>
      <c r="D5">
        <v>201509</v>
      </c>
      <c r="E5" s="1">
        <v>42243</v>
      </c>
      <c r="F5" s="1">
        <v>42276</v>
      </c>
      <c r="G5" t="s">
        <v>693</v>
      </c>
      <c r="H5" s="81">
        <v>104529</v>
      </c>
      <c r="I5" t="s">
        <v>6</v>
      </c>
      <c r="J5" s="3">
        <v>6115.45</v>
      </c>
    </row>
    <row r="6" spans="1:10" x14ac:dyDescent="0.25">
      <c r="A6" t="s">
        <v>57</v>
      </c>
      <c r="B6" t="s">
        <v>5</v>
      </c>
      <c r="C6" s="82" t="s">
        <v>693</v>
      </c>
      <c r="D6">
        <v>201510</v>
      </c>
      <c r="E6" s="1">
        <v>42276</v>
      </c>
      <c r="F6" s="1">
        <v>42305</v>
      </c>
      <c r="G6" t="s">
        <v>693</v>
      </c>
      <c r="H6" s="81">
        <v>74247</v>
      </c>
      <c r="I6" t="s">
        <v>6</v>
      </c>
      <c r="J6" s="3">
        <v>4439.59</v>
      </c>
    </row>
    <row r="7" spans="1:10" x14ac:dyDescent="0.25">
      <c r="A7" t="s">
        <v>57</v>
      </c>
      <c r="B7" t="s">
        <v>5</v>
      </c>
      <c r="C7" s="82" t="s">
        <v>693</v>
      </c>
      <c r="D7">
        <v>201511</v>
      </c>
      <c r="E7" s="1">
        <v>42305</v>
      </c>
      <c r="F7" s="1">
        <v>42339</v>
      </c>
      <c r="G7" t="s">
        <v>693</v>
      </c>
      <c r="H7" s="81">
        <v>123797</v>
      </c>
      <c r="I7" t="s">
        <v>6</v>
      </c>
      <c r="J7" s="3">
        <v>7487.87</v>
      </c>
    </row>
    <row r="8" spans="1:10" x14ac:dyDescent="0.25">
      <c r="A8" t="s">
        <v>57</v>
      </c>
      <c r="B8" t="s">
        <v>5</v>
      </c>
      <c r="C8" s="82" t="s">
        <v>693</v>
      </c>
      <c r="D8">
        <v>201512</v>
      </c>
      <c r="E8" s="1">
        <v>42339</v>
      </c>
      <c r="F8" s="1">
        <v>42369</v>
      </c>
      <c r="G8" t="s">
        <v>693</v>
      </c>
      <c r="H8" s="81">
        <v>92714</v>
      </c>
      <c r="I8" t="s">
        <v>6</v>
      </c>
      <c r="J8" s="3">
        <v>5856.96</v>
      </c>
    </row>
    <row r="9" spans="1:10" x14ac:dyDescent="0.25">
      <c r="A9" t="s">
        <v>57</v>
      </c>
      <c r="B9" t="s">
        <v>5</v>
      </c>
      <c r="C9" s="82" t="s">
        <v>693</v>
      </c>
      <c r="D9">
        <v>201601</v>
      </c>
      <c r="E9" s="1">
        <v>42369</v>
      </c>
      <c r="F9" s="1">
        <v>42401</v>
      </c>
      <c r="G9" t="s">
        <v>693</v>
      </c>
      <c r="H9" s="81">
        <v>100285</v>
      </c>
      <c r="I9" t="s">
        <v>6</v>
      </c>
      <c r="J9" s="3">
        <v>6273.52</v>
      </c>
    </row>
    <row r="10" spans="1:10" x14ac:dyDescent="0.25">
      <c r="A10" t="s">
        <v>57</v>
      </c>
      <c r="B10" t="s">
        <v>5</v>
      </c>
      <c r="C10" s="82" t="s">
        <v>693</v>
      </c>
      <c r="D10">
        <v>201602</v>
      </c>
      <c r="E10" s="1">
        <v>42401</v>
      </c>
      <c r="F10" s="1">
        <v>42430</v>
      </c>
      <c r="G10" t="s">
        <v>693</v>
      </c>
      <c r="H10" s="81">
        <v>97702</v>
      </c>
      <c r="I10" t="s">
        <v>6</v>
      </c>
      <c r="J10" s="3">
        <v>5962.62</v>
      </c>
    </row>
    <row r="11" spans="1:10" x14ac:dyDescent="0.25">
      <c r="A11" t="s">
        <v>57</v>
      </c>
      <c r="B11" t="s">
        <v>5</v>
      </c>
      <c r="C11" s="82" t="s">
        <v>693</v>
      </c>
      <c r="D11">
        <v>201603</v>
      </c>
      <c r="E11" s="1">
        <v>42430</v>
      </c>
      <c r="F11" s="1">
        <v>42460</v>
      </c>
      <c r="G11" t="s">
        <v>693</v>
      </c>
      <c r="H11" s="81">
        <v>96215</v>
      </c>
      <c r="I11" t="s">
        <v>6</v>
      </c>
      <c r="J11" s="3">
        <v>6176.86</v>
      </c>
    </row>
    <row r="12" spans="1:10" x14ac:dyDescent="0.25">
      <c r="A12" t="s">
        <v>57</v>
      </c>
      <c r="B12" t="s">
        <v>5</v>
      </c>
      <c r="C12" s="82" t="s">
        <v>693</v>
      </c>
      <c r="D12">
        <v>201604</v>
      </c>
      <c r="E12" s="1">
        <v>42460</v>
      </c>
      <c r="F12" s="1">
        <v>42489</v>
      </c>
      <c r="G12" t="s">
        <v>693</v>
      </c>
      <c r="H12" s="81">
        <v>92865</v>
      </c>
      <c r="I12" t="s">
        <v>6</v>
      </c>
      <c r="J12" s="3">
        <v>5595.11</v>
      </c>
    </row>
    <row r="13" spans="1:10" x14ac:dyDescent="0.25">
      <c r="A13" t="s">
        <v>57</v>
      </c>
      <c r="B13" t="s">
        <v>5</v>
      </c>
      <c r="C13" s="82" t="s">
        <v>693</v>
      </c>
      <c r="D13">
        <v>201605</v>
      </c>
      <c r="E13" s="1">
        <v>42489</v>
      </c>
      <c r="F13" s="1">
        <v>42521</v>
      </c>
      <c r="G13" t="s">
        <v>693</v>
      </c>
      <c r="H13" s="81">
        <v>99917</v>
      </c>
      <c r="I13" t="s">
        <v>6</v>
      </c>
      <c r="J13" s="3">
        <v>6214.75</v>
      </c>
    </row>
    <row r="14" spans="1:10" x14ac:dyDescent="0.25">
      <c r="A14" t="s">
        <v>57</v>
      </c>
      <c r="B14" t="s">
        <v>5</v>
      </c>
      <c r="C14" s="82" t="s">
        <v>693</v>
      </c>
      <c r="D14">
        <v>201606</v>
      </c>
      <c r="E14" s="1">
        <v>42521</v>
      </c>
      <c r="F14" s="1">
        <v>42550</v>
      </c>
      <c r="G14" t="s">
        <v>693</v>
      </c>
      <c r="H14" s="81">
        <v>88902</v>
      </c>
      <c r="I14" t="s">
        <v>6</v>
      </c>
      <c r="J14" s="3">
        <v>5336.97</v>
      </c>
    </row>
    <row r="15" spans="1:10" x14ac:dyDescent="0.25">
      <c r="A15" t="s">
        <v>582</v>
      </c>
      <c r="B15" t="s">
        <v>5</v>
      </c>
      <c r="C15" s="82">
        <v>3922742501</v>
      </c>
      <c r="D15">
        <v>201507</v>
      </c>
      <c r="E15" s="1">
        <v>42185</v>
      </c>
      <c r="F15" s="1">
        <v>42219</v>
      </c>
      <c r="G15" t="s">
        <v>645</v>
      </c>
      <c r="H15" s="81">
        <v>1723</v>
      </c>
      <c r="I15" t="s">
        <v>6</v>
      </c>
      <c r="J15" s="3">
        <v>164.53</v>
      </c>
    </row>
    <row r="16" spans="1:10" x14ac:dyDescent="0.25">
      <c r="A16" t="s">
        <v>582</v>
      </c>
      <c r="B16" t="s">
        <v>5</v>
      </c>
      <c r="C16" s="82">
        <v>3922742501</v>
      </c>
      <c r="D16">
        <v>201508</v>
      </c>
      <c r="E16" s="1">
        <v>42219</v>
      </c>
      <c r="F16" s="1">
        <v>42244</v>
      </c>
      <c r="G16" t="s">
        <v>645</v>
      </c>
      <c r="H16" s="81">
        <v>1205</v>
      </c>
      <c r="I16" t="s">
        <v>6</v>
      </c>
      <c r="J16" s="3">
        <v>116.41</v>
      </c>
    </row>
    <row r="17" spans="1:10" x14ac:dyDescent="0.25">
      <c r="A17" t="s">
        <v>582</v>
      </c>
      <c r="B17" t="s">
        <v>5</v>
      </c>
      <c r="C17" s="82">
        <v>3922742501</v>
      </c>
      <c r="D17">
        <v>201509</v>
      </c>
      <c r="E17" s="1">
        <v>42244</v>
      </c>
      <c r="F17" s="1">
        <v>42276</v>
      </c>
      <c r="G17" t="s">
        <v>645</v>
      </c>
      <c r="H17" s="81">
        <v>1096</v>
      </c>
      <c r="I17" t="s">
        <v>6</v>
      </c>
      <c r="J17" s="3">
        <v>107.49</v>
      </c>
    </row>
    <row r="18" spans="1:10" x14ac:dyDescent="0.25">
      <c r="A18" t="s">
        <v>582</v>
      </c>
      <c r="B18" t="s">
        <v>5</v>
      </c>
      <c r="C18" s="82">
        <v>3922742501</v>
      </c>
      <c r="D18">
        <v>201510</v>
      </c>
      <c r="E18" s="1">
        <v>42276</v>
      </c>
      <c r="F18" s="1">
        <v>42305</v>
      </c>
      <c r="G18" t="s">
        <v>645</v>
      </c>
      <c r="H18" s="81">
        <v>812</v>
      </c>
      <c r="I18" t="s">
        <v>6</v>
      </c>
      <c r="J18" s="3">
        <v>82.21</v>
      </c>
    </row>
    <row r="19" spans="1:10" x14ac:dyDescent="0.25">
      <c r="A19" t="s">
        <v>582</v>
      </c>
      <c r="B19" t="s">
        <v>5</v>
      </c>
      <c r="C19" s="82">
        <v>3922742501</v>
      </c>
      <c r="D19">
        <v>201511</v>
      </c>
      <c r="E19" s="1">
        <v>42305</v>
      </c>
      <c r="F19" s="1">
        <v>42340</v>
      </c>
      <c r="G19" t="s">
        <v>645</v>
      </c>
      <c r="H19" s="81">
        <v>995</v>
      </c>
      <c r="I19" t="s">
        <v>6</v>
      </c>
      <c r="J19" s="3">
        <v>98.45</v>
      </c>
    </row>
    <row r="20" spans="1:10" x14ac:dyDescent="0.25">
      <c r="A20" t="s">
        <v>582</v>
      </c>
      <c r="B20" t="s">
        <v>5</v>
      </c>
      <c r="C20" s="82">
        <v>3922742501</v>
      </c>
      <c r="D20">
        <v>201512</v>
      </c>
      <c r="E20" s="1">
        <v>42340</v>
      </c>
      <c r="F20" s="1">
        <v>42369</v>
      </c>
      <c r="G20" t="s">
        <v>645</v>
      </c>
      <c r="H20" s="81">
        <v>995</v>
      </c>
      <c r="I20" t="s">
        <v>6</v>
      </c>
      <c r="J20" s="3">
        <v>98.45</v>
      </c>
    </row>
    <row r="21" spans="1:10" x14ac:dyDescent="0.25">
      <c r="A21" t="s">
        <v>582</v>
      </c>
      <c r="B21" t="s">
        <v>5</v>
      </c>
      <c r="C21" s="82">
        <v>3922742501</v>
      </c>
      <c r="D21">
        <v>201601</v>
      </c>
      <c r="E21" s="1">
        <v>42369</v>
      </c>
      <c r="F21" s="1">
        <v>42403</v>
      </c>
      <c r="G21" t="s">
        <v>645</v>
      </c>
      <c r="H21" s="81">
        <v>1878</v>
      </c>
      <c r="I21" t="s">
        <v>6</v>
      </c>
      <c r="J21" s="3">
        <v>176.58</v>
      </c>
    </row>
    <row r="22" spans="1:10" x14ac:dyDescent="0.25">
      <c r="A22" t="s">
        <v>582</v>
      </c>
      <c r="B22" t="s">
        <v>5</v>
      </c>
      <c r="C22" s="82">
        <v>3922742501</v>
      </c>
      <c r="D22">
        <v>201602</v>
      </c>
      <c r="E22" s="1">
        <v>42403</v>
      </c>
      <c r="F22" s="1">
        <v>42430</v>
      </c>
      <c r="G22" t="s">
        <v>645</v>
      </c>
      <c r="H22" s="81">
        <v>1480</v>
      </c>
      <c r="I22" t="s">
        <v>6</v>
      </c>
      <c r="J22" s="3">
        <v>141.29</v>
      </c>
    </row>
    <row r="23" spans="1:10" x14ac:dyDescent="0.25">
      <c r="A23" t="s">
        <v>582</v>
      </c>
      <c r="B23" t="s">
        <v>5</v>
      </c>
      <c r="C23" s="82">
        <v>3922742501</v>
      </c>
      <c r="D23">
        <v>201603</v>
      </c>
      <c r="E23" s="1">
        <v>42430</v>
      </c>
      <c r="F23" s="1">
        <v>42461</v>
      </c>
      <c r="G23" t="s">
        <v>645</v>
      </c>
      <c r="H23" s="81">
        <v>1296</v>
      </c>
      <c r="I23" t="s">
        <v>6</v>
      </c>
      <c r="J23" s="3">
        <v>125</v>
      </c>
    </row>
    <row r="24" spans="1:10" x14ac:dyDescent="0.25">
      <c r="A24" t="s">
        <v>582</v>
      </c>
      <c r="B24" t="s">
        <v>5</v>
      </c>
      <c r="C24" s="82">
        <v>3922742501</v>
      </c>
      <c r="D24">
        <v>201604</v>
      </c>
      <c r="E24" s="1">
        <v>42461</v>
      </c>
      <c r="F24" s="1">
        <v>42493</v>
      </c>
      <c r="G24" t="s">
        <v>645</v>
      </c>
      <c r="H24" s="81">
        <v>1242</v>
      </c>
      <c r="I24" t="s">
        <v>6</v>
      </c>
      <c r="J24" s="3">
        <v>120.68</v>
      </c>
    </row>
    <row r="25" spans="1:10" x14ac:dyDescent="0.25">
      <c r="A25" t="s">
        <v>582</v>
      </c>
      <c r="B25" t="s">
        <v>5</v>
      </c>
      <c r="C25" s="82">
        <v>3922742501</v>
      </c>
      <c r="D25">
        <v>201605</v>
      </c>
      <c r="E25" s="1">
        <v>42493</v>
      </c>
      <c r="F25" s="1">
        <v>42521</v>
      </c>
      <c r="G25" t="s">
        <v>645</v>
      </c>
      <c r="H25" s="81">
        <v>1082</v>
      </c>
      <c r="I25" t="s">
        <v>6</v>
      </c>
      <c r="J25" s="3">
        <v>107.13</v>
      </c>
    </row>
    <row r="26" spans="1:10" x14ac:dyDescent="0.25">
      <c r="A26" t="s">
        <v>582</v>
      </c>
      <c r="B26" t="s">
        <v>5</v>
      </c>
      <c r="C26" s="82">
        <v>3922742501</v>
      </c>
      <c r="D26">
        <v>201606</v>
      </c>
      <c r="E26" s="1">
        <v>42521</v>
      </c>
      <c r="F26" s="1">
        <v>42549</v>
      </c>
      <c r="G26" t="s">
        <v>645</v>
      </c>
      <c r="H26" s="81">
        <v>998</v>
      </c>
      <c r="I26" t="s">
        <v>6</v>
      </c>
      <c r="J26" s="3">
        <v>99.6</v>
      </c>
    </row>
    <row r="27" spans="1:10" x14ac:dyDescent="0.25">
      <c r="A27" t="s">
        <v>691</v>
      </c>
      <c r="B27" t="s">
        <v>5</v>
      </c>
      <c r="C27" s="82" t="s">
        <v>692</v>
      </c>
      <c r="D27">
        <v>201507</v>
      </c>
      <c r="E27" s="1">
        <v>42185</v>
      </c>
      <c r="F27" s="1">
        <v>42216</v>
      </c>
      <c r="G27" t="s">
        <v>692</v>
      </c>
      <c r="H27" s="81">
        <v>287463</v>
      </c>
      <c r="I27" t="s">
        <v>6</v>
      </c>
      <c r="J27" s="3">
        <v>16862.02</v>
      </c>
    </row>
    <row r="28" spans="1:10" x14ac:dyDescent="0.25">
      <c r="A28" t="s">
        <v>691</v>
      </c>
      <c r="B28" t="s">
        <v>5</v>
      </c>
      <c r="C28" s="82" t="s">
        <v>692</v>
      </c>
      <c r="D28">
        <v>201508</v>
      </c>
      <c r="E28" s="1">
        <v>42216</v>
      </c>
      <c r="F28" s="1">
        <v>42243</v>
      </c>
      <c r="G28" t="s">
        <v>692</v>
      </c>
      <c r="H28" s="81">
        <v>244296</v>
      </c>
      <c r="I28" t="s">
        <v>6</v>
      </c>
      <c r="J28" s="3">
        <v>14813.9</v>
      </c>
    </row>
    <row r="29" spans="1:10" x14ac:dyDescent="0.25">
      <c r="A29" t="s">
        <v>691</v>
      </c>
      <c r="B29" t="s">
        <v>5</v>
      </c>
      <c r="C29" s="82" t="s">
        <v>692</v>
      </c>
      <c r="D29">
        <v>201509</v>
      </c>
      <c r="E29" s="1">
        <v>42243</v>
      </c>
      <c r="F29" s="1">
        <v>42276</v>
      </c>
      <c r="G29" t="s">
        <v>692</v>
      </c>
      <c r="H29" s="81">
        <v>327921</v>
      </c>
      <c r="I29" t="s">
        <v>6</v>
      </c>
      <c r="J29" s="3">
        <v>19184.96</v>
      </c>
    </row>
    <row r="30" spans="1:10" x14ac:dyDescent="0.25">
      <c r="A30" t="s">
        <v>691</v>
      </c>
      <c r="B30" t="s">
        <v>5</v>
      </c>
      <c r="C30" s="82" t="s">
        <v>692</v>
      </c>
      <c r="D30">
        <v>201510</v>
      </c>
      <c r="E30" s="1">
        <v>42276</v>
      </c>
      <c r="F30" s="1">
        <v>42305</v>
      </c>
      <c r="G30" t="s">
        <v>692</v>
      </c>
      <c r="H30" s="81">
        <v>203934</v>
      </c>
      <c r="I30" t="s">
        <v>6</v>
      </c>
      <c r="J30" s="3">
        <v>12194.21</v>
      </c>
    </row>
    <row r="31" spans="1:10" x14ac:dyDescent="0.25">
      <c r="A31" t="s">
        <v>691</v>
      </c>
      <c r="B31" t="s">
        <v>5</v>
      </c>
      <c r="C31" s="82" t="s">
        <v>692</v>
      </c>
      <c r="D31">
        <v>201511</v>
      </c>
      <c r="E31" s="1">
        <v>42305</v>
      </c>
      <c r="F31" s="1">
        <v>42339</v>
      </c>
      <c r="G31" t="s">
        <v>692</v>
      </c>
      <c r="H31" s="81">
        <v>381682</v>
      </c>
      <c r="I31" t="s">
        <v>6</v>
      </c>
      <c r="J31" s="3">
        <v>23086.06</v>
      </c>
    </row>
    <row r="32" spans="1:10" x14ac:dyDescent="0.25">
      <c r="A32" t="s">
        <v>691</v>
      </c>
      <c r="B32" t="s">
        <v>5</v>
      </c>
      <c r="C32" s="82" t="s">
        <v>692</v>
      </c>
      <c r="D32">
        <v>201512</v>
      </c>
      <c r="E32" s="1">
        <v>42339</v>
      </c>
      <c r="F32" s="1">
        <v>42369</v>
      </c>
      <c r="G32" t="s">
        <v>692</v>
      </c>
      <c r="H32" s="81">
        <v>319952</v>
      </c>
      <c r="I32" t="s">
        <v>6</v>
      </c>
      <c r="J32" s="3">
        <v>20212.099999999999</v>
      </c>
    </row>
    <row r="33" spans="1:10" x14ac:dyDescent="0.25">
      <c r="A33" t="s">
        <v>691</v>
      </c>
      <c r="B33" t="s">
        <v>5</v>
      </c>
      <c r="C33" s="82" t="s">
        <v>692</v>
      </c>
      <c r="D33">
        <v>201601</v>
      </c>
      <c r="E33" s="1">
        <v>42369</v>
      </c>
      <c r="F33" s="1">
        <v>42401</v>
      </c>
      <c r="G33" t="s">
        <v>692</v>
      </c>
      <c r="H33" s="81">
        <v>333768</v>
      </c>
      <c r="I33" t="s">
        <v>6</v>
      </c>
      <c r="J33" s="3">
        <v>20879.48</v>
      </c>
    </row>
    <row r="34" spans="1:10" x14ac:dyDescent="0.25">
      <c r="A34" t="s">
        <v>691</v>
      </c>
      <c r="B34" t="s">
        <v>5</v>
      </c>
      <c r="C34" s="82" t="s">
        <v>692</v>
      </c>
      <c r="D34">
        <v>201602</v>
      </c>
      <c r="E34" s="1">
        <v>42401</v>
      </c>
      <c r="F34" s="1">
        <v>42430</v>
      </c>
      <c r="G34" t="s">
        <v>692</v>
      </c>
      <c r="H34" s="81">
        <v>309132</v>
      </c>
      <c r="I34" t="s">
        <v>6</v>
      </c>
      <c r="J34" s="3">
        <v>18865.91</v>
      </c>
    </row>
    <row r="35" spans="1:10" x14ac:dyDescent="0.25">
      <c r="A35" t="s">
        <v>691</v>
      </c>
      <c r="B35" t="s">
        <v>5</v>
      </c>
      <c r="C35" s="82" t="s">
        <v>692</v>
      </c>
      <c r="D35">
        <v>201603</v>
      </c>
      <c r="E35" s="1">
        <v>42430</v>
      </c>
      <c r="F35" s="1">
        <v>42460</v>
      </c>
      <c r="G35" t="s">
        <v>692</v>
      </c>
      <c r="H35" s="81">
        <v>325652</v>
      </c>
      <c r="I35" t="s">
        <v>6</v>
      </c>
      <c r="J35" s="3">
        <v>20906.37</v>
      </c>
    </row>
    <row r="36" spans="1:10" x14ac:dyDescent="0.25">
      <c r="A36" t="s">
        <v>691</v>
      </c>
      <c r="B36" t="s">
        <v>5</v>
      </c>
      <c r="C36" s="82" t="s">
        <v>692</v>
      </c>
      <c r="D36">
        <v>201604</v>
      </c>
      <c r="E36" s="1">
        <v>42460</v>
      </c>
      <c r="F36" s="1">
        <v>42489</v>
      </c>
      <c r="G36" t="s">
        <v>692</v>
      </c>
      <c r="H36" s="81">
        <v>317583</v>
      </c>
      <c r="I36" t="s">
        <v>6</v>
      </c>
      <c r="J36" s="3">
        <v>19134.37</v>
      </c>
    </row>
    <row r="37" spans="1:10" x14ac:dyDescent="0.25">
      <c r="A37" t="s">
        <v>691</v>
      </c>
      <c r="B37" t="s">
        <v>5</v>
      </c>
      <c r="C37" s="82" t="s">
        <v>692</v>
      </c>
      <c r="D37">
        <v>201605</v>
      </c>
      <c r="E37" s="1">
        <v>42489</v>
      </c>
      <c r="F37" s="1">
        <v>42521</v>
      </c>
      <c r="G37" t="s">
        <v>692</v>
      </c>
      <c r="H37" s="81">
        <v>353127</v>
      </c>
      <c r="I37" t="s">
        <v>6</v>
      </c>
      <c r="J37" s="3">
        <v>21964.17</v>
      </c>
    </row>
    <row r="38" spans="1:10" x14ac:dyDescent="0.25">
      <c r="A38" t="s">
        <v>691</v>
      </c>
      <c r="B38" t="s">
        <v>5</v>
      </c>
      <c r="C38" s="82" t="s">
        <v>692</v>
      </c>
      <c r="D38">
        <v>201606</v>
      </c>
      <c r="E38" s="1">
        <v>42521</v>
      </c>
      <c r="F38" s="1">
        <v>42550</v>
      </c>
      <c r="G38" t="s">
        <v>692</v>
      </c>
      <c r="H38" s="81">
        <v>10520</v>
      </c>
      <c r="I38" t="s">
        <v>6</v>
      </c>
      <c r="J38" s="3">
        <v>631.54</v>
      </c>
    </row>
    <row r="39" spans="1:10" x14ac:dyDescent="0.25">
      <c r="A39" t="s">
        <v>542</v>
      </c>
      <c r="B39" t="s">
        <v>5</v>
      </c>
      <c r="C39" s="82" t="s">
        <v>543</v>
      </c>
      <c r="D39">
        <v>201507</v>
      </c>
      <c r="E39" s="1">
        <v>42185</v>
      </c>
      <c r="F39" s="1">
        <v>42216</v>
      </c>
      <c r="G39" t="s">
        <v>543</v>
      </c>
      <c r="H39" s="81">
        <v>69255</v>
      </c>
      <c r="I39" t="s">
        <v>6</v>
      </c>
      <c r="J39" s="3">
        <v>4062.36</v>
      </c>
    </row>
    <row r="40" spans="1:10" x14ac:dyDescent="0.25">
      <c r="A40" t="s">
        <v>542</v>
      </c>
      <c r="B40" t="s">
        <v>5</v>
      </c>
      <c r="C40" s="82" t="s">
        <v>543</v>
      </c>
      <c r="D40">
        <v>201508</v>
      </c>
      <c r="E40" s="1">
        <v>42216</v>
      </c>
      <c r="F40" s="1">
        <v>42243</v>
      </c>
      <c r="G40" t="s">
        <v>543</v>
      </c>
      <c r="H40" s="81">
        <v>56297</v>
      </c>
      <c r="I40" t="s">
        <v>6</v>
      </c>
      <c r="J40" s="3">
        <v>3413.8</v>
      </c>
    </row>
    <row r="41" spans="1:10" x14ac:dyDescent="0.25">
      <c r="A41" t="s">
        <v>542</v>
      </c>
      <c r="B41" t="s">
        <v>5</v>
      </c>
      <c r="C41" s="82" t="s">
        <v>543</v>
      </c>
      <c r="D41">
        <v>201509</v>
      </c>
      <c r="E41" s="1">
        <v>42243</v>
      </c>
      <c r="F41" s="1">
        <v>42276</v>
      </c>
      <c r="G41" t="s">
        <v>543</v>
      </c>
      <c r="H41" s="81">
        <v>77625</v>
      </c>
      <c r="I41" t="s">
        <v>6</v>
      </c>
      <c r="J41" s="3">
        <v>4541.4399999999996</v>
      </c>
    </row>
    <row r="42" spans="1:10" x14ac:dyDescent="0.25">
      <c r="A42" t="s">
        <v>542</v>
      </c>
      <c r="B42" t="s">
        <v>5</v>
      </c>
      <c r="C42" s="82" t="s">
        <v>543</v>
      </c>
      <c r="D42">
        <v>201510</v>
      </c>
      <c r="E42" s="1">
        <v>42276</v>
      </c>
      <c r="F42" s="1">
        <v>42305</v>
      </c>
      <c r="G42" t="s">
        <v>543</v>
      </c>
      <c r="H42" s="81">
        <v>48723</v>
      </c>
      <c r="I42" t="s">
        <v>6</v>
      </c>
      <c r="J42" s="3">
        <v>2913.39</v>
      </c>
    </row>
    <row r="43" spans="1:10" x14ac:dyDescent="0.25">
      <c r="A43" t="s">
        <v>542</v>
      </c>
      <c r="B43" t="s">
        <v>5</v>
      </c>
      <c r="C43" s="82" t="s">
        <v>543</v>
      </c>
      <c r="D43">
        <v>201511</v>
      </c>
      <c r="E43" s="1">
        <v>42305</v>
      </c>
      <c r="F43" s="1">
        <v>42339</v>
      </c>
      <c r="G43" t="s">
        <v>543</v>
      </c>
      <c r="H43" s="81">
        <v>93356</v>
      </c>
      <c r="I43" t="s">
        <v>6</v>
      </c>
      <c r="J43" s="3">
        <v>5646.64</v>
      </c>
    </row>
    <row r="44" spans="1:10" x14ac:dyDescent="0.25">
      <c r="A44" t="s">
        <v>542</v>
      </c>
      <c r="B44" t="s">
        <v>5</v>
      </c>
      <c r="C44" s="82" t="s">
        <v>543</v>
      </c>
      <c r="D44">
        <v>201512</v>
      </c>
      <c r="E44" s="1">
        <v>42339</v>
      </c>
      <c r="F44" s="1">
        <v>42369</v>
      </c>
      <c r="G44" t="s">
        <v>543</v>
      </c>
      <c r="H44" s="81">
        <v>58742</v>
      </c>
      <c r="I44" t="s">
        <v>6</v>
      </c>
      <c r="J44" s="3">
        <v>3710.87</v>
      </c>
    </row>
    <row r="45" spans="1:10" x14ac:dyDescent="0.25">
      <c r="A45" t="s">
        <v>542</v>
      </c>
      <c r="B45" t="s">
        <v>5</v>
      </c>
      <c r="C45" s="82" t="s">
        <v>543</v>
      </c>
      <c r="D45">
        <v>201601</v>
      </c>
      <c r="E45" s="1">
        <v>42369</v>
      </c>
      <c r="F45" s="1">
        <v>42401</v>
      </c>
      <c r="G45" t="s">
        <v>543</v>
      </c>
      <c r="H45" s="81">
        <v>73798</v>
      </c>
      <c r="I45" t="s">
        <v>6</v>
      </c>
      <c r="J45" s="3">
        <v>4616.57</v>
      </c>
    </row>
    <row r="46" spans="1:10" x14ac:dyDescent="0.25">
      <c r="A46" t="s">
        <v>542</v>
      </c>
      <c r="B46" t="s">
        <v>5</v>
      </c>
      <c r="C46" s="82" t="s">
        <v>543</v>
      </c>
      <c r="D46">
        <v>201602</v>
      </c>
      <c r="E46" s="1">
        <v>42401</v>
      </c>
      <c r="F46" s="1">
        <v>42430</v>
      </c>
      <c r="G46" t="s">
        <v>543</v>
      </c>
      <c r="H46" s="81">
        <v>73722</v>
      </c>
      <c r="I46" t="s">
        <v>6</v>
      </c>
      <c r="J46" s="3">
        <v>4499.1499999999996</v>
      </c>
    </row>
    <row r="47" spans="1:10" x14ac:dyDescent="0.25">
      <c r="A47" t="s">
        <v>542</v>
      </c>
      <c r="B47" t="s">
        <v>5</v>
      </c>
      <c r="C47" s="82" t="s">
        <v>543</v>
      </c>
      <c r="D47">
        <v>201603</v>
      </c>
      <c r="E47" s="1">
        <v>42430</v>
      </c>
      <c r="F47" s="1">
        <v>42460</v>
      </c>
      <c r="G47" t="s">
        <v>543</v>
      </c>
      <c r="H47" s="81">
        <v>71691</v>
      </c>
      <c r="I47" t="s">
        <v>6</v>
      </c>
      <c r="J47" s="3">
        <v>4602.46</v>
      </c>
    </row>
    <row r="48" spans="1:10" x14ac:dyDescent="0.25">
      <c r="A48" t="s">
        <v>542</v>
      </c>
      <c r="B48" t="s">
        <v>5</v>
      </c>
      <c r="C48" s="82" t="s">
        <v>543</v>
      </c>
      <c r="D48">
        <v>201604</v>
      </c>
      <c r="E48" s="1">
        <v>42460</v>
      </c>
      <c r="F48" s="1">
        <v>42489</v>
      </c>
      <c r="G48" t="s">
        <v>543</v>
      </c>
      <c r="H48" s="81">
        <v>85150</v>
      </c>
      <c r="I48" t="s">
        <v>6</v>
      </c>
      <c r="J48" s="3">
        <v>5130.29</v>
      </c>
    </row>
    <row r="49" spans="1:10" x14ac:dyDescent="0.25">
      <c r="A49" t="s">
        <v>542</v>
      </c>
      <c r="B49" t="s">
        <v>5</v>
      </c>
      <c r="C49" s="82" t="s">
        <v>543</v>
      </c>
      <c r="D49">
        <v>201605</v>
      </c>
      <c r="E49" s="1">
        <v>42489</v>
      </c>
      <c r="F49" s="1">
        <v>42521</v>
      </c>
      <c r="G49" t="s">
        <v>543</v>
      </c>
      <c r="H49" s="81">
        <v>65529</v>
      </c>
      <c r="I49" t="s">
        <v>6</v>
      </c>
      <c r="J49" s="3">
        <v>4075.84</v>
      </c>
    </row>
    <row r="50" spans="1:10" x14ac:dyDescent="0.25">
      <c r="A50" t="s">
        <v>542</v>
      </c>
      <c r="B50" t="s">
        <v>5</v>
      </c>
      <c r="C50" s="82" t="s">
        <v>543</v>
      </c>
      <c r="D50">
        <v>201606</v>
      </c>
      <c r="E50" s="1">
        <v>42521</v>
      </c>
      <c r="F50" s="1">
        <v>42550</v>
      </c>
      <c r="G50" t="s">
        <v>543</v>
      </c>
      <c r="H50" s="81">
        <v>56212</v>
      </c>
      <c r="I50" t="s">
        <v>6</v>
      </c>
      <c r="J50" s="3">
        <v>3374.52</v>
      </c>
    </row>
    <row r="51" spans="1:10" x14ac:dyDescent="0.25">
      <c r="A51" t="s">
        <v>579</v>
      </c>
      <c r="B51" t="s">
        <v>5</v>
      </c>
      <c r="C51" s="82">
        <v>4032292502</v>
      </c>
      <c r="D51">
        <v>201507</v>
      </c>
      <c r="E51" s="1">
        <v>42186</v>
      </c>
      <c r="F51" s="1">
        <v>42219</v>
      </c>
      <c r="G51" t="s">
        <v>644</v>
      </c>
      <c r="H51" s="81">
        <v>3715</v>
      </c>
      <c r="I51" t="s">
        <v>6</v>
      </c>
      <c r="J51" s="3">
        <v>340.78</v>
      </c>
    </row>
    <row r="52" spans="1:10" x14ac:dyDescent="0.25">
      <c r="A52" t="s">
        <v>579</v>
      </c>
      <c r="B52" t="s">
        <v>5</v>
      </c>
      <c r="C52" s="82">
        <v>4032292502</v>
      </c>
      <c r="D52">
        <v>201508</v>
      </c>
      <c r="E52" s="1">
        <v>42219</v>
      </c>
      <c r="F52" s="1">
        <v>42243</v>
      </c>
      <c r="G52" t="s">
        <v>644</v>
      </c>
      <c r="H52" s="81">
        <v>2340</v>
      </c>
      <c r="I52" t="s">
        <v>6</v>
      </c>
      <c r="J52" s="3">
        <v>217.8</v>
      </c>
    </row>
    <row r="53" spans="1:10" x14ac:dyDescent="0.25">
      <c r="A53" t="s">
        <v>579</v>
      </c>
      <c r="B53" t="s">
        <v>5</v>
      </c>
      <c r="C53" s="82">
        <v>4032292502</v>
      </c>
      <c r="D53">
        <v>201509</v>
      </c>
      <c r="E53" s="1">
        <v>42243</v>
      </c>
      <c r="F53" s="1">
        <v>42276</v>
      </c>
      <c r="G53" t="s">
        <v>644</v>
      </c>
      <c r="H53" s="81">
        <v>1925</v>
      </c>
      <c r="I53" t="s">
        <v>6</v>
      </c>
      <c r="J53" s="3">
        <v>181.21</v>
      </c>
    </row>
    <row r="54" spans="1:10" x14ac:dyDescent="0.25">
      <c r="A54" t="s">
        <v>579</v>
      </c>
      <c r="B54" t="s">
        <v>5</v>
      </c>
      <c r="C54" s="82">
        <v>4032292502</v>
      </c>
      <c r="D54">
        <v>201510</v>
      </c>
      <c r="E54" s="1">
        <v>42276</v>
      </c>
      <c r="F54" s="1">
        <v>42306</v>
      </c>
      <c r="G54" t="s">
        <v>644</v>
      </c>
      <c r="H54" s="81">
        <v>1580</v>
      </c>
      <c r="I54" t="s">
        <v>6</v>
      </c>
      <c r="J54" s="3">
        <v>150.36000000000001</v>
      </c>
    </row>
    <row r="55" spans="1:10" x14ac:dyDescent="0.25">
      <c r="A55" t="s">
        <v>579</v>
      </c>
      <c r="B55" t="s">
        <v>5</v>
      </c>
      <c r="C55" s="82">
        <v>4032292502</v>
      </c>
      <c r="D55">
        <v>201511</v>
      </c>
      <c r="E55" s="1">
        <v>42306</v>
      </c>
      <c r="F55" s="1">
        <v>42339</v>
      </c>
      <c r="G55" t="s">
        <v>644</v>
      </c>
      <c r="H55" s="81">
        <v>2785</v>
      </c>
      <c r="I55" t="s">
        <v>6</v>
      </c>
      <c r="J55" s="3">
        <v>257.33</v>
      </c>
    </row>
    <row r="56" spans="1:10" x14ac:dyDescent="0.25">
      <c r="A56" t="s">
        <v>579</v>
      </c>
      <c r="B56" t="s">
        <v>5</v>
      </c>
      <c r="C56" s="82">
        <v>4032292502</v>
      </c>
      <c r="D56">
        <v>201512</v>
      </c>
      <c r="E56" s="1">
        <v>42339</v>
      </c>
      <c r="F56" s="1">
        <v>42369</v>
      </c>
      <c r="G56" t="s">
        <v>644</v>
      </c>
      <c r="H56" s="81">
        <v>3077</v>
      </c>
      <c r="I56" t="s">
        <v>6</v>
      </c>
      <c r="J56" s="3">
        <v>283.25</v>
      </c>
    </row>
    <row r="57" spans="1:10" x14ac:dyDescent="0.25">
      <c r="A57" t="s">
        <v>579</v>
      </c>
      <c r="B57" t="s">
        <v>5</v>
      </c>
      <c r="C57" s="82">
        <v>4032292502</v>
      </c>
      <c r="D57">
        <v>201601</v>
      </c>
      <c r="E57" s="1">
        <v>42369</v>
      </c>
      <c r="F57" s="1">
        <v>42401</v>
      </c>
      <c r="G57" t="s">
        <v>644</v>
      </c>
      <c r="H57" s="81">
        <v>9229</v>
      </c>
      <c r="I57" t="s">
        <v>6</v>
      </c>
      <c r="J57" s="3">
        <v>786.58</v>
      </c>
    </row>
    <row r="58" spans="1:10" x14ac:dyDescent="0.25">
      <c r="A58" t="s">
        <v>579</v>
      </c>
      <c r="B58" t="s">
        <v>5</v>
      </c>
      <c r="C58" s="82">
        <v>4032292502</v>
      </c>
      <c r="D58">
        <v>201602</v>
      </c>
      <c r="E58" s="1">
        <v>42401</v>
      </c>
      <c r="F58" s="1">
        <v>42430</v>
      </c>
      <c r="G58" t="s">
        <v>644</v>
      </c>
      <c r="H58" s="81">
        <v>6865</v>
      </c>
      <c r="I58" t="s">
        <v>6</v>
      </c>
      <c r="J58" s="3">
        <v>572.46</v>
      </c>
    </row>
    <row r="59" spans="1:10" x14ac:dyDescent="0.25">
      <c r="A59" t="s">
        <v>579</v>
      </c>
      <c r="B59" t="s">
        <v>5</v>
      </c>
      <c r="C59" s="82">
        <v>4032292502</v>
      </c>
      <c r="D59">
        <v>201603</v>
      </c>
      <c r="E59" s="1">
        <v>42430</v>
      </c>
      <c r="F59" s="1">
        <v>42464</v>
      </c>
      <c r="G59" t="s">
        <v>644</v>
      </c>
      <c r="H59" s="81">
        <v>3015</v>
      </c>
      <c r="I59" t="s">
        <v>6</v>
      </c>
      <c r="J59" s="3">
        <v>277.45</v>
      </c>
    </row>
    <row r="60" spans="1:10" x14ac:dyDescent="0.25">
      <c r="A60" t="s">
        <v>579</v>
      </c>
      <c r="B60" t="s">
        <v>5</v>
      </c>
      <c r="C60" s="82">
        <v>4032292502</v>
      </c>
      <c r="D60">
        <v>201604</v>
      </c>
      <c r="E60" s="1">
        <v>42464</v>
      </c>
      <c r="F60" s="1">
        <v>42489</v>
      </c>
      <c r="G60" t="s">
        <v>644</v>
      </c>
      <c r="H60" s="81">
        <v>1276</v>
      </c>
      <c r="I60" t="s">
        <v>6</v>
      </c>
      <c r="J60" s="3">
        <v>121.96</v>
      </c>
    </row>
    <row r="61" spans="1:10" x14ac:dyDescent="0.25">
      <c r="A61" t="s">
        <v>579</v>
      </c>
      <c r="B61" t="s">
        <v>5</v>
      </c>
      <c r="C61" s="82">
        <v>4032292502</v>
      </c>
      <c r="D61">
        <v>201605</v>
      </c>
      <c r="E61" s="1">
        <v>42489</v>
      </c>
      <c r="F61" s="1">
        <v>42521</v>
      </c>
      <c r="G61" t="s">
        <v>644</v>
      </c>
      <c r="H61" s="81">
        <v>2301</v>
      </c>
      <c r="I61" t="s">
        <v>6</v>
      </c>
      <c r="J61" s="3">
        <v>216.37</v>
      </c>
    </row>
    <row r="62" spans="1:10" x14ac:dyDescent="0.25">
      <c r="A62" t="s">
        <v>579</v>
      </c>
      <c r="B62" t="s">
        <v>5</v>
      </c>
      <c r="C62" s="82">
        <v>4032292502</v>
      </c>
      <c r="D62">
        <v>201606</v>
      </c>
      <c r="E62" s="1">
        <v>42521</v>
      </c>
      <c r="F62" s="1">
        <v>42551</v>
      </c>
      <c r="G62" t="s">
        <v>644</v>
      </c>
      <c r="H62" s="81">
        <v>3631</v>
      </c>
      <c r="I62" t="s">
        <v>6</v>
      </c>
      <c r="J62" s="3">
        <v>331.11</v>
      </c>
    </row>
    <row r="63" spans="1:10" x14ac:dyDescent="0.25">
      <c r="A63" t="s">
        <v>652</v>
      </c>
      <c r="B63" t="s">
        <v>5</v>
      </c>
      <c r="C63" s="82" t="s">
        <v>653</v>
      </c>
      <c r="D63">
        <v>201507</v>
      </c>
      <c r="E63" s="1">
        <v>42185</v>
      </c>
      <c r="F63" s="1">
        <v>42216</v>
      </c>
      <c r="G63" t="s">
        <v>653</v>
      </c>
      <c r="H63" s="81">
        <v>4282</v>
      </c>
      <c r="I63" t="s">
        <v>6</v>
      </c>
      <c r="J63" s="3">
        <v>251.17</v>
      </c>
    </row>
    <row r="64" spans="1:10" x14ac:dyDescent="0.25">
      <c r="A64" t="s">
        <v>652</v>
      </c>
      <c r="B64" t="s">
        <v>5</v>
      </c>
      <c r="C64" s="82" t="s">
        <v>653</v>
      </c>
      <c r="D64">
        <v>201508</v>
      </c>
      <c r="E64" s="1">
        <v>42216</v>
      </c>
      <c r="F64" s="1">
        <v>42243</v>
      </c>
      <c r="G64" t="s">
        <v>653</v>
      </c>
      <c r="H64" s="81">
        <v>4340</v>
      </c>
      <c r="I64" t="s">
        <v>6</v>
      </c>
      <c r="J64" s="3">
        <v>263.17</v>
      </c>
    </row>
    <row r="65" spans="1:10" x14ac:dyDescent="0.25">
      <c r="A65" t="s">
        <v>652</v>
      </c>
      <c r="B65" t="s">
        <v>5</v>
      </c>
      <c r="C65" s="82" t="s">
        <v>653</v>
      </c>
      <c r="D65">
        <v>201509</v>
      </c>
      <c r="E65" s="1">
        <v>42243</v>
      </c>
      <c r="F65" s="1">
        <v>42276</v>
      </c>
      <c r="G65" t="s">
        <v>653</v>
      </c>
      <c r="H65" s="81">
        <v>5338</v>
      </c>
      <c r="I65" t="s">
        <v>6</v>
      </c>
      <c r="J65" s="3">
        <v>312.3</v>
      </c>
    </row>
    <row r="66" spans="1:10" x14ac:dyDescent="0.25">
      <c r="A66" t="s">
        <v>652</v>
      </c>
      <c r="B66" t="s">
        <v>5</v>
      </c>
      <c r="C66" s="82" t="s">
        <v>653</v>
      </c>
      <c r="D66">
        <v>201510</v>
      </c>
      <c r="E66" s="1">
        <v>42276</v>
      </c>
      <c r="F66" s="1">
        <v>42305</v>
      </c>
      <c r="G66" t="s">
        <v>653</v>
      </c>
      <c r="H66" s="81">
        <v>4155</v>
      </c>
      <c r="I66" t="s">
        <v>6</v>
      </c>
      <c r="J66" s="3">
        <v>248.45</v>
      </c>
    </row>
    <row r="67" spans="1:10" x14ac:dyDescent="0.25">
      <c r="A67" t="s">
        <v>652</v>
      </c>
      <c r="B67" t="s">
        <v>5</v>
      </c>
      <c r="C67" s="82" t="s">
        <v>653</v>
      </c>
      <c r="D67">
        <v>201511</v>
      </c>
      <c r="E67" s="1">
        <v>42305</v>
      </c>
      <c r="F67" s="1">
        <v>42339</v>
      </c>
      <c r="G67" t="s">
        <v>653</v>
      </c>
      <c r="H67" s="81">
        <v>8594</v>
      </c>
      <c r="I67" t="s">
        <v>6</v>
      </c>
      <c r="J67" s="3">
        <v>519.80999999999995</v>
      </c>
    </row>
    <row r="68" spans="1:10" x14ac:dyDescent="0.25">
      <c r="A68" t="s">
        <v>652</v>
      </c>
      <c r="B68" t="s">
        <v>5</v>
      </c>
      <c r="C68" s="82" t="s">
        <v>653</v>
      </c>
      <c r="D68">
        <v>201512</v>
      </c>
      <c r="E68" s="1">
        <v>42339</v>
      </c>
      <c r="F68" s="1">
        <v>42369</v>
      </c>
      <c r="G68" t="s">
        <v>653</v>
      </c>
      <c r="H68" s="81">
        <v>3867</v>
      </c>
      <c r="I68" t="s">
        <v>6</v>
      </c>
      <c r="J68" s="3">
        <v>244.29</v>
      </c>
    </row>
    <row r="69" spans="1:10" x14ac:dyDescent="0.25">
      <c r="A69" t="s">
        <v>652</v>
      </c>
      <c r="B69" t="s">
        <v>5</v>
      </c>
      <c r="C69" s="82" t="s">
        <v>653</v>
      </c>
      <c r="D69">
        <v>201601</v>
      </c>
      <c r="E69" s="1">
        <v>42369</v>
      </c>
      <c r="F69" s="1">
        <v>42401</v>
      </c>
      <c r="G69" t="s">
        <v>653</v>
      </c>
      <c r="H69" s="81">
        <v>5876</v>
      </c>
      <c r="I69" t="s">
        <v>6</v>
      </c>
      <c r="J69" s="3">
        <v>367.58</v>
      </c>
    </row>
    <row r="70" spans="1:10" x14ac:dyDescent="0.25">
      <c r="A70" t="s">
        <v>652</v>
      </c>
      <c r="B70" t="s">
        <v>5</v>
      </c>
      <c r="C70" s="82" t="s">
        <v>653</v>
      </c>
      <c r="D70">
        <v>201602</v>
      </c>
      <c r="E70" s="1">
        <v>42401</v>
      </c>
      <c r="F70" s="1">
        <v>42430</v>
      </c>
      <c r="G70" t="s">
        <v>653</v>
      </c>
      <c r="H70" s="81">
        <v>7050</v>
      </c>
      <c r="I70" t="s">
        <v>6</v>
      </c>
      <c r="J70" s="3">
        <v>430.25</v>
      </c>
    </row>
    <row r="71" spans="1:10" x14ac:dyDescent="0.25">
      <c r="A71" t="s">
        <v>652</v>
      </c>
      <c r="B71" t="s">
        <v>5</v>
      </c>
      <c r="C71" s="82" t="s">
        <v>653</v>
      </c>
      <c r="D71">
        <v>201603</v>
      </c>
      <c r="E71" s="1">
        <v>42430</v>
      </c>
      <c r="F71" s="1">
        <v>42460</v>
      </c>
      <c r="G71" t="s">
        <v>653</v>
      </c>
      <c r="H71" s="81">
        <v>3832</v>
      </c>
      <c r="I71" t="s">
        <v>6</v>
      </c>
      <c r="J71" s="3">
        <v>246.01</v>
      </c>
    </row>
    <row r="72" spans="1:10" x14ac:dyDescent="0.25">
      <c r="A72" t="s">
        <v>652</v>
      </c>
      <c r="B72" t="s">
        <v>5</v>
      </c>
      <c r="C72" s="82" t="s">
        <v>653</v>
      </c>
      <c r="D72">
        <v>201604</v>
      </c>
      <c r="E72" s="1">
        <v>42460</v>
      </c>
      <c r="F72" s="1">
        <v>42489</v>
      </c>
      <c r="G72" t="s">
        <v>653</v>
      </c>
      <c r="H72" s="81">
        <v>4386</v>
      </c>
      <c r="I72" t="s">
        <v>6</v>
      </c>
      <c r="J72" s="3">
        <v>264.26</v>
      </c>
    </row>
    <row r="73" spans="1:10" x14ac:dyDescent="0.25">
      <c r="A73" t="s">
        <v>652</v>
      </c>
      <c r="B73" t="s">
        <v>5</v>
      </c>
      <c r="C73" s="82" t="s">
        <v>653</v>
      </c>
      <c r="D73">
        <v>201605</v>
      </c>
      <c r="E73" s="1">
        <v>42489</v>
      </c>
      <c r="F73" s="1">
        <v>42521</v>
      </c>
      <c r="G73" t="s">
        <v>653</v>
      </c>
      <c r="H73" s="81">
        <v>5207</v>
      </c>
      <c r="I73" t="s">
        <v>6</v>
      </c>
      <c r="J73" s="3">
        <v>323.87</v>
      </c>
    </row>
    <row r="74" spans="1:10" x14ac:dyDescent="0.25">
      <c r="A74" t="s">
        <v>652</v>
      </c>
      <c r="B74" t="s">
        <v>5</v>
      </c>
      <c r="C74" s="82" t="s">
        <v>653</v>
      </c>
      <c r="D74">
        <v>201606</v>
      </c>
      <c r="E74" s="1">
        <v>42521</v>
      </c>
      <c r="F74" s="1">
        <v>42550</v>
      </c>
      <c r="G74" t="s">
        <v>653</v>
      </c>
      <c r="H74" s="81">
        <v>4171</v>
      </c>
      <c r="I74" t="s">
        <v>6</v>
      </c>
      <c r="J74" s="3">
        <v>250.39</v>
      </c>
    </row>
    <row r="75" spans="1:10" x14ac:dyDescent="0.25">
      <c r="A75" t="s">
        <v>686</v>
      </c>
      <c r="B75" t="s">
        <v>5</v>
      </c>
      <c r="C75" s="82" t="s">
        <v>687</v>
      </c>
      <c r="D75">
        <v>201507</v>
      </c>
      <c r="E75" s="1">
        <v>42185</v>
      </c>
      <c r="F75" s="1">
        <v>42216</v>
      </c>
      <c r="G75" t="s">
        <v>687</v>
      </c>
      <c r="H75" s="81">
        <v>12862</v>
      </c>
      <c r="I75" t="s">
        <v>6</v>
      </c>
      <c r="J75" s="3">
        <v>754.46</v>
      </c>
    </row>
    <row r="76" spans="1:10" x14ac:dyDescent="0.25">
      <c r="A76" t="s">
        <v>686</v>
      </c>
      <c r="B76" t="s">
        <v>5</v>
      </c>
      <c r="C76" s="82" t="s">
        <v>687</v>
      </c>
      <c r="D76">
        <v>201508</v>
      </c>
      <c r="E76" s="1">
        <v>42216</v>
      </c>
      <c r="F76" s="1">
        <v>42243</v>
      </c>
      <c r="G76" t="s">
        <v>687</v>
      </c>
      <c r="H76" s="81">
        <v>6382</v>
      </c>
      <c r="I76" t="s">
        <v>6</v>
      </c>
      <c r="J76" s="3">
        <v>387</v>
      </c>
    </row>
    <row r="77" spans="1:10" x14ac:dyDescent="0.25">
      <c r="A77" t="s">
        <v>686</v>
      </c>
      <c r="B77" t="s">
        <v>5</v>
      </c>
      <c r="C77" s="82" t="s">
        <v>687</v>
      </c>
      <c r="D77">
        <v>201509</v>
      </c>
      <c r="E77" s="1">
        <v>42243</v>
      </c>
      <c r="F77" s="1">
        <v>42276</v>
      </c>
      <c r="G77" t="s">
        <v>687</v>
      </c>
      <c r="H77" s="81">
        <v>12958</v>
      </c>
      <c r="I77" t="s">
        <v>6</v>
      </c>
      <c r="J77" s="3">
        <v>758.11</v>
      </c>
    </row>
    <row r="78" spans="1:10" x14ac:dyDescent="0.25">
      <c r="A78" t="s">
        <v>686</v>
      </c>
      <c r="B78" t="s">
        <v>5</v>
      </c>
      <c r="C78" s="82" t="s">
        <v>687</v>
      </c>
      <c r="D78">
        <v>201510</v>
      </c>
      <c r="E78" s="1">
        <v>42276</v>
      </c>
      <c r="F78" s="1">
        <v>42305</v>
      </c>
      <c r="G78" t="s">
        <v>687</v>
      </c>
      <c r="H78" s="81">
        <v>6832</v>
      </c>
      <c r="I78" t="s">
        <v>6</v>
      </c>
      <c r="J78" s="3">
        <v>408.52</v>
      </c>
    </row>
    <row r="79" spans="1:10" x14ac:dyDescent="0.25">
      <c r="A79" t="s">
        <v>686</v>
      </c>
      <c r="B79" t="s">
        <v>5</v>
      </c>
      <c r="C79" s="82" t="s">
        <v>687</v>
      </c>
      <c r="D79">
        <v>201511</v>
      </c>
      <c r="E79" s="1">
        <v>42305</v>
      </c>
      <c r="F79" s="1">
        <v>42339</v>
      </c>
      <c r="G79" t="s">
        <v>687</v>
      </c>
      <c r="H79" s="81">
        <v>10406</v>
      </c>
      <c r="I79" t="s">
        <v>6</v>
      </c>
      <c r="J79" s="3">
        <v>629.41</v>
      </c>
    </row>
    <row r="80" spans="1:10" x14ac:dyDescent="0.25">
      <c r="A80" t="s">
        <v>686</v>
      </c>
      <c r="B80" t="s">
        <v>5</v>
      </c>
      <c r="C80" s="82" t="s">
        <v>687</v>
      </c>
      <c r="D80">
        <v>201512</v>
      </c>
      <c r="E80" s="1">
        <v>42339</v>
      </c>
      <c r="F80" s="1">
        <v>42369</v>
      </c>
      <c r="G80" t="s">
        <v>687</v>
      </c>
      <c r="H80" s="81">
        <v>8725</v>
      </c>
      <c r="I80" t="s">
        <v>6</v>
      </c>
      <c r="J80" s="3">
        <v>551.17999999999995</v>
      </c>
    </row>
    <row r="81" spans="1:10" x14ac:dyDescent="0.25">
      <c r="A81" t="s">
        <v>686</v>
      </c>
      <c r="B81" t="s">
        <v>5</v>
      </c>
      <c r="C81" s="82" t="s">
        <v>687</v>
      </c>
      <c r="D81">
        <v>201601</v>
      </c>
      <c r="E81" s="1">
        <v>42369</v>
      </c>
      <c r="F81" s="1">
        <v>42401</v>
      </c>
      <c r="G81" t="s">
        <v>687</v>
      </c>
      <c r="H81" s="81">
        <v>12271</v>
      </c>
      <c r="I81" t="s">
        <v>6</v>
      </c>
      <c r="J81" s="3">
        <v>767.64</v>
      </c>
    </row>
    <row r="82" spans="1:10" x14ac:dyDescent="0.25">
      <c r="A82" t="s">
        <v>686</v>
      </c>
      <c r="B82" t="s">
        <v>5</v>
      </c>
      <c r="C82" s="82" t="s">
        <v>687</v>
      </c>
      <c r="D82">
        <v>201602</v>
      </c>
      <c r="E82" s="1">
        <v>42401</v>
      </c>
      <c r="F82" s="1">
        <v>42430</v>
      </c>
      <c r="G82" t="s">
        <v>687</v>
      </c>
      <c r="H82" s="81">
        <v>11826</v>
      </c>
      <c r="I82" t="s">
        <v>6</v>
      </c>
      <c r="J82" s="3">
        <v>721.72</v>
      </c>
    </row>
    <row r="83" spans="1:10" x14ac:dyDescent="0.25">
      <c r="A83" t="s">
        <v>686</v>
      </c>
      <c r="B83" t="s">
        <v>5</v>
      </c>
      <c r="C83" s="82" t="s">
        <v>687</v>
      </c>
      <c r="D83">
        <v>201603</v>
      </c>
      <c r="E83" s="1">
        <v>42430</v>
      </c>
      <c r="F83" s="1">
        <v>42460</v>
      </c>
      <c r="G83" t="s">
        <v>687</v>
      </c>
      <c r="H83" s="81">
        <v>8909</v>
      </c>
      <c r="I83" t="s">
        <v>6</v>
      </c>
      <c r="J83" s="3">
        <v>571.94000000000005</v>
      </c>
    </row>
    <row r="84" spans="1:10" x14ac:dyDescent="0.25">
      <c r="A84" t="s">
        <v>686</v>
      </c>
      <c r="B84" t="s">
        <v>5</v>
      </c>
      <c r="C84" s="82" t="s">
        <v>687</v>
      </c>
      <c r="D84">
        <v>201604</v>
      </c>
      <c r="E84" s="1">
        <v>42460</v>
      </c>
      <c r="F84" s="1">
        <v>42489</v>
      </c>
      <c r="G84" t="s">
        <v>687</v>
      </c>
      <c r="H84" s="81">
        <v>8346</v>
      </c>
      <c r="I84" t="s">
        <v>6</v>
      </c>
      <c r="J84" s="3">
        <v>502.85</v>
      </c>
    </row>
    <row r="85" spans="1:10" x14ac:dyDescent="0.25">
      <c r="A85" t="s">
        <v>686</v>
      </c>
      <c r="B85" t="s">
        <v>5</v>
      </c>
      <c r="C85" s="82" t="s">
        <v>687</v>
      </c>
      <c r="D85">
        <v>201605</v>
      </c>
      <c r="E85" s="1">
        <v>42489</v>
      </c>
      <c r="F85" s="1">
        <v>42521</v>
      </c>
      <c r="G85" t="s">
        <v>687</v>
      </c>
      <c r="H85" s="81">
        <v>9812</v>
      </c>
      <c r="I85" t="s">
        <v>6</v>
      </c>
      <c r="J85" s="3">
        <v>610.29999999999995</v>
      </c>
    </row>
    <row r="86" spans="1:10" x14ac:dyDescent="0.25">
      <c r="A86" t="s">
        <v>686</v>
      </c>
      <c r="B86" t="s">
        <v>5</v>
      </c>
      <c r="C86" s="82" t="s">
        <v>687</v>
      </c>
      <c r="D86">
        <v>201606</v>
      </c>
      <c r="E86" s="1">
        <v>42521</v>
      </c>
      <c r="F86" s="1">
        <v>42550</v>
      </c>
      <c r="G86" t="s">
        <v>687</v>
      </c>
      <c r="H86" s="81">
        <v>324001</v>
      </c>
      <c r="I86" t="s">
        <v>6</v>
      </c>
      <c r="J86" s="3">
        <v>19450.45</v>
      </c>
    </row>
    <row r="87" spans="1:10" x14ac:dyDescent="0.25">
      <c r="A87" t="s">
        <v>584</v>
      </c>
      <c r="B87" t="s">
        <v>5</v>
      </c>
      <c r="C87" s="82">
        <v>3952775009</v>
      </c>
      <c r="D87">
        <v>201507</v>
      </c>
      <c r="E87" s="1">
        <v>42185</v>
      </c>
      <c r="F87" s="1">
        <v>42219</v>
      </c>
      <c r="G87" t="s">
        <v>646</v>
      </c>
      <c r="H87" s="81">
        <v>3526</v>
      </c>
      <c r="I87" t="s">
        <v>6</v>
      </c>
      <c r="J87" s="3">
        <v>326.11</v>
      </c>
    </row>
    <row r="88" spans="1:10" x14ac:dyDescent="0.25">
      <c r="A88" t="s">
        <v>584</v>
      </c>
      <c r="B88" t="s">
        <v>5</v>
      </c>
      <c r="C88" s="82">
        <v>3952775009</v>
      </c>
      <c r="D88">
        <v>201508</v>
      </c>
      <c r="E88" s="1">
        <v>42219</v>
      </c>
      <c r="F88" s="1">
        <v>42244</v>
      </c>
      <c r="G88" t="s">
        <v>646</v>
      </c>
      <c r="H88" s="81">
        <v>2609</v>
      </c>
      <c r="I88" t="s">
        <v>6</v>
      </c>
      <c r="J88" s="3">
        <v>242.23</v>
      </c>
    </row>
    <row r="89" spans="1:10" x14ac:dyDescent="0.25">
      <c r="A89" t="s">
        <v>584</v>
      </c>
      <c r="B89" t="s">
        <v>5</v>
      </c>
      <c r="C89" s="82">
        <v>3952775009</v>
      </c>
      <c r="D89">
        <v>201509</v>
      </c>
      <c r="E89" s="1">
        <v>42244</v>
      </c>
      <c r="F89" s="1">
        <v>42276</v>
      </c>
      <c r="G89" t="s">
        <v>646</v>
      </c>
      <c r="H89" s="81">
        <v>2963</v>
      </c>
      <c r="I89" t="s">
        <v>6</v>
      </c>
      <c r="J89" s="3">
        <v>273.36</v>
      </c>
    </row>
    <row r="90" spans="1:10" x14ac:dyDescent="0.25">
      <c r="A90" t="s">
        <v>584</v>
      </c>
      <c r="B90" t="s">
        <v>5</v>
      </c>
      <c r="C90" s="82">
        <v>3952775009</v>
      </c>
      <c r="D90">
        <v>201510</v>
      </c>
      <c r="E90" s="1">
        <v>42276</v>
      </c>
      <c r="F90" s="1">
        <v>42305</v>
      </c>
      <c r="G90" t="s">
        <v>646</v>
      </c>
      <c r="H90" s="81">
        <v>2389</v>
      </c>
      <c r="I90" t="s">
        <v>6</v>
      </c>
      <c r="J90" s="3">
        <v>222.19</v>
      </c>
    </row>
    <row r="91" spans="1:10" x14ac:dyDescent="0.25">
      <c r="A91" t="s">
        <v>584</v>
      </c>
      <c r="B91" t="s">
        <v>5</v>
      </c>
      <c r="C91" s="82">
        <v>3952775009</v>
      </c>
      <c r="D91">
        <v>201511</v>
      </c>
      <c r="E91" s="1">
        <v>42305</v>
      </c>
      <c r="F91" s="1">
        <v>42340</v>
      </c>
      <c r="G91" t="s">
        <v>646</v>
      </c>
      <c r="H91" s="81">
        <v>2680</v>
      </c>
      <c r="I91" t="s">
        <v>6</v>
      </c>
      <c r="J91" s="3">
        <v>247.99</v>
      </c>
    </row>
    <row r="92" spans="1:10" x14ac:dyDescent="0.25">
      <c r="A92" t="s">
        <v>584</v>
      </c>
      <c r="B92" t="s">
        <v>5</v>
      </c>
      <c r="C92" s="82">
        <v>3952775009</v>
      </c>
      <c r="D92">
        <v>201512</v>
      </c>
      <c r="E92" s="1">
        <v>42340</v>
      </c>
      <c r="F92" s="1">
        <v>42369</v>
      </c>
      <c r="G92" t="s">
        <v>646</v>
      </c>
      <c r="H92" s="81">
        <v>1774</v>
      </c>
      <c r="I92" t="s">
        <v>6</v>
      </c>
      <c r="J92" s="3">
        <v>167.58</v>
      </c>
    </row>
    <row r="93" spans="1:10" x14ac:dyDescent="0.25">
      <c r="A93" t="s">
        <v>584</v>
      </c>
      <c r="B93" t="s">
        <v>5</v>
      </c>
      <c r="C93" s="82">
        <v>3952775009</v>
      </c>
      <c r="D93">
        <v>201601</v>
      </c>
      <c r="E93" s="1">
        <v>42369</v>
      </c>
      <c r="F93" s="1">
        <v>42403</v>
      </c>
      <c r="G93" t="s">
        <v>646</v>
      </c>
      <c r="H93" s="81">
        <v>2420</v>
      </c>
      <c r="I93" t="s">
        <v>6</v>
      </c>
      <c r="J93" s="3">
        <v>224.63</v>
      </c>
    </row>
    <row r="94" spans="1:10" x14ac:dyDescent="0.25">
      <c r="A94" t="s">
        <v>584</v>
      </c>
      <c r="B94" t="s">
        <v>5</v>
      </c>
      <c r="C94" s="82">
        <v>3952775009</v>
      </c>
      <c r="D94">
        <v>201602</v>
      </c>
      <c r="E94" s="1">
        <v>42403</v>
      </c>
      <c r="F94" s="1">
        <v>42430</v>
      </c>
      <c r="G94" t="s">
        <v>646</v>
      </c>
      <c r="H94" s="81">
        <v>2259</v>
      </c>
      <c r="I94" t="s">
        <v>6</v>
      </c>
      <c r="J94" s="3">
        <v>210.35</v>
      </c>
    </row>
    <row r="95" spans="1:10" x14ac:dyDescent="0.25">
      <c r="A95" t="s">
        <v>584</v>
      </c>
      <c r="B95" t="s">
        <v>5</v>
      </c>
      <c r="C95" s="82">
        <v>3952775009</v>
      </c>
      <c r="D95">
        <v>201603</v>
      </c>
      <c r="E95" s="1">
        <v>42430</v>
      </c>
      <c r="F95" s="1">
        <v>42461</v>
      </c>
      <c r="G95" t="s">
        <v>646</v>
      </c>
      <c r="H95" s="81">
        <v>2564</v>
      </c>
      <c r="I95" t="s">
        <v>6</v>
      </c>
      <c r="J95" s="3">
        <v>237.37</v>
      </c>
    </row>
    <row r="96" spans="1:10" x14ac:dyDescent="0.25">
      <c r="A96" t="s">
        <v>584</v>
      </c>
      <c r="B96" t="s">
        <v>5</v>
      </c>
      <c r="C96" s="82">
        <v>3952775009</v>
      </c>
      <c r="D96">
        <v>201604</v>
      </c>
      <c r="E96" s="1">
        <v>42461</v>
      </c>
      <c r="F96" s="1">
        <v>42493</v>
      </c>
      <c r="G96" t="s">
        <v>646</v>
      </c>
      <c r="H96" s="81">
        <v>2238</v>
      </c>
      <c r="I96" t="s">
        <v>6</v>
      </c>
      <c r="J96" s="3">
        <v>209.32</v>
      </c>
    </row>
    <row r="97" spans="1:10" x14ac:dyDescent="0.25">
      <c r="A97" t="s">
        <v>584</v>
      </c>
      <c r="B97" t="s">
        <v>5</v>
      </c>
      <c r="C97" s="82">
        <v>3952775009</v>
      </c>
      <c r="D97">
        <v>201605</v>
      </c>
      <c r="E97" s="1">
        <v>42493</v>
      </c>
      <c r="F97" s="1">
        <v>42521</v>
      </c>
      <c r="G97" t="s">
        <v>646</v>
      </c>
      <c r="H97" s="81">
        <v>2242</v>
      </c>
      <c r="I97" t="s">
        <v>6</v>
      </c>
      <c r="J97" s="3">
        <v>211.1</v>
      </c>
    </row>
    <row r="98" spans="1:10" x14ac:dyDescent="0.25">
      <c r="A98" t="s">
        <v>584</v>
      </c>
      <c r="B98" t="s">
        <v>5</v>
      </c>
      <c r="C98" s="82">
        <v>3952775009</v>
      </c>
      <c r="D98">
        <v>201606</v>
      </c>
      <c r="E98" s="1">
        <v>42521</v>
      </c>
      <c r="F98" s="1">
        <v>42549</v>
      </c>
      <c r="G98" t="s">
        <v>646</v>
      </c>
      <c r="H98" s="81">
        <v>2837</v>
      </c>
      <c r="I98" t="s">
        <v>6</v>
      </c>
      <c r="J98" s="3">
        <v>264.45</v>
      </c>
    </row>
    <row r="99" spans="1:10" x14ac:dyDescent="0.25">
      <c r="A99" t="s">
        <v>500</v>
      </c>
      <c r="B99" t="s">
        <v>5</v>
      </c>
      <c r="C99" s="82" t="s">
        <v>501</v>
      </c>
      <c r="D99">
        <v>201507</v>
      </c>
      <c r="E99" s="1">
        <v>42185</v>
      </c>
      <c r="F99" s="1">
        <v>42216</v>
      </c>
      <c r="G99" t="s">
        <v>501</v>
      </c>
      <c r="H99" s="81">
        <v>7052</v>
      </c>
      <c r="I99" t="s">
        <v>6</v>
      </c>
      <c r="J99" s="3">
        <v>413.66</v>
      </c>
    </row>
    <row r="100" spans="1:10" x14ac:dyDescent="0.25">
      <c r="A100" t="s">
        <v>500</v>
      </c>
      <c r="B100" t="s">
        <v>5</v>
      </c>
      <c r="C100" s="82" t="s">
        <v>501</v>
      </c>
      <c r="D100">
        <v>201508</v>
      </c>
      <c r="E100" s="1">
        <v>42216</v>
      </c>
      <c r="F100" s="1">
        <v>42243</v>
      </c>
      <c r="G100" t="s">
        <v>501</v>
      </c>
      <c r="H100" s="81">
        <v>4796</v>
      </c>
      <c r="I100" t="s">
        <v>6</v>
      </c>
      <c r="J100" s="3">
        <v>290.83</v>
      </c>
    </row>
    <row r="101" spans="1:10" x14ac:dyDescent="0.25">
      <c r="A101" t="s">
        <v>500</v>
      </c>
      <c r="B101" t="s">
        <v>5</v>
      </c>
      <c r="C101" s="82" t="s">
        <v>501</v>
      </c>
      <c r="D101">
        <v>201509</v>
      </c>
      <c r="E101" s="1">
        <v>42243</v>
      </c>
      <c r="F101" s="1">
        <v>42276</v>
      </c>
      <c r="G101" t="s">
        <v>501</v>
      </c>
      <c r="H101" s="81">
        <v>8778</v>
      </c>
      <c r="I101" t="s">
        <v>6</v>
      </c>
      <c r="J101" s="3">
        <v>513.55999999999995</v>
      </c>
    </row>
    <row r="102" spans="1:10" x14ac:dyDescent="0.25">
      <c r="A102" t="s">
        <v>500</v>
      </c>
      <c r="B102" t="s">
        <v>5</v>
      </c>
      <c r="C102" s="82" t="s">
        <v>501</v>
      </c>
      <c r="D102">
        <v>201510</v>
      </c>
      <c r="E102" s="1">
        <v>42276</v>
      </c>
      <c r="F102" s="1">
        <v>42305</v>
      </c>
      <c r="G102" t="s">
        <v>501</v>
      </c>
      <c r="H102" s="81">
        <v>8286</v>
      </c>
      <c r="I102" t="s">
        <v>6</v>
      </c>
      <c r="J102" s="3">
        <v>495.46</v>
      </c>
    </row>
    <row r="103" spans="1:10" x14ac:dyDescent="0.25">
      <c r="A103" t="s">
        <v>500</v>
      </c>
      <c r="B103" t="s">
        <v>5</v>
      </c>
      <c r="C103" s="82" t="s">
        <v>501</v>
      </c>
      <c r="D103">
        <v>201511</v>
      </c>
      <c r="E103" s="1">
        <v>42305</v>
      </c>
      <c r="F103" s="1">
        <v>42339</v>
      </c>
      <c r="G103" t="s">
        <v>501</v>
      </c>
      <c r="H103" s="81">
        <v>12698</v>
      </c>
      <c r="I103" t="s">
        <v>6</v>
      </c>
      <c r="J103" s="3">
        <v>768.04</v>
      </c>
    </row>
    <row r="104" spans="1:10" x14ac:dyDescent="0.25">
      <c r="A104" t="s">
        <v>500</v>
      </c>
      <c r="B104" t="s">
        <v>5</v>
      </c>
      <c r="C104" s="82" t="s">
        <v>501</v>
      </c>
      <c r="D104">
        <v>201512</v>
      </c>
      <c r="E104" s="1">
        <v>42339</v>
      </c>
      <c r="F104" s="1">
        <v>42369</v>
      </c>
      <c r="G104" t="s">
        <v>501</v>
      </c>
      <c r="H104" s="81">
        <v>7762</v>
      </c>
      <c r="I104" t="s">
        <v>6</v>
      </c>
      <c r="J104" s="3">
        <v>490.34</v>
      </c>
    </row>
    <row r="105" spans="1:10" x14ac:dyDescent="0.25">
      <c r="A105" t="s">
        <v>500</v>
      </c>
      <c r="B105" t="s">
        <v>5</v>
      </c>
      <c r="C105" s="82" t="s">
        <v>501</v>
      </c>
      <c r="D105">
        <v>201601</v>
      </c>
      <c r="E105" s="1">
        <v>42369</v>
      </c>
      <c r="F105" s="1">
        <v>42401</v>
      </c>
      <c r="G105" t="s">
        <v>501</v>
      </c>
      <c r="H105" s="81">
        <v>7225</v>
      </c>
      <c r="I105" t="s">
        <v>6</v>
      </c>
      <c r="J105" s="3">
        <v>451.97</v>
      </c>
    </row>
    <row r="106" spans="1:10" x14ac:dyDescent="0.25">
      <c r="A106" t="s">
        <v>500</v>
      </c>
      <c r="B106" t="s">
        <v>5</v>
      </c>
      <c r="C106" s="82" t="s">
        <v>501</v>
      </c>
      <c r="D106">
        <v>201602</v>
      </c>
      <c r="E106" s="1">
        <v>42401</v>
      </c>
      <c r="F106" s="1">
        <v>42430</v>
      </c>
      <c r="G106" t="s">
        <v>501</v>
      </c>
      <c r="H106" s="81">
        <v>8356</v>
      </c>
      <c r="I106" t="s">
        <v>6</v>
      </c>
      <c r="J106" s="3">
        <v>509.96</v>
      </c>
    </row>
    <row r="107" spans="1:10" x14ac:dyDescent="0.25">
      <c r="A107" t="s">
        <v>500</v>
      </c>
      <c r="B107" t="s">
        <v>5</v>
      </c>
      <c r="C107" s="82" t="s">
        <v>501</v>
      </c>
      <c r="D107">
        <v>201603</v>
      </c>
      <c r="E107" s="1">
        <v>42430</v>
      </c>
      <c r="F107" s="1">
        <v>42460</v>
      </c>
      <c r="G107" t="s">
        <v>501</v>
      </c>
      <c r="H107" s="81">
        <v>8328</v>
      </c>
      <c r="I107" t="s">
        <v>6</v>
      </c>
      <c r="J107" s="3">
        <v>534.65</v>
      </c>
    </row>
    <row r="108" spans="1:10" x14ac:dyDescent="0.25">
      <c r="A108" t="s">
        <v>500</v>
      </c>
      <c r="B108" t="s">
        <v>5</v>
      </c>
      <c r="C108" s="82" t="s">
        <v>501</v>
      </c>
      <c r="D108">
        <v>201604</v>
      </c>
      <c r="E108" s="1">
        <v>42460</v>
      </c>
      <c r="F108" s="1">
        <v>42489</v>
      </c>
      <c r="G108" t="s">
        <v>501</v>
      </c>
      <c r="H108" s="81">
        <v>8315</v>
      </c>
      <c r="I108" t="s">
        <v>6</v>
      </c>
      <c r="J108" s="3">
        <v>500.98</v>
      </c>
    </row>
    <row r="109" spans="1:10" x14ac:dyDescent="0.25">
      <c r="A109" t="s">
        <v>500</v>
      </c>
      <c r="B109" t="s">
        <v>5</v>
      </c>
      <c r="C109" s="82" t="s">
        <v>501</v>
      </c>
      <c r="D109">
        <v>201605</v>
      </c>
      <c r="E109" s="1">
        <v>42489</v>
      </c>
      <c r="F109" s="1">
        <v>42521</v>
      </c>
      <c r="G109" t="s">
        <v>501</v>
      </c>
      <c r="H109" s="81">
        <v>5637</v>
      </c>
      <c r="I109" t="s">
        <v>6</v>
      </c>
      <c r="J109" s="3">
        <v>350.62</v>
      </c>
    </row>
    <row r="110" spans="1:10" x14ac:dyDescent="0.25">
      <c r="A110" t="s">
        <v>500</v>
      </c>
      <c r="B110" t="s">
        <v>5</v>
      </c>
      <c r="C110" s="82" t="s">
        <v>501</v>
      </c>
      <c r="D110">
        <v>201606</v>
      </c>
      <c r="E110" s="1">
        <v>42521</v>
      </c>
      <c r="F110" s="1">
        <v>42550</v>
      </c>
      <c r="G110" t="s">
        <v>501</v>
      </c>
      <c r="H110" s="81">
        <v>4447</v>
      </c>
      <c r="I110" t="s">
        <v>6</v>
      </c>
      <c r="J110" s="3">
        <v>266.95999999999998</v>
      </c>
    </row>
    <row r="111" spans="1:10" x14ac:dyDescent="0.25">
      <c r="A111" t="s">
        <v>539</v>
      </c>
      <c r="B111" t="s">
        <v>5</v>
      </c>
      <c r="C111" s="82" t="s">
        <v>540</v>
      </c>
      <c r="D111">
        <v>201507</v>
      </c>
      <c r="E111" s="1">
        <v>42185</v>
      </c>
      <c r="F111" s="1">
        <v>42216</v>
      </c>
      <c r="G111" t="s">
        <v>541</v>
      </c>
      <c r="H111" s="81">
        <v>198108</v>
      </c>
      <c r="I111" t="s">
        <v>6</v>
      </c>
      <c r="J111" s="3">
        <v>11620.63</v>
      </c>
    </row>
    <row r="112" spans="1:10" x14ac:dyDescent="0.25">
      <c r="A112" t="s">
        <v>539</v>
      </c>
      <c r="B112" t="s">
        <v>5</v>
      </c>
      <c r="C112" s="82" t="s">
        <v>540</v>
      </c>
      <c r="D112">
        <v>201508</v>
      </c>
      <c r="E112" s="1">
        <v>42216</v>
      </c>
      <c r="F112" s="1">
        <v>42243</v>
      </c>
      <c r="G112" t="s">
        <v>541</v>
      </c>
      <c r="H112" s="81">
        <v>81912</v>
      </c>
      <c r="I112" t="s">
        <v>6</v>
      </c>
      <c r="J112" s="3">
        <v>4967.07</v>
      </c>
    </row>
    <row r="113" spans="1:10" x14ac:dyDescent="0.25">
      <c r="A113" t="s">
        <v>539</v>
      </c>
      <c r="B113" t="s">
        <v>5</v>
      </c>
      <c r="C113" s="82" t="s">
        <v>540</v>
      </c>
      <c r="D113">
        <v>201509</v>
      </c>
      <c r="E113" s="1">
        <v>42243</v>
      </c>
      <c r="F113" s="1">
        <v>42276</v>
      </c>
      <c r="G113" t="s">
        <v>541</v>
      </c>
      <c r="H113" s="81">
        <v>238606</v>
      </c>
      <c r="I113" t="s">
        <v>6</v>
      </c>
      <c r="J113" s="3">
        <v>13959.6</v>
      </c>
    </row>
    <row r="114" spans="1:10" x14ac:dyDescent="0.25">
      <c r="A114" t="s">
        <v>539</v>
      </c>
      <c r="B114" t="s">
        <v>5</v>
      </c>
      <c r="C114" s="82" t="s">
        <v>540</v>
      </c>
      <c r="D114">
        <v>201510</v>
      </c>
      <c r="E114" s="1">
        <v>42276</v>
      </c>
      <c r="F114" s="1">
        <v>42305</v>
      </c>
      <c r="G114" t="s">
        <v>541</v>
      </c>
      <c r="H114" s="81">
        <v>148861</v>
      </c>
      <c r="I114" t="s">
        <v>6</v>
      </c>
      <c r="J114" s="3">
        <v>8901.1299999999992</v>
      </c>
    </row>
    <row r="115" spans="1:10" x14ac:dyDescent="0.25">
      <c r="A115" t="s">
        <v>539</v>
      </c>
      <c r="B115" t="s">
        <v>5</v>
      </c>
      <c r="C115" s="82" t="s">
        <v>540</v>
      </c>
      <c r="D115">
        <v>201511</v>
      </c>
      <c r="E115" s="1">
        <v>42305</v>
      </c>
      <c r="F115" s="1">
        <v>42339</v>
      </c>
      <c r="G115" t="s">
        <v>541</v>
      </c>
      <c r="H115" s="81">
        <v>268142</v>
      </c>
      <c r="I115" t="s">
        <v>6</v>
      </c>
      <c r="J115" s="3">
        <v>16218.59</v>
      </c>
    </row>
    <row r="116" spans="1:10" x14ac:dyDescent="0.25">
      <c r="A116" t="s">
        <v>539</v>
      </c>
      <c r="B116" t="s">
        <v>5</v>
      </c>
      <c r="C116" s="82" t="s">
        <v>540</v>
      </c>
      <c r="D116">
        <v>201512</v>
      </c>
      <c r="E116" s="1">
        <v>42339</v>
      </c>
      <c r="F116" s="1">
        <v>42369</v>
      </c>
      <c r="G116" t="s">
        <v>541</v>
      </c>
      <c r="H116" s="81">
        <v>214441</v>
      </c>
      <c r="I116" t="s">
        <v>6</v>
      </c>
      <c r="J116" s="3">
        <v>13546.73</v>
      </c>
    </row>
    <row r="117" spans="1:10" x14ac:dyDescent="0.25">
      <c r="A117" t="s">
        <v>539</v>
      </c>
      <c r="B117" t="s">
        <v>5</v>
      </c>
      <c r="C117" s="82" t="s">
        <v>540</v>
      </c>
      <c r="D117">
        <v>201601</v>
      </c>
      <c r="E117" s="1">
        <v>42369</v>
      </c>
      <c r="F117" s="1">
        <v>42401</v>
      </c>
      <c r="G117" t="s">
        <v>541</v>
      </c>
      <c r="H117" s="81">
        <v>227504</v>
      </c>
      <c r="I117" t="s">
        <v>6</v>
      </c>
      <c r="J117" s="3">
        <v>14231.94</v>
      </c>
    </row>
    <row r="118" spans="1:10" x14ac:dyDescent="0.25">
      <c r="A118" t="s">
        <v>539</v>
      </c>
      <c r="B118" t="s">
        <v>5</v>
      </c>
      <c r="C118" s="82" t="s">
        <v>540</v>
      </c>
      <c r="D118">
        <v>201602</v>
      </c>
      <c r="E118" s="1">
        <v>42401</v>
      </c>
      <c r="F118" s="1">
        <v>42430</v>
      </c>
      <c r="G118" t="s">
        <v>541</v>
      </c>
      <c r="H118" s="81">
        <v>224203</v>
      </c>
      <c r="I118" t="s">
        <v>6</v>
      </c>
      <c r="J118" s="3">
        <v>13682.81</v>
      </c>
    </row>
    <row r="119" spans="1:10" x14ac:dyDescent="0.25">
      <c r="A119" t="s">
        <v>539</v>
      </c>
      <c r="B119" t="s">
        <v>5</v>
      </c>
      <c r="C119" s="82" t="s">
        <v>540</v>
      </c>
      <c r="D119">
        <v>201603</v>
      </c>
      <c r="E119" s="1">
        <v>42430</v>
      </c>
      <c r="F119" s="1">
        <v>42460</v>
      </c>
      <c r="G119" t="s">
        <v>541</v>
      </c>
      <c r="H119" s="81">
        <v>225752</v>
      </c>
      <c r="I119" t="s">
        <v>6</v>
      </c>
      <c r="J119" s="3">
        <v>14492.94</v>
      </c>
    </row>
    <row r="120" spans="1:10" x14ac:dyDescent="0.25">
      <c r="A120" t="s">
        <v>539</v>
      </c>
      <c r="B120" t="s">
        <v>5</v>
      </c>
      <c r="C120" s="82" t="s">
        <v>540</v>
      </c>
      <c r="D120">
        <v>201604</v>
      </c>
      <c r="E120" s="1">
        <v>42460</v>
      </c>
      <c r="F120" s="1">
        <v>42489</v>
      </c>
      <c r="G120" t="s">
        <v>541</v>
      </c>
      <c r="H120" s="81">
        <v>223462</v>
      </c>
      <c r="I120" t="s">
        <v>6</v>
      </c>
      <c r="J120" s="3">
        <v>13463.58</v>
      </c>
    </row>
    <row r="121" spans="1:10" x14ac:dyDescent="0.25">
      <c r="A121" t="s">
        <v>539</v>
      </c>
      <c r="B121" t="s">
        <v>5</v>
      </c>
      <c r="C121" s="82" t="s">
        <v>540</v>
      </c>
      <c r="D121">
        <v>201605</v>
      </c>
      <c r="E121" s="1">
        <v>42489</v>
      </c>
      <c r="F121" s="1">
        <v>42521</v>
      </c>
      <c r="G121" t="s">
        <v>541</v>
      </c>
      <c r="H121" s="81">
        <v>233615</v>
      </c>
      <c r="I121" t="s">
        <v>6</v>
      </c>
      <c r="J121" s="3">
        <v>14530.64</v>
      </c>
    </row>
    <row r="122" spans="1:10" x14ac:dyDescent="0.25">
      <c r="A122" t="s">
        <v>539</v>
      </c>
      <c r="B122" t="s">
        <v>5</v>
      </c>
      <c r="C122" s="82" t="s">
        <v>540</v>
      </c>
      <c r="D122">
        <v>201606</v>
      </c>
      <c r="E122" s="1">
        <v>42521</v>
      </c>
      <c r="F122" s="1">
        <v>42550</v>
      </c>
      <c r="G122" t="s">
        <v>541</v>
      </c>
      <c r="H122" s="81">
        <v>211147</v>
      </c>
      <c r="I122" t="s">
        <v>6</v>
      </c>
      <c r="J122" s="3">
        <v>12675.59</v>
      </c>
    </row>
    <row r="123" spans="1:10" x14ac:dyDescent="0.25">
      <c r="A123" t="s">
        <v>502</v>
      </c>
      <c r="B123" t="s">
        <v>5</v>
      </c>
      <c r="C123" s="82" t="s">
        <v>503</v>
      </c>
      <c r="D123">
        <v>201507</v>
      </c>
      <c r="E123" s="1">
        <v>42185</v>
      </c>
      <c r="F123" s="1">
        <v>42216</v>
      </c>
      <c r="G123" t="s">
        <v>504</v>
      </c>
      <c r="H123" s="81">
        <v>64226</v>
      </c>
      <c r="I123" t="s">
        <v>6</v>
      </c>
      <c r="J123" s="3">
        <v>3767.37</v>
      </c>
    </row>
    <row r="124" spans="1:10" x14ac:dyDescent="0.25">
      <c r="A124" t="s">
        <v>502</v>
      </c>
      <c r="B124" t="s">
        <v>5</v>
      </c>
      <c r="C124" s="82" t="s">
        <v>503</v>
      </c>
      <c r="D124">
        <v>201508</v>
      </c>
      <c r="E124" s="1">
        <v>42216</v>
      </c>
      <c r="F124" s="1">
        <v>42243</v>
      </c>
      <c r="G124" t="s">
        <v>504</v>
      </c>
      <c r="H124" s="81">
        <v>55285</v>
      </c>
      <c r="I124" t="s">
        <v>6</v>
      </c>
      <c r="J124" s="3">
        <v>3352.44</v>
      </c>
    </row>
    <row r="125" spans="1:10" x14ac:dyDescent="0.25">
      <c r="A125" t="s">
        <v>502</v>
      </c>
      <c r="B125" t="s">
        <v>5</v>
      </c>
      <c r="C125" s="82" t="s">
        <v>503</v>
      </c>
      <c r="D125">
        <v>201509</v>
      </c>
      <c r="E125" s="1">
        <v>42243</v>
      </c>
      <c r="F125" s="1">
        <v>42276</v>
      </c>
      <c r="G125" t="s">
        <v>504</v>
      </c>
      <c r="H125" s="81">
        <v>70458</v>
      </c>
      <c r="I125" t="s">
        <v>6</v>
      </c>
      <c r="J125" s="3">
        <v>4122.13</v>
      </c>
    </row>
    <row r="126" spans="1:10" x14ac:dyDescent="0.25">
      <c r="A126" t="s">
        <v>502</v>
      </c>
      <c r="B126" t="s">
        <v>5</v>
      </c>
      <c r="C126" s="82" t="s">
        <v>503</v>
      </c>
      <c r="D126">
        <v>201510</v>
      </c>
      <c r="E126" s="1">
        <v>42276</v>
      </c>
      <c r="F126" s="1">
        <v>42305</v>
      </c>
      <c r="G126" t="s">
        <v>504</v>
      </c>
      <c r="H126" s="81">
        <v>59656</v>
      </c>
      <c r="I126" t="s">
        <v>6</v>
      </c>
      <c r="J126" s="3">
        <v>3567.12</v>
      </c>
    </row>
    <row r="127" spans="1:10" x14ac:dyDescent="0.25">
      <c r="A127" t="s">
        <v>502</v>
      </c>
      <c r="B127" t="s">
        <v>5</v>
      </c>
      <c r="C127" s="82" t="s">
        <v>503</v>
      </c>
      <c r="D127">
        <v>201511</v>
      </c>
      <c r="E127" s="1">
        <v>42305</v>
      </c>
      <c r="F127" s="1">
        <v>42339</v>
      </c>
      <c r="G127" t="s">
        <v>504</v>
      </c>
      <c r="H127" s="81">
        <v>67242</v>
      </c>
      <c r="I127" t="s">
        <v>6</v>
      </c>
      <c r="J127" s="3">
        <v>4067.14</v>
      </c>
    </row>
    <row r="128" spans="1:10" x14ac:dyDescent="0.25">
      <c r="A128" t="s">
        <v>502</v>
      </c>
      <c r="B128" t="s">
        <v>5</v>
      </c>
      <c r="C128" s="82" t="s">
        <v>503</v>
      </c>
      <c r="D128">
        <v>201512</v>
      </c>
      <c r="E128" s="1">
        <v>42339</v>
      </c>
      <c r="F128" s="1">
        <v>42369</v>
      </c>
      <c r="G128" t="s">
        <v>504</v>
      </c>
      <c r="H128" s="81">
        <v>55521</v>
      </c>
      <c r="I128" t="s">
        <v>6</v>
      </c>
      <c r="J128" s="3">
        <v>3507.39</v>
      </c>
    </row>
    <row r="129" spans="1:10" x14ac:dyDescent="0.25">
      <c r="A129" t="s">
        <v>502</v>
      </c>
      <c r="B129" t="s">
        <v>5</v>
      </c>
      <c r="C129" s="82" t="s">
        <v>503</v>
      </c>
      <c r="D129">
        <v>201601</v>
      </c>
      <c r="E129" s="1">
        <v>42369</v>
      </c>
      <c r="F129" s="1">
        <v>42401</v>
      </c>
      <c r="G129" t="s">
        <v>504</v>
      </c>
      <c r="H129" s="81">
        <v>63175</v>
      </c>
      <c r="I129" t="s">
        <v>6</v>
      </c>
      <c r="J129" s="3">
        <v>3952.03</v>
      </c>
    </row>
    <row r="130" spans="1:10" x14ac:dyDescent="0.25">
      <c r="A130" t="s">
        <v>502</v>
      </c>
      <c r="B130" t="s">
        <v>5</v>
      </c>
      <c r="C130" s="82" t="s">
        <v>503</v>
      </c>
      <c r="D130">
        <v>201602</v>
      </c>
      <c r="E130" s="1">
        <v>42401</v>
      </c>
      <c r="F130" s="1">
        <v>42430</v>
      </c>
      <c r="G130" t="s">
        <v>504</v>
      </c>
      <c r="H130" s="81">
        <v>61183</v>
      </c>
      <c r="I130" t="s">
        <v>6</v>
      </c>
      <c r="J130" s="3">
        <v>3733.92</v>
      </c>
    </row>
    <row r="131" spans="1:10" x14ac:dyDescent="0.25">
      <c r="A131" t="s">
        <v>502</v>
      </c>
      <c r="B131" t="s">
        <v>5</v>
      </c>
      <c r="C131" s="82" t="s">
        <v>503</v>
      </c>
      <c r="D131">
        <v>201603</v>
      </c>
      <c r="E131" s="1">
        <v>42430</v>
      </c>
      <c r="F131" s="1">
        <v>42460</v>
      </c>
      <c r="G131" t="s">
        <v>504</v>
      </c>
      <c r="H131" s="81">
        <v>60921</v>
      </c>
      <c r="I131" t="s">
        <v>6</v>
      </c>
      <c r="J131" s="3">
        <v>3911.04</v>
      </c>
    </row>
    <row r="132" spans="1:10" x14ac:dyDescent="0.25">
      <c r="A132" t="s">
        <v>502</v>
      </c>
      <c r="B132" t="s">
        <v>5</v>
      </c>
      <c r="C132" s="82" t="s">
        <v>503</v>
      </c>
      <c r="D132">
        <v>201604</v>
      </c>
      <c r="E132" s="1">
        <v>42460</v>
      </c>
      <c r="F132" s="1">
        <v>42489</v>
      </c>
      <c r="G132" t="s">
        <v>504</v>
      </c>
      <c r="H132" s="81">
        <v>59233</v>
      </c>
      <c r="I132" t="s">
        <v>6</v>
      </c>
      <c r="J132" s="3">
        <v>3568.79</v>
      </c>
    </row>
    <row r="133" spans="1:10" x14ac:dyDescent="0.25">
      <c r="A133" t="s">
        <v>502</v>
      </c>
      <c r="B133" t="s">
        <v>5</v>
      </c>
      <c r="C133" s="82" t="s">
        <v>503</v>
      </c>
      <c r="D133">
        <v>201605</v>
      </c>
      <c r="E133" s="1">
        <v>42489</v>
      </c>
      <c r="F133" s="1">
        <v>42521</v>
      </c>
      <c r="G133" t="s">
        <v>504</v>
      </c>
      <c r="H133" s="81">
        <v>61768</v>
      </c>
      <c r="I133" t="s">
        <v>6</v>
      </c>
      <c r="J133" s="3">
        <v>3841.91</v>
      </c>
    </row>
    <row r="134" spans="1:10" x14ac:dyDescent="0.25">
      <c r="A134" t="s">
        <v>502</v>
      </c>
      <c r="B134" t="s">
        <v>5</v>
      </c>
      <c r="C134" s="82" t="s">
        <v>503</v>
      </c>
      <c r="D134">
        <v>201606</v>
      </c>
      <c r="E134" s="1">
        <v>42521</v>
      </c>
      <c r="F134" s="1">
        <v>42550</v>
      </c>
      <c r="G134" t="s">
        <v>504</v>
      </c>
      <c r="H134" s="81">
        <v>57440</v>
      </c>
      <c r="I134" t="s">
        <v>6</v>
      </c>
      <c r="J134" s="3">
        <v>3448.24</v>
      </c>
    </row>
    <row r="135" spans="1:10" s="124" customFormat="1" x14ac:dyDescent="0.25">
      <c r="A135" s="124" t="s">
        <v>532</v>
      </c>
      <c r="B135" s="124" t="s">
        <v>5</v>
      </c>
      <c r="C135" s="125" t="s">
        <v>533</v>
      </c>
      <c r="D135" s="124">
        <v>201507</v>
      </c>
      <c r="E135" s="126">
        <v>42185</v>
      </c>
      <c r="F135" s="126">
        <v>42216</v>
      </c>
      <c r="G135" s="124" t="s">
        <v>534</v>
      </c>
      <c r="H135" s="127">
        <v>194423</v>
      </c>
      <c r="I135" s="124" t="s">
        <v>6</v>
      </c>
      <c r="J135" s="128">
        <v>11404.47</v>
      </c>
    </row>
    <row r="136" spans="1:10" s="124" customFormat="1" x14ac:dyDescent="0.25">
      <c r="A136" s="124" t="s">
        <v>532</v>
      </c>
      <c r="B136" s="124" t="s">
        <v>5</v>
      </c>
      <c r="C136" s="125" t="s">
        <v>533</v>
      </c>
      <c r="D136" s="124">
        <v>201508</v>
      </c>
      <c r="E136" s="126">
        <v>42216</v>
      </c>
      <c r="F136" s="126">
        <v>42243</v>
      </c>
      <c r="G136" s="124" t="s">
        <v>534</v>
      </c>
      <c r="H136" s="127">
        <v>166203</v>
      </c>
      <c r="I136" s="124" t="s">
        <v>6</v>
      </c>
      <c r="J136" s="128">
        <v>10078.41</v>
      </c>
    </row>
    <row r="137" spans="1:10" s="124" customFormat="1" x14ac:dyDescent="0.25">
      <c r="A137" s="124" t="s">
        <v>532</v>
      </c>
      <c r="B137" s="124" t="s">
        <v>5</v>
      </c>
      <c r="C137" s="125" t="s">
        <v>533</v>
      </c>
      <c r="D137" s="124">
        <v>201509</v>
      </c>
      <c r="E137" s="126">
        <v>42243</v>
      </c>
      <c r="F137" s="126">
        <v>42276</v>
      </c>
      <c r="G137" s="124" t="s">
        <v>534</v>
      </c>
      <c r="H137" s="127">
        <v>204447</v>
      </c>
      <c r="I137" s="124" t="s">
        <v>6</v>
      </c>
      <c r="J137" s="128">
        <v>11961.14</v>
      </c>
    </row>
    <row r="138" spans="1:10" s="124" customFormat="1" x14ac:dyDescent="0.25">
      <c r="A138" s="124" t="s">
        <v>532</v>
      </c>
      <c r="B138" s="124" t="s">
        <v>5</v>
      </c>
      <c r="C138" s="125" t="s">
        <v>533</v>
      </c>
      <c r="D138" s="124">
        <v>201510</v>
      </c>
      <c r="E138" s="126">
        <v>42276</v>
      </c>
      <c r="F138" s="126">
        <v>42305</v>
      </c>
      <c r="G138" s="124" t="s">
        <v>534</v>
      </c>
      <c r="H138" s="127">
        <v>183059</v>
      </c>
      <c r="I138" s="124" t="s">
        <v>6</v>
      </c>
      <c r="J138" s="128">
        <v>10945.99</v>
      </c>
    </row>
    <row r="139" spans="1:10" s="124" customFormat="1" x14ac:dyDescent="0.25">
      <c r="A139" s="124" t="s">
        <v>532</v>
      </c>
      <c r="B139" s="124" t="s">
        <v>5</v>
      </c>
      <c r="C139" s="125" t="s">
        <v>533</v>
      </c>
      <c r="D139" s="124">
        <v>201511</v>
      </c>
      <c r="E139" s="126">
        <v>42305</v>
      </c>
      <c r="F139" s="126">
        <v>42339</v>
      </c>
      <c r="G139" s="124" t="s">
        <v>534</v>
      </c>
      <c r="H139" s="127">
        <v>216980</v>
      </c>
      <c r="I139" s="124" t="s">
        <v>6</v>
      </c>
      <c r="J139" s="128">
        <v>13124.05</v>
      </c>
    </row>
    <row r="140" spans="1:10" s="124" customFormat="1" x14ac:dyDescent="0.25">
      <c r="A140" s="124" t="s">
        <v>532</v>
      </c>
      <c r="B140" s="124" t="s">
        <v>5</v>
      </c>
      <c r="C140" s="125" t="s">
        <v>533</v>
      </c>
      <c r="D140" s="124">
        <v>201512</v>
      </c>
      <c r="E140" s="126">
        <v>42339</v>
      </c>
      <c r="F140" s="126">
        <v>42369</v>
      </c>
      <c r="G140" s="124" t="s">
        <v>534</v>
      </c>
      <c r="H140" s="127">
        <v>176511</v>
      </c>
      <c r="I140" s="124" t="s">
        <v>6</v>
      </c>
      <c r="J140" s="128">
        <v>11150.6</v>
      </c>
    </row>
    <row r="141" spans="1:10" s="124" customFormat="1" x14ac:dyDescent="0.25">
      <c r="A141" s="124" t="s">
        <v>532</v>
      </c>
      <c r="B141" s="124" t="s">
        <v>5</v>
      </c>
      <c r="C141" s="125" t="s">
        <v>533</v>
      </c>
      <c r="D141" s="124">
        <v>201601</v>
      </c>
      <c r="E141" s="126">
        <v>42369</v>
      </c>
      <c r="F141" s="126">
        <v>42401</v>
      </c>
      <c r="G141" s="124" t="s">
        <v>534</v>
      </c>
      <c r="H141" s="127">
        <v>193162</v>
      </c>
      <c r="I141" s="124" t="s">
        <v>6</v>
      </c>
      <c r="J141" s="128">
        <v>12083.61</v>
      </c>
    </row>
    <row r="142" spans="1:10" s="124" customFormat="1" x14ac:dyDescent="0.25">
      <c r="A142" s="124" t="s">
        <v>532</v>
      </c>
      <c r="B142" s="124" t="s">
        <v>5</v>
      </c>
      <c r="C142" s="125" t="s">
        <v>533</v>
      </c>
      <c r="D142" s="124">
        <v>201602</v>
      </c>
      <c r="E142" s="126">
        <v>42401</v>
      </c>
      <c r="F142" s="126">
        <v>42430</v>
      </c>
      <c r="G142" s="124" t="s">
        <v>534</v>
      </c>
      <c r="H142" s="127">
        <v>192721</v>
      </c>
      <c r="I142" s="124" t="s">
        <v>6</v>
      </c>
      <c r="J142" s="128">
        <v>11761.5</v>
      </c>
    </row>
    <row r="143" spans="1:10" s="124" customFormat="1" x14ac:dyDescent="0.25">
      <c r="A143" s="124" t="s">
        <v>532</v>
      </c>
      <c r="B143" s="124" t="s">
        <v>5</v>
      </c>
      <c r="C143" s="125" t="s">
        <v>533</v>
      </c>
      <c r="D143" s="124">
        <v>201603</v>
      </c>
      <c r="E143" s="126">
        <v>42430</v>
      </c>
      <c r="F143" s="126">
        <v>42460</v>
      </c>
      <c r="G143" s="124" t="s">
        <v>534</v>
      </c>
      <c r="H143" s="127">
        <v>190490</v>
      </c>
      <c r="I143" s="124" t="s">
        <v>6</v>
      </c>
      <c r="J143" s="128">
        <v>12229.17</v>
      </c>
    </row>
    <row r="144" spans="1:10" s="124" customFormat="1" x14ac:dyDescent="0.25">
      <c r="A144" s="124" t="s">
        <v>532</v>
      </c>
      <c r="B144" s="124" t="s">
        <v>5</v>
      </c>
      <c r="C144" s="125" t="s">
        <v>533</v>
      </c>
      <c r="D144" s="124">
        <v>201604</v>
      </c>
      <c r="E144" s="126">
        <v>42460</v>
      </c>
      <c r="F144" s="126">
        <v>42489</v>
      </c>
      <c r="G144" s="124" t="s">
        <v>534</v>
      </c>
      <c r="H144" s="127">
        <v>183249</v>
      </c>
      <c r="I144" s="124" t="s">
        <v>6</v>
      </c>
      <c r="J144" s="128">
        <v>11040.75</v>
      </c>
    </row>
    <row r="145" spans="1:10" s="124" customFormat="1" x14ac:dyDescent="0.25">
      <c r="A145" s="124" t="s">
        <v>532</v>
      </c>
      <c r="B145" s="124" t="s">
        <v>5</v>
      </c>
      <c r="C145" s="125" t="s">
        <v>533</v>
      </c>
      <c r="D145" s="124">
        <v>201605</v>
      </c>
      <c r="E145" s="126">
        <v>42489</v>
      </c>
      <c r="F145" s="126">
        <v>42521</v>
      </c>
      <c r="G145" s="124" t="s">
        <v>534</v>
      </c>
      <c r="H145" s="127">
        <v>186907</v>
      </c>
      <c r="I145" s="124" t="s">
        <v>6</v>
      </c>
      <c r="J145" s="128">
        <v>11625.44</v>
      </c>
    </row>
    <row r="146" spans="1:10" s="124" customFormat="1" x14ac:dyDescent="0.25">
      <c r="A146" s="124" t="s">
        <v>532</v>
      </c>
      <c r="B146" s="124" t="s">
        <v>5</v>
      </c>
      <c r="C146" s="125" t="s">
        <v>533</v>
      </c>
      <c r="D146" s="124">
        <v>201606</v>
      </c>
      <c r="E146" s="126">
        <v>42521</v>
      </c>
      <c r="F146" s="126">
        <v>42550</v>
      </c>
      <c r="G146" s="124" t="s">
        <v>534</v>
      </c>
      <c r="H146" s="127">
        <v>167173</v>
      </c>
      <c r="I146" s="124" t="s">
        <v>6</v>
      </c>
      <c r="J146" s="128">
        <v>10035.74</v>
      </c>
    </row>
    <row r="147" spans="1:10" x14ac:dyDescent="0.25">
      <c r="A147" t="s">
        <v>660</v>
      </c>
      <c r="B147" t="s">
        <v>5</v>
      </c>
      <c r="C147" s="82" t="s">
        <v>661</v>
      </c>
      <c r="D147">
        <v>201507</v>
      </c>
      <c r="E147" s="1">
        <v>42185</v>
      </c>
      <c r="F147" s="1">
        <v>42216</v>
      </c>
      <c r="G147" t="s">
        <v>662</v>
      </c>
      <c r="H147" s="81">
        <v>8607</v>
      </c>
      <c r="I147" t="s">
        <v>6</v>
      </c>
      <c r="J147" s="3">
        <v>504.87</v>
      </c>
    </row>
    <row r="148" spans="1:10" x14ac:dyDescent="0.25">
      <c r="A148" t="s">
        <v>660</v>
      </c>
      <c r="B148" t="s">
        <v>5</v>
      </c>
      <c r="C148" s="82" t="s">
        <v>661</v>
      </c>
      <c r="D148">
        <v>201508</v>
      </c>
      <c r="E148" s="1">
        <v>42216</v>
      </c>
      <c r="F148" s="1">
        <v>42243</v>
      </c>
      <c r="G148" t="s">
        <v>662</v>
      </c>
      <c r="H148" s="81">
        <v>7426</v>
      </c>
      <c r="I148" t="s">
        <v>6</v>
      </c>
      <c r="J148" s="3">
        <v>450.31</v>
      </c>
    </row>
    <row r="149" spans="1:10" x14ac:dyDescent="0.25">
      <c r="A149" t="s">
        <v>660</v>
      </c>
      <c r="B149" t="s">
        <v>5</v>
      </c>
      <c r="C149" s="82" t="s">
        <v>661</v>
      </c>
      <c r="D149">
        <v>201509</v>
      </c>
      <c r="E149" s="1">
        <v>42243</v>
      </c>
      <c r="F149" s="1">
        <v>42276</v>
      </c>
      <c r="G149" t="s">
        <v>662</v>
      </c>
      <c r="H149" s="81">
        <v>16523</v>
      </c>
      <c r="I149" t="s">
        <v>6</v>
      </c>
      <c r="J149" s="3">
        <v>966.68</v>
      </c>
    </row>
    <row r="150" spans="1:10" x14ac:dyDescent="0.25">
      <c r="A150" t="s">
        <v>660</v>
      </c>
      <c r="B150" t="s">
        <v>5</v>
      </c>
      <c r="C150" s="82" t="s">
        <v>661</v>
      </c>
      <c r="D150">
        <v>201510</v>
      </c>
      <c r="E150" s="1">
        <v>42276</v>
      </c>
      <c r="F150" s="1">
        <v>42305</v>
      </c>
      <c r="G150" t="s">
        <v>662</v>
      </c>
      <c r="H150" s="81">
        <v>11745</v>
      </c>
      <c r="I150" t="s">
        <v>6</v>
      </c>
      <c r="J150" s="3">
        <v>702.29</v>
      </c>
    </row>
    <row r="151" spans="1:10" x14ac:dyDescent="0.25">
      <c r="A151" t="s">
        <v>660</v>
      </c>
      <c r="B151" t="s">
        <v>5</v>
      </c>
      <c r="C151" s="82" t="s">
        <v>661</v>
      </c>
      <c r="D151">
        <v>201511</v>
      </c>
      <c r="E151" s="1">
        <v>42305</v>
      </c>
      <c r="F151" s="1">
        <v>42339</v>
      </c>
      <c r="G151" t="s">
        <v>662</v>
      </c>
      <c r="H151" s="81">
        <v>19663</v>
      </c>
      <c r="I151" t="s">
        <v>6</v>
      </c>
      <c r="J151" s="3">
        <v>1189.32</v>
      </c>
    </row>
    <row r="152" spans="1:10" x14ac:dyDescent="0.25">
      <c r="A152" t="s">
        <v>660</v>
      </c>
      <c r="B152" t="s">
        <v>5</v>
      </c>
      <c r="C152" s="82" t="s">
        <v>661</v>
      </c>
      <c r="D152">
        <v>201512</v>
      </c>
      <c r="E152" s="1">
        <v>42339</v>
      </c>
      <c r="F152" s="1">
        <v>42369</v>
      </c>
      <c r="G152" t="s">
        <v>662</v>
      </c>
      <c r="H152" s="81">
        <v>7372</v>
      </c>
      <c r="I152" t="s">
        <v>6</v>
      </c>
      <c r="J152" s="3">
        <v>465.71</v>
      </c>
    </row>
    <row r="153" spans="1:10" x14ac:dyDescent="0.25">
      <c r="A153" t="s">
        <v>660</v>
      </c>
      <c r="B153" t="s">
        <v>5</v>
      </c>
      <c r="C153" s="82" t="s">
        <v>661</v>
      </c>
      <c r="D153">
        <v>201601</v>
      </c>
      <c r="E153" s="1">
        <v>42369</v>
      </c>
      <c r="F153" s="1">
        <v>42401</v>
      </c>
      <c r="G153" t="s">
        <v>662</v>
      </c>
      <c r="H153" s="81">
        <v>9246</v>
      </c>
      <c r="I153" t="s">
        <v>6</v>
      </c>
      <c r="J153" s="3">
        <v>578.4</v>
      </c>
    </row>
    <row r="154" spans="1:10" x14ac:dyDescent="0.25">
      <c r="A154" t="s">
        <v>660</v>
      </c>
      <c r="B154" t="s">
        <v>5</v>
      </c>
      <c r="C154" s="82" t="s">
        <v>661</v>
      </c>
      <c r="D154">
        <v>201602</v>
      </c>
      <c r="E154" s="1">
        <v>42401</v>
      </c>
      <c r="F154" s="1">
        <v>42430</v>
      </c>
      <c r="G154" t="s">
        <v>662</v>
      </c>
      <c r="H154" s="81">
        <v>10419</v>
      </c>
      <c r="I154" t="s">
        <v>6</v>
      </c>
      <c r="J154" s="3">
        <v>635.86</v>
      </c>
    </row>
    <row r="155" spans="1:10" x14ac:dyDescent="0.25">
      <c r="A155" t="s">
        <v>660</v>
      </c>
      <c r="B155" t="s">
        <v>5</v>
      </c>
      <c r="C155" s="82" t="s">
        <v>661</v>
      </c>
      <c r="D155">
        <v>201603</v>
      </c>
      <c r="E155" s="1">
        <v>42430</v>
      </c>
      <c r="F155" s="1">
        <v>42460</v>
      </c>
      <c r="G155" t="s">
        <v>662</v>
      </c>
      <c r="H155" s="81">
        <v>10629</v>
      </c>
      <c r="I155" t="s">
        <v>6</v>
      </c>
      <c r="J155" s="3">
        <v>682.37</v>
      </c>
    </row>
    <row r="156" spans="1:10" x14ac:dyDescent="0.25">
      <c r="A156" t="s">
        <v>660</v>
      </c>
      <c r="B156" t="s">
        <v>5</v>
      </c>
      <c r="C156" s="82" t="s">
        <v>661</v>
      </c>
      <c r="D156">
        <v>201604</v>
      </c>
      <c r="E156" s="1">
        <v>42460</v>
      </c>
      <c r="F156" s="1">
        <v>42489</v>
      </c>
      <c r="G156" t="s">
        <v>662</v>
      </c>
      <c r="H156" s="81">
        <v>10490</v>
      </c>
      <c r="I156" t="s">
        <v>6</v>
      </c>
      <c r="J156" s="3">
        <v>632.02</v>
      </c>
    </row>
    <row r="157" spans="1:10" x14ac:dyDescent="0.25">
      <c r="A157" t="s">
        <v>660</v>
      </c>
      <c r="B157" t="s">
        <v>5</v>
      </c>
      <c r="C157" s="82" t="s">
        <v>661</v>
      </c>
      <c r="D157">
        <v>201605</v>
      </c>
      <c r="E157" s="1">
        <v>42489</v>
      </c>
      <c r="F157" s="1">
        <v>42521</v>
      </c>
      <c r="G157" t="s">
        <v>662</v>
      </c>
      <c r="H157" s="81">
        <v>12677</v>
      </c>
      <c r="I157" t="s">
        <v>6</v>
      </c>
      <c r="J157" s="3">
        <v>788.5</v>
      </c>
    </row>
    <row r="158" spans="1:10" x14ac:dyDescent="0.25">
      <c r="A158" t="s">
        <v>660</v>
      </c>
      <c r="B158" t="s">
        <v>5</v>
      </c>
      <c r="C158" s="82" t="s">
        <v>661</v>
      </c>
      <c r="D158">
        <v>201606</v>
      </c>
      <c r="E158" s="1">
        <v>42521</v>
      </c>
      <c r="F158" s="1">
        <v>42550</v>
      </c>
      <c r="G158" t="s">
        <v>662</v>
      </c>
      <c r="H158" s="81">
        <v>17245</v>
      </c>
      <c r="I158" t="s">
        <v>6</v>
      </c>
      <c r="J158" s="3">
        <v>1035.25</v>
      </c>
    </row>
    <row r="159" spans="1:10" x14ac:dyDescent="0.25">
      <c r="A159" t="s">
        <v>590</v>
      </c>
      <c r="B159" t="s">
        <v>5</v>
      </c>
      <c r="C159" s="82" t="s">
        <v>674</v>
      </c>
      <c r="D159">
        <v>201507</v>
      </c>
      <c r="E159" s="1">
        <v>42185</v>
      </c>
      <c r="F159" s="1">
        <v>42216</v>
      </c>
      <c r="G159" t="s">
        <v>675</v>
      </c>
      <c r="H159" s="81">
        <v>26312</v>
      </c>
      <c r="I159" t="s">
        <v>6</v>
      </c>
      <c r="J159" s="3">
        <v>1543.41</v>
      </c>
    </row>
    <row r="160" spans="1:10" x14ac:dyDescent="0.25">
      <c r="A160" t="s">
        <v>590</v>
      </c>
      <c r="B160" t="s">
        <v>5</v>
      </c>
      <c r="C160" s="82" t="s">
        <v>674</v>
      </c>
      <c r="D160">
        <v>201508</v>
      </c>
      <c r="E160" s="1">
        <v>42216</v>
      </c>
      <c r="F160" s="1">
        <v>42243</v>
      </c>
      <c r="G160" t="s">
        <v>675</v>
      </c>
      <c r="H160" s="81">
        <v>17144</v>
      </c>
      <c r="I160" t="s">
        <v>6</v>
      </c>
      <c r="J160" s="3">
        <v>1039.5999999999999</v>
      </c>
    </row>
    <row r="161" spans="1:10" x14ac:dyDescent="0.25">
      <c r="A161" t="s">
        <v>590</v>
      </c>
      <c r="B161" t="s">
        <v>5</v>
      </c>
      <c r="C161" s="82" t="s">
        <v>674</v>
      </c>
      <c r="D161">
        <v>201509</v>
      </c>
      <c r="E161" s="1">
        <v>42243</v>
      </c>
      <c r="F161" s="1">
        <v>42276</v>
      </c>
      <c r="G161" t="s">
        <v>675</v>
      </c>
      <c r="H161" s="81">
        <v>25693</v>
      </c>
      <c r="I161" t="s">
        <v>6</v>
      </c>
      <c r="J161" s="3">
        <v>1503.16</v>
      </c>
    </row>
    <row r="162" spans="1:10" x14ac:dyDescent="0.25">
      <c r="A162" t="s">
        <v>590</v>
      </c>
      <c r="B162" t="s">
        <v>5</v>
      </c>
      <c r="C162" s="82" t="s">
        <v>674</v>
      </c>
      <c r="D162">
        <v>201510</v>
      </c>
      <c r="E162" s="1">
        <v>42276</v>
      </c>
      <c r="F162" s="1">
        <v>42305</v>
      </c>
      <c r="G162" t="s">
        <v>675</v>
      </c>
      <c r="H162" s="81">
        <v>17806</v>
      </c>
      <c r="I162" t="s">
        <v>6</v>
      </c>
      <c r="J162" s="3">
        <v>1064.71</v>
      </c>
    </row>
    <row r="163" spans="1:10" x14ac:dyDescent="0.25">
      <c r="A163" t="s">
        <v>590</v>
      </c>
      <c r="B163" t="s">
        <v>5</v>
      </c>
      <c r="C163" s="82" t="s">
        <v>674</v>
      </c>
      <c r="D163">
        <v>201511</v>
      </c>
      <c r="E163" s="1">
        <v>42305</v>
      </c>
      <c r="F163" s="1">
        <v>42339</v>
      </c>
      <c r="G163" t="s">
        <v>675</v>
      </c>
      <c r="H163" s="81">
        <v>20839</v>
      </c>
      <c r="I163" t="s">
        <v>6</v>
      </c>
      <c r="J163" s="3">
        <v>1260.45</v>
      </c>
    </row>
    <row r="164" spans="1:10" x14ac:dyDescent="0.25">
      <c r="A164" t="s">
        <v>590</v>
      </c>
      <c r="B164" t="s">
        <v>5</v>
      </c>
      <c r="C164" s="82" t="s">
        <v>674</v>
      </c>
      <c r="D164">
        <v>201512</v>
      </c>
      <c r="E164" s="1">
        <v>42339</v>
      </c>
      <c r="F164" s="1">
        <v>42369</v>
      </c>
      <c r="G164" t="s">
        <v>675</v>
      </c>
      <c r="H164" s="81">
        <v>18353</v>
      </c>
      <c r="I164" t="s">
        <v>6</v>
      </c>
      <c r="J164" s="3">
        <v>1159.4000000000001</v>
      </c>
    </row>
    <row r="165" spans="1:10" x14ac:dyDescent="0.25">
      <c r="A165" t="s">
        <v>590</v>
      </c>
      <c r="B165" t="s">
        <v>5</v>
      </c>
      <c r="C165" s="82" t="s">
        <v>674</v>
      </c>
      <c r="D165">
        <v>201601</v>
      </c>
      <c r="E165" s="1">
        <v>42369</v>
      </c>
      <c r="F165" s="1">
        <v>42401</v>
      </c>
      <c r="G165" t="s">
        <v>675</v>
      </c>
      <c r="H165" s="81">
        <v>25318</v>
      </c>
      <c r="I165" t="s">
        <v>6</v>
      </c>
      <c r="J165" s="3">
        <v>1583.82</v>
      </c>
    </row>
    <row r="166" spans="1:10" x14ac:dyDescent="0.25">
      <c r="A166" t="s">
        <v>590</v>
      </c>
      <c r="B166" t="s">
        <v>5</v>
      </c>
      <c r="C166" s="82" t="s">
        <v>674</v>
      </c>
      <c r="D166">
        <v>201602</v>
      </c>
      <c r="E166" s="1">
        <v>42401</v>
      </c>
      <c r="F166" s="1">
        <v>42430</v>
      </c>
      <c r="G166" t="s">
        <v>675</v>
      </c>
      <c r="H166" s="81">
        <v>22737</v>
      </c>
      <c r="I166" t="s">
        <v>6</v>
      </c>
      <c r="J166" s="3">
        <v>1387.61</v>
      </c>
    </row>
    <row r="167" spans="1:10" x14ac:dyDescent="0.25">
      <c r="A167" t="s">
        <v>590</v>
      </c>
      <c r="B167" t="s">
        <v>5</v>
      </c>
      <c r="C167" s="82" t="s">
        <v>674</v>
      </c>
      <c r="D167">
        <v>201603</v>
      </c>
      <c r="E167" s="1">
        <v>42430</v>
      </c>
      <c r="F167" s="1">
        <v>42460</v>
      </c>
      <c r="G167" t="s">
        <v>675</v>
      </c>
      <c r="H167" s="81">
        <v>19737</v>
      </c>
      <c r="I167" t="s">
        <v>6</v>
      </c>
      <c r="J167" s="3">
        <v>1267.0899999999999</v>
      </c>
    </row>
    <row r="168" spans="1:10" x14ac:dyDescent="0.25">
      <c r="A168" t="s">
        <v>590</v>
      </c>
      <c r="B168" t="s">
        <v>5</v>
      </c>
      <c r="C168" s="82" t="s">
        <v>674</v>
      </c>
      <c r="D168">
        <v>201604</v>
      </c>
      <c r="E168" s="1">
        <v>42460</v>
      </c>
      <c r="F168" s="1">
        <v>42489</v>
      </c>
      <c r="G168" t="s">
        <v>675</v>
      </c>
      <c r="H168" s="81">
        <v>19133</v>
      </c>
      <c r="I168" t="s">
        <v>6</v>
      </c>
      <c r="J168" s="3">
        <v>1152.76</v>
      </c>
    </row>
    <row r="169" spans="1:10" x14ac:dyDescent="0.25">
      <c r="A169" t="s">
        <v>590</v>
      </c>
      <c r="B169" t="s">
        <v>5</v>
      </c>
      <c r="C169" s="82" t="s">
        <v>674</v>
      </c>
      <c r="D169">
        <v>201605</v>
      </c>
      <c r="E169" s="1">
        <v>42489</v>
      </c>
      <c r="F169" s="1">
        <v>42521</v>
      </c>
      <c r="G169" t="s">
        <v>675</v>
      </c>
      <c r="H169" s="81">
        <v>20189</v>
      </c>
      <c r="I169" t="s">
        <v>6</v>
      </c>
      <c r="J169" s="3">
        <v>1255.74</v>
      </c>
    </row>
    <row r="170" spans="1:10" x14ac:dyDescent="0.25">
      <c r="A170" t="s">
        <v>590</v>
      </c>
      <c r="B170" t="s">
        <v>5</v>
      </c>
      <c r="C170" s="82" t="s">
        <v>674</v>
      </c>
      <c r="D170">
        <v>201606</v>
      </c>
      <c r="E170" s="1">
        <v>42521</v>
      </c>
      <c r="F170" s="1">
        <v>42550</v>
      </c>
      <c r="G170" t="s">
        <v>675</v>
      </c>
      <c r="H170" s="81">
        <v>25933</v>
      </c>
      <c r="I170" t="s">
        <v>6</v>
      </c>
      <c r="J170" s="3">
        <v>1556.81</v>
      </c>
    </row>
    <row r="171" spans="1:10" x14ac:dyDescent="0.25">
      <c r="A171" t="s">
        <v>106</v>
      </c>
      <c r="B171" t="s">
        <v>5</v>
      </c>
      <c r="C171" s="82" t="s">
        <v>666</v>
      </c>
      <c r="D171">
        <v>201507</v>
      </c>
      <c r="E171" s="1">
        <v>42185</v>
      </c>
      <c r="F171" s="1">
        <v>42216</v>
      </c>
      <c r="G171" t="s">
        <v>666</v>
      </c>
      <c r="H171" s="81">
        <v>25097</v>
      </c>
      <c r="I171" t="s">
        <v>6</v>
      </c>
      <c r="J171" s="3">
        <v>1472.14</v>
      </c>
    </row>
    <row r="172" spans="1:10" x14ac:dyDescent="0.25">
      <c r="A172" t="s">
        <v>106</v>
      </c>
      <c r="B172" t="s">
        <v>5</v>
      </c>
      <c r="C172" s="82" t="s">
        <v>666</v>
      </c>
      <c r="D172">
        <v>201508</v>
      </c>
      <c r="E172" s="1">
        <v>42216</v>
      </c>
      <c r="F172" s="1">
        <v>42243</v>
      </c>
      <c r="G172" t="s">
        <v>666</v>
      </c>
      <c r="H172" s="81">
        <v>31324</v>
      </c>
      <c r="I172" t="s">
        <v>6</v>
      </c>
      <c r="J172" s="3">
        <v>1899.46</v>
      </c>
    </row>
    <row r="173" spans="1:10" x14ac:dyDescent="0.25">
      <c r="A173" t="s">
        <v>106</v>
      </c>
      <c r="B173" t="s">
        <v>5</v>
      </c>
      <c r="C173" s="82" t="s">
        <v>666</v>
      </c>
      <c r="D173">
        <v>201509</v>
      </c>
      <c r="E173" s="1">
        <v>42243</v>
      </c>
      <c r="F173" s="1">
        <v>42276</v>
      </c>
      <c r="G173" t="s">
        <v>666</v>
      </c>
      <c r="H173" s="81">
        <v>43297</v>
      </c>
      <c r="I173" t="s">
        <v>6</v>
      </c>
      <c r="J173" s="3">
        <v>2533.08</v>
      </c>
    </row>
    <row r="174" spans="1:10" x14ac:dyDescent="0.25">
      <c r="A174" t="s">
        <v>106</v>
      </c>
      <c r="B174" t="s">
        <v>5</v>
      </c>
      <c r="C174" s="82" t="s">
        <v>666</v>
      </c>
      <c r="D174">
        <v>201510</v>
      </c>
      <c r="E174" s="1">
        <v>42276</v>
      </c>
      <c r="F174" s="1">
        <v>42305</v>
      </c>
      <c r="G174" t="s">
        <v>666</v>
      </c>
      <c r="H174" s="81">
        <v>36695</v>
      </c>
      <c r="I174" t="s">
        <v>6</v>
      </c>
      <c r="J174" s="3">
        <v>2194.17</v>
      </c>
    </row>
    <row r="175" spans="1:10" x14ac:dyDescent="0.25">
      <c r="A175" t="s">
        <v>106</v>
      </c>
      <c r="B175" t="s">
        <v>5</v>
      </c>
      <c r="C175" s="82" t="s">
        <v>666</v>
      </c>
      <c r="D175">
        <v>201511</v>
      </c>
      <c r="E175" s="1">
        <v>42305</v>
      </c>
      <c r="F175" s="1">
        <v>42339</v>
      </c>
      <c r="G175" t="s">
        <v>666</v>
      </c>
      <c r="H175" s="81">
        <v>55009</v>
      </c>
      <c r="I175" t="s">
        <v>6</v>
      </c>
      <c r="J175" s="3">
        <v>3327.22</v>
      </c>
    </row>
    <row r="176" spans="1:10" x14ac:dyDescent="0.25">
      <c r="A176" t="s">
        <v>106</v>
      </c>
      <c r="B176" t="s">
        <v>5</v>
      </c>
      <c r="C176" s="82" t="s">
        <v>666</v>
      </c>
      <c r="D176">
        <v>201512</v>
      </c>
      <c r="E176" s="1">
        <v>42339</v>
      </c>
      <c r="F176" s="1">
        <v>42369</v>
      </c>
      <c r="G176" t="s">
        <v>666</v>
      </c>
      <c r="H176" s="81">
        <v>40156</v>
      </c>
      <c r="I176" t="s">
        <v>6</v>
      </c>
      <c r="J176" s="3">
        <v>2536.75</v>
      </c>
    </row>
    <row r="177" spans="1:10" x14ac:dyDescent="0.25">
      <c r="A177" t="s">
        <v>106</v>
      </c>
      <c r="B177" t="s">
        <v>5</v>
      </c>
      <c r="C177" s="82" t="s">
        <v>666</v>
      </c>
      <c r="D177">
        <v>201601</v>
      </c>
      <c r="E177" s="1">
        <v>42369</v>
      </c>
      <c r="F177" s="1">
        <v>42401</v>
      </c>
      <c r="G177" t="s">
        <v>666</v>
      </c>
      <c r="H177" s="81">
        <v>21543</v>
      </c>
      <c r="I177" t="s">
        <v>6</v>
      </c>
      <c r="J177" s="3">
        <v>1347.66</v>
      </c>
    </row>
    <row r="178" spans="1:10" x14ac:dyDescent="0.25">
      <c r="A178" t="s">
        <v>106</v>
      </c>
      <c r="B178" t="s">
        <v>5</v>
      </c>
      <c r="C178" s="82" t="s">
        <v>666</v>
      </c>
      <c r="D178">
        <v>201602</v>
      </c>
      <c r="E178" s="1">
        <v>42401</v>
      </c>
      <c r="F178" s="1">
        <v>42430</v>
      </c>
      <c r="G178" t="s">
        <v>666</v>
      </c>
      <c r="H178" s="81">
        <v>22847</v>
      </c>
      <c r="I178" t="s">
        <v>6</v>
      </c>
      <c r="J178" s="3">
        <v>1394.32</v>
      </c>
    </row>
    <row r="179" spans="1:10" x14ac:dyDescent="0.25">
      <c r="A179" t="s">
        <v>106</v>
      </c>
      <c r="B179" t="s">
        <v>5</v>
      </c>
      <c r="C179" s="82" t="s">
        <v>666</v>
      </c>
      <c r="D179">
        <v>201603</v>
      </c>
      <c r="E179" s="1">
        <v>42430</v>
      </c>
      <c r="F179" s="1">
        <v>42460</v>
      </c>
      <c r="G179" t="s">
        <v>666</v>
      </c>
      <c r="H179" s="81">
        <v>34626</v>
      </c>
      <c r="I179" t="s">
        <v>6</v>
      </c>
      <c r="J179" s="3">
        <v>2222.94</v>
      </c>
    </row>
    <row r="180" spans="1:10" x14ac:dyDescent="0.25">
      <c r="A180" t="s">
        <v>106</v>
      </c>
      <c r="B180" t="s">
        <v>5</v>
      </c>
      <c r="C180" s="82" t="s">
        <v>666</v>
      </c>
      <c r="D180">
        <v>201604</v>
      </c>
      <c r="E180" s="1">
        <v>42460</v>
      </c>
      <c r="F180" s="1">
        <v>42489</v>
      </c>
      <c r="G180" t="s">
        <v>666</v>
      </c>
      <c r="H180" s="81">
        <v>22818</v>
      </c>
      <c r="I180" t="s">
        <v>6</v>
      </c>
      <c r="J180" s="3">
        <v>1374.78</v>
      </c>
    </row>
    <row r="181" spans="1:10" x14ac:dyDescent="0.25">
      <c r="A181" t="s">
        <v>106</v>
      </c>
      <c r="B181" t="s">
        <v>5</v>
      </c>
      <c r="C181" s="82" t="s">
        <v>666</v>
      </c>
      <c r="D181">
        <v>201605</v>
      </c>
      <c r="E181" s="1">
        <v>42489</v>
      </c>
      <c r="F181" s="1">
        <v>42521</v>
      </c>
      <c r="G181" t="s">
        <v>666</v>
      </c>
      <c r="H181" s="81">
        <v>23370</v>
      </c>
      <c r="I181" t="s">
        <v>6</v>
      </c>
      <c r="J181" s="3">
        <v>1453.59</v>
      </c>
    </row>
    <row r="182" spans="1:10" x14ac:dyDescent="0.25">
      <c r="A182" t="s">
        <v>106</v>
      </c>
      <c r="B182" t="s">
        <v>5</v>
      </c>
      <c r="C182" s="82" t="s">
        <v>666</v>
      </c>
      <c r="D182">
        <v>201606</v>
      </c>
      <c r="E182" s="1">
        <v>42521</v>
      </c>
      <c r="F182" s="1">
        <v>42550</v>
      </c>
      <c r="G182" t="s">
        <v>666</v>
      </c>
      <c r="H182" s="81">
        <v>27600</v>
      </c>
      <c r="I182" t="s">
        <v>6</v>
      </c>
      <c r="J182" s="3">
        <v>1656.89</v>
      </c>
    </row>
    <row r="183" spans="1:10" x14ac:dyDescent="0.25">
      <c r="A183" t="s">
        <v>106</v>
      </c>
      <c r="B183" t="s">
        <v>5</v>
      </c>
      <c r="C183" s="82" t="s">
        <v>667</v>
      </c>
      <c r="D183">
        <v>201507</v>
      </c>
      <c r="E183" s="1">
        <v>42185</v>
      </c>
      <c r="F183" s="1">
        <v>42216</v>
      </c>
      <c r="G183" t="s">
        <v>667</v>
      </c>
      <c r="H183" s="81">
        <v>54808</v>
      </c>
      <c r="I183" t="s">
        <v>6</v>
      </c>
      <c r="J183" s="3">
        <v>3214.93</v>
      </c>
    </row>
    <row r="184" spans="1:10" x14ac:dyDescent="0.25">
      <c r="A184" t="s">
        <v>106</v>
      </c>
      <c r="B184" t="s">
        <v>5</v>
      </c>
      <c r="C184" s="82" t="s">
        <v>667</v>
      </c>
      <c r="D184">
        <v>201508</v>
      </c>
      <c r="E184" s="1">
        <v>42216</v>
      </c>
      <c r="F184" s="1">
        <v>42243</v>
      </c>
      <c r="G184" t="s">
        <v>667</v>
      </c>
      <c r="H184" s="81">
        <v>53106</v>
      </c>
      <c r="I184" t="s">
        <v>6</v>
      </c>
      <c r="J184" s="3">
        <v>3220.3</v>
      </c>
    </row>
    <row r="185" spans="1:10" x14ac:dyDescent="0.25">
      <c r="A185" t="s">
        <v>106</v>
      </c>
      <c r="B185" t="s">
        <v>5</v>
      </c>
      <c r="C185" s="82" t="s">
        <v>667</v>
      </c>
      <c r="D185">
        <v>201509</v>
      </c>
      <c r="E185" s="1">
        <v>42243</v>
      </c>
      <c r="F185" s="1">
        <v>42276</v>
      </c>
      <c r="G185" t="s">
        <v>667</v>
      </c>
      <c r="H185" s="81">
        <v>229405</v>
      </c>
      <c r="I185" t="s">
        <v>6</v>
      </c>
      <c r="J185" s="3">
        <v>13421.3</v>
      </c>
    </row>
    <row r="186" spans="1:10" x14ac:dyDescent="0.25">
      <c r="A186" t="s">
        <v>106</v>
      </c>
      <c r="B186" t="s">
        <v>5</v>
      </c>
      <c r="C186" s="82" t="s">
        <v>667</v>
      </c>
      <c r="D186">
        <v>201510</v>
      </c>
      <c r="E186" s="1">
        <v>42276</v>
      </c>
      <c r="F186" s="1">
        <v>42305</v>
      </c>
      <c r="G186" t="s">
        <v>667</v>
      </c>
      <c r="H186" s="81">
        <v>276118</v>
      </c>
      <c r="I186" t="s">
        <v>6</v>
      </c>
      <c r="J186" s="3">
        <v>16510.45</v>
      </c>
    </row>
    <row r="187" spans="1:10" x14ac:dyDescent="0.25">
      <c r="A187" t="s">
        <v>106</v>
      </c>
      <c r="B187" t="s">
        <v>5</v>
      </c>
      <c r="C187" s="82" t="s">
        <v>667</v>
      </c>
      <c r="D187">
        <v>201511</v>
      </c>
      <c r="E187" s="1">
        <v>42305</v>
      </c>
      <c r="F187" s="1">
        <v>42339</v>
      </c>
      <c r="G187" t="s">
        <v>667</v>
      </c>
      <c r="H187" s="81">
        <v>333970</v>
      </c>
      <c r="I187" t="s">
        <v>6</v>
      </c>
      <c r="J187" s="3">
        <v>20200.2</v>
      </c>
    </row>
    <row r="188" spans="1:10" x14ac:dyDescent="0.25">
      <c r="A188" t="s">
        <v>106</v>
      </c>
      <c r="B188" t="s">
        <v>5</v>
      </c>
      <c r="C188" s="82" t="s">
        <v>667</v>
      </c>
      <c r="D188">
        <v>201512</v>
      </c>
      <c r="E188" s="1">
        <v>42339</v>
      </c>
      <c r="F188" s="1">
        <v>42369</v>
      </c>
      <c r="G188" t="s">
        <v>667</v>
      </c>
      <c r="H188" s="81">
        <v>212953</v>
      </c>
      <c r="I188" t="s">
        <v>6</v>
      </c>
      <c r="J188" s="3">
        <v>13452.73</v>
      </c>
    </row>
    <row r="189" spans="1:10" x14ac:dyDescent="0.25">
      <c r="A189" t="s">
        <v>106</v>
      </c>
      <c r="B189" t="s">
        <v>5</v>
      </c>
      <c r="C189" s="82" t="s">
        <v>667</v>
      </c>
      <c r="D189">
        <v>201601</v>
      </c>
      <c r="E189" s="1">
        <v>42369</v>
      </c>
      <c r="F189" s="1">
        <v>42401</v>
      </c>
      <c r="G189" t="s">
        <v>667</v>
      </c>
      <c r="H189" s="81">
        <v>122277</v>
      </c>
      <c r="I189" t="s">
        <v>6</v>
      </c>
      <c r="J189" s="3">
        <v>7649.27</v>
      </c>
    </row>
    <row r="190" spans="1:10" x14ac:dyDescent="0.25">
      <c r="A190" t="s">
        <v>106</v>
      </c>
      <c r="B190" t="s">
        <v>5</v>
      </c>
      <c r="C190" s="82" t="s">
        <v>667</v>
      </c>
      <c r="D190">
        <v>201602</v>
      </c>
      <c r="E190" s="1">
        <v>42401</v>
      </c>
      <c r="F190" s="1">
        <v>42430</v>
      </c>
      <c r="G190" t="s">
        <v>667</v>
      </c>
      <c r="H190" s="81">
        <v>178397</v>
      </c>
      <c r="I190" t="s">
        <v>6</v>
      </c>
      <c r="J190" s="3">
        <v>10887.33</v>
      </c>
    </row>
    <row r="191" spans="1:10" x14ac:dyDescent="0.25">
      <c r="A191" t="s">
        <v>106</v>
      </c>
      <c r="B191" t="s">
        <v>5</v>
      </c>
      <c r="C191" s="82" t="s">
        <v>667</v>
      </c>
      <c r="D191">
        <v>201603</v>
      </c>
      <c r="E191" s="1">
        <v>42430</v>
      </c>
      <c r="F191" s="1">
        <v>42460</v>
      </c>
      <c r="G191" t="s">
        <v>667</v>
      </c>
      <c r="H191" s="81">
        <v>262832</v>
      </c>
      <c r="I191" t="s">
        <v>6</v>
      </c>
      <c r="J191" s="3">
        <v>16873.419999999998</v>
      </c>
    </row>
    <row r="192" spans="1:10" x14ac:dyDescent="0.25">
      <c r="A192" t="s">
        <v>106</v>
      </c>
      <c r="B192" t="s">
        <v>5</v>
      </c>
      <c r="C192" s="82" t="s">
        <v>667</v>
      </c>
      <c r="D192">
        <v>201604</v>
      </c>
      <c r="E192" s="1">
        <v>42460</v>
      </c>
      <c r="F192" s="1">
        <v>42489</v>
      </c>
      <c r="G192" t="s">
        <v>667</v>
      </c>
      <c r="H192" s="81">
        <v>263606</v>
      </c>
      <c r="I192" t="s">
        <v>6</v>
      </c>
      <c r="J192" s="3">
        <v>15882.25</v>
      </c>
    </row>
    <row r="193" spans="1:10" x14ac:dyDescent="0.25">
      <c r="A193" t="s">
        <v>106</v>
      </c>
      <c r="B193" t="s">
        <v>5</v>
      </c>
      <c r="C193" s="82" t="s">
        <v>667</v>
      </c>
      <c r="D193">
        <v>201605</v>
      </c>
      <c r="E193" s="1">
        <v>42489</v>
      </c>
      <c r="F193" s="1">
        <v>42521</v>
      </c>
      <c r="G193" t="s">
        <v>667</v>
      </c>
      <c r="H193" s="81">
        <v>175433</v>
      </c>
      <c r="I193" t="s">
        <v>6</v>
      </c>
      <c r="J193" s="3">
        <v>10911.77</v>
      </c>
    </row>
    <row r="194" spans="1:10" x14ac:dyDescent="0.25">
      <c r="A194" t="s">
        <v>106</v>
      </c>
      <c r="B194" t="s">
        <v>5</v>
      </c>
      <c r="C194" s="82" t="s">
        <v>667</v>
      </c>
      <c r="D194">
        <v>201606</v>
      </c>
      <c r="E194" s="1">
        <v>42521</v>
      </c>
      <c r="F194" s="1">
        <v>42550</v>
      </c>
      <c r="G194" t="s">
        <v>667</v>
      </c>
      <c r="H194" s="81">
        <v>221615</v>
      </c>
      <c r="I194" t="s">
        <v>6</v>
      </c>
      <c r="J194" s="3">
        <v>13304.01</v>
      </c>
    </row>
    <row r="195" spans="1:10" x14ac:dyDescent="0.25">
      <c r="A195" t="s">
        <v>657</v>
      </c>
      <c r="B195" t="s">
        <v>5</v>
      </c>
      <c r="C195" s="82" t="s">
        <v>658</v>
      </c>
      <c r="D195">
        <v>201507</v>
      </c>
      <c r="E195" s="1">
        <v>42185</v>
      </c>
      <c r="F195" s="1">
        <v>42216</v>
      </c>
      <c r="G195" t="s">
        <v>659</v>
      </c>
      <c r="H195" s="81">
        <v>9428</v>
      </c>
      <c r="I195" t="s">
        <v>6</v>
      </c>
      <c r="J195" s="3">
        <v>553.03</v>
      </c>
    </row>
    <row r="196" spans="1:10" x14ac:dyDescent="0.25">
      <c r="A196" t="s">
        <v>657</v>
      </c>
      <c r="B196" t="s">
        <v>5</v>
      </c>
      <c r="C196" s="82" t="s">
        <v>658</v>
      </c>
      <c r="D196">
        <v>201508</v>
      </c>
      <c r="E196" s="1">
        <v>42216</v>
      </c>
      <c r="F196" s="1">
        <v>42243</v>
      </c>
      <c r="G196" t="s">
        <v>659</v>
      </c>
      <c r="H196" s="81">
        <v>5163</v>
      </c>
      <c r="I196" t="s">
        <v>6</v>
      </c>
      <c r="J196" s="3">
        <v>313.08</v>
      </c>
    </row>
    <row r="197" spans="1:10" x14ac:dyDescent="0.25">
      <c r="A197" t="s">
        <v>657</v>
      </c>
      <c r="B197" t="s">
        <v>5</v>
      </c>
      <c r="C197" s="82" t="s">
        <v>658</v>
      </c>
      <c r="D197">
        <v>201509</v>
      </c>
      <c r="E197" s="1">
        <v>42243</v>
      </c>
      <c r="F197" s="1">
        <v>42276</v>
      </c>
      <c r="G197" t="s">
        <v>659</v>
      </c>
      <c r="H197" s="81">
        <v>12453</v>
      </c>
      <c r="I197" t="s">
        <v>6</v>
      </c>
      <c r="J197" s="3">
        <v>728.56</v>
      </c>
    </row>
    <row r="198" spans="1:10" x14ac:dyDescent="0.25">
      <c r="A198" t="s">
        <v>657</v>
      </c>
      <c r="B198" t="s">
        <v>5</v>
      </c>
      <c r="C198" s="82" t="s">
        <v>658</v>
      </c>
      <c r="D198">
        <v>201510</v>
      </c>
      <c r="E198" s="1">
        <v>42276</v>
      </c>
      <c r="F198" s="1">
        <v>42305</v>
      </c>
      <c r="G198" t="s">
        <v>659</v>
      </c>
      <c r="H198" s="81">
        <v>10559</v>
      </c>
      <c r="I198" t="s">
        <v>6</v>
      </c>
      <c r="J198" s="3">
        <v>631.37</v>
      </c>
    </row>
    <row r="199" spans="1:10" x14ac:dyDescent="0.25">
      <c r="A199" t="s">
        <v>657</v>
      </c>
      <c r="B199" t="s">
        <v>5</v>
      </c>
      <c r="C199" s="82" t="s">
        <v>658</v>
      </c>
      <c r="D199">
        <v>201511</v>
      </c>
      <c r="E199" s="1">
        <v>42305</v>
      </c>
      <c r="F199" s="1">
        <v>42339</v>
      </c>
      <c r="G199" t="s">
        <v>659</v>
      </c>
      <c r="H199" s="81">
        <v>15856</v>
      </c>
      <c r="I199" t="s">
        <v>6</v>
      </c>
      <c r="J199" s="3">
        <v>959.05</v>
      </c>
    </row>
    <row r="200" spans="1:10" x14ac:dyDescent="0.25">
      <c r="A200" t="s">
        <v>657</v>
      </c>
      <c r="B200" t="s">
        <v>5</v>
      </c>
      <c r="C200" s="82" t="s">
        <v>658</v>
      </c>
      <c r="D200">
        <v>201512</v>
      </c>
      <c r="E200" s="1">
        <v>42339</v>
      </c>
      <c r="F200" s="1">
        <v>42369</v>
      </c>
      <c r="G200" t="s">
        <v>659</v>
      </c>
      <c r="H200" s="81">
        <v>8767</v>
      </c>
      <c r="I200" t="s">
        <v>6</v>
      </c>
      <c r="J200" s="3">
        <v>553.83000000000004</v>
      </c>
    </row>
    <row r="201" spans="1:10" x14ac:dyDescent="0.25">
      <c r="A201" t="s">
        <v>657</v>
      </c>
      <c r="B201" t="s">
        <v>5</v>
      </c>
      <c r="C201" s="82" t="s">
        <v>658</v>
      </c>
      <c r="D201">
        <v>201601</v>
      </c>
      <c r="E201" s="1">
        <v>42369</v>
      </c>
      <c r="F201" s="1">
        <v>42401</v>
      </c>
      <c r="G201" t="s">
        <v>659</v>
      </c>
      <c r="H201" s="81">
        <v>10717</v>
      </c>
      <c r="I201" t="s">
        <v>6</v>
      </c>
      <c r="J201" s="3">
        <v>670.42</v>
      </c>
    </row>
    <row r="202" spans="1:10" x14ac:dyDescent="0.25">
      <c r="A202" t="s">
        <v>657</v>
      </c>
      <c r="B202" t="s">
        <v>5</v>
      </c>
      <c r="C202" s="82" t="s">
        <v>658</v>
      </c>
      <c r="D202">
        <v>201602</v>
      </c>
      <c r="E202" s="1">
        <v>42401</v>
      </c>
      <c r="F202" s="1">
        <v>42430</v>
      </c>
      <c r="G202" t="s">
        <v>659</v>
      </c>
      <c r="H202" s="81">
        <v>10668</v>
      </c>
      <c r="I202" t="s">
        <v>6</v>
      </c>
      <c r="J202" s="3">
        <v>651.04999999999995</v>
      </c>
    </row>
    <row r="203" spans="1:10" x14ac:dyDescent="0.25">
      <c r="A203" t="s">
        <v>657</v>
      </c>
      <c r="B203" t="s">
        <v>5</v>
      </c>
      <c r="C203" s="82" t="s">
        <v>658</v>
      </c>
      <c r="D203">
        <v>201603</v>
      </c>
      <c r="E203" s="1">
        <v>42430</v>
      </c>
      <c r="F203" s="1">
        <v>42460</v>
      </c>
      <c r="G203" t="s">
        <v>659</v>
      </c>
      <c r="H203" s="81">
        <v>10435</v>
      </c>
      <c r="I203" t="s">
        <v>6</v>
      </c>
      <c r="J203" s="3">
        <v>669.91</v>
      </c>
    </row>
    <row r="204" spans="1:10" x14ac:dyDescent="0.25">
      <c r="A204" t="s">
        <v>657</v>
      </c>
      <c r="B204" t="s">
        <v>5</v>
      </c>
      <c r="C204" s="82" t="s">
        <v>658</v>
      </c>
      <c r="D204">
        <v>201604</v>
      </c>
      <c r="E204" s="1">
        <v>42460</v>
      </c>
      <c r="F204" s="1">
        <v>42489</v>
      </c>
      <c r="G204" t="s">
        <v>659</v>
      </c>
      <c r="H204" s="81">
        <v>9819</v>
      </c>
      <c r="I204" t="s">
        <v>6</v>
      </c>
      <c r="J204" s="3">
        <v>591.59</v>
      </c>
    </row>
    <row r="205" spans="1:10" x14ac:dyDescent="0.25">
      <c r="A205" t="s">
        <v>657</v>
      </c>
      <c r="B205" t="s">
        <v>5</v>
      </c>
      <c r="C205" s="82" t="s">
        <v>658</v>
      </c>
      <c r="D205">
        <v>201605</v>
      </c>
      <c r="E205" s="1">
        <v>42489</v>
      </c>
      <c r="F205" s="1">
        <v>42521</v>
      </c>
      <c r="G205" t="s">
        <v>659</v>
      </c>
      <c r="H205" s="81">
        <v>10353</v>
      </c>
      <c r="I205" t="s">
        <v>6</v>
      </c>
      <c r="J205" s="3">
        <v>643.95000000000005</v>
      </c>
    </row>
    <row r="206" spans="1:10" x14ac:dyDescent="0.25">
      <c r="A206" t="s">
        <v>657</v>
      </c>
      <c r="B206" t="s">
        <v>5</v>
      </c>
      <c r="C206" s="82" t="s">
        <v>658</v>
      </c>
      <c r="D206">
        <v>201606</v>
      </c>
      <c r="E206" s="1">
        <v>42521</v>
      </c>
      <c r="F206" s="1">
        <v>42550</v>
      </c>
      <c r="G206" t="s">
        <v>659</v>
      </c>
      <c r="H206" s="81">
        <v>10085</v>
      </c>
      <c r="I206" t="s">
        <v>6</v>
      </c>
      <c r="J206" s="3">
        <v>605.41999999999996</v>
      </c>
    </row>
    <row r="207" spans="1:10" x14ac:dyDescent="0.25">
      <c r="A207" t="s">
        <v>508</v>
      </c>
      <c r="B207" t="s">
        <v>5</v>
      </c>
      <c r="C207" s="82" t="s">
        <v>509</v>
      </c>
      <c r="D207">
        <v>201507</v>
      </c>
      <c r="E207" s="1">
        <v>42185</v>
      </c>
      <c r="F207" s="1">
        <v>42216</v>
      </c>
      <c r="G207" t="s">
        <v>510</v>
      </c>
      <c r="H207" s="81">
        <v>16737</v>
      </c>
      <c r="I207" t="s">
        <v>6</v>
      </c>
      <c r="J207" s="3">
        <v>981.76</v>
      </c>
    </row>
    <row r="208" spans="1:10" x14ac:dyDescent="0.25">
      <c r="A208" t="s">
        <v>508</v>
      </c>
      <c r="B208" t="s">
        <v>5</v>
      </c>
      <c r="C208" s="82" t="s">
        <v>509</v>
      </c>
      <c r="D208">
        <v>201508</v>
      </c>
      <c r="E208" s="1">
        <v>42216</v>
      </c>
      <c r="F208" s="1">
        <v>42243</v>
      </c>
      <c r="G208" t="s">
        <v>510</v>
      </c>
      <c r="H208" s="81">
        <v>14532</v>
      </c>
      <c r="I208" t="s">
        <v>6</v>
      </c>
      <c r="J208" s="3">
        <v>881.21</v>
      </c>
    </row>
    <row r="209" spans="1:10" x14ac:dyDescent="0.25">
      <c r="A209" t="s">
        <v>508</v>
      </c>
      <c r="B209" t="s">
        <v>5</v>
      </c>
      <c r="C209" s="82" t="s">
        <v>509</v>
      </c>
      <c r="D209">
        <v>201509</v>
      </c>
      <c r="E209" s="1">
        <v>42243</v>
      </c>
      <c r="F209" s="1">
        <v>42276</v>
      </c>
      <c r="G209" t="s">
        <v>510</v>
      </c>
      <c r="H209" s="81">
        <v>27276</v>
      </c>
      <c r="I209" t="s">
        <v>6</v>
      </c>
      <c r="J209" s="3">
        <v>1595.78</v>
      </c>
    </row>
    <row r="210" spans="1:10" x14ac:dyDescent="0.25">
      <c r="A210" t="s">
        <v>508</v>
      </c>
      <c r="B210" t="s">
        <v>5</v>
      </c>
      <c r="C210" s="82" t="s">
        <v>509</v>
      </c>
      <c r="D210">
        <v>201510</v>
      </c>
      <c r="E210" s="1">
        <v>42276</v>
      </c>
      <c r="F210" s="1">
        <v>42305</v>
      </c>
      <c r="G210" t="s">
        <v>510</v>
      </c>
      <c r="H210" s="81">
        <v>17463</v>
      </c>
      <c r="I210" t="s">
        <v>6</v>
      </c>
      <c r="J210" s="3">
        <v>1044.2</v>
      </c>
    </row>
    <row r="211" spans="1:10" x14ac:dyDescent="0.25">
      <c r="A211" t="s">
        <v>508</v>
      </c>
      <c r="B211" t="s">
        <v>5</v>
      </c>
      <c r="C211" s="82" t="s">
        <v>509</v>
      </c>
      <c r="D211">
        <v>201511</v>
      </c>
      <c r="E211" s="1">
        <v>42305</v>
      </c>
      <c r="F211" s="1">
        <v>42339</v>
      </c>
      <c r="G211" t="s">
        <v>510</v>
      </c>
      <c r="H211" s="81">
        <v>34786</v>
      </c>
      <c r="I211" t="s">
        <v>6</v>
      </c>
      <c r="J211" s="3">
        <v>2104.0300000000002</v>
      </c>
    </row>
    <row r="212" spans="1:10" x14ac:dyDescent="0.25">
      <c r="A212" t="s">
        <v>508</v>
      </c>
      <c r="B212" t="s">
        <v>5</v>
      </c>
      <c r="C212" s="82" t="s">
        <v>509</v>
      </c>
      <c r="D212">
        <v>201512</v>
      </c>
      <c r="E212" s="1">
        <v>42339</v>
      </c>
      <c r="F212" s="1">
        <v>42369</v>
      </c>
      <c r="G212" t="s">
        <v>510</v>
      </c>
      <c r="H212" s="81">
        <v>24703</v>
      </c>
      <c r="I212" t="s">
        <v>6</v>
      </c>
      <c r="J212" s="3">
        <v>1560.55</v>
      </c>
    </row>
    <row r="213" spans="1:10" x14ac:dyDescent="0.25">
      <c r="A213" t="s">
        <v>508</v>
      </c>
      <c r="B213" t="s">
        <v>5</v>
      </c>
      <c r="C213" s="82" t="s">
        <v>509</v>
      </c>
      <c r="D213">
        <v>201601</v>
      </c>
      <c r="E213" s="1">
        <v>42369</v>
      </c>
      <c r="F213" s="1">
        <v>42401</v>
      </c>
      <c r="G213" t="s">
        <v>510</v>
      </c>
      <c r="H213" s="81">
        <v>27086</v>
      </c>
      <c r="I213" t="s">
        <v>6</v>
      </c>
      <c r="J213" s="3">
        <v>1694.42</v>
      </c>
    </row>
    <row r="214" spans="1:10" x14ac:dyDescent="0.25">
      <c r="A214" t="s">
        <v>508</v>
      </c>
      <c r="B214" t="s">
        <v>5</v>
      </c>
      <c r="C214" s="82" t="s">
        <v>509</v>
      </c>
      <c r="D214">
        <v>201602</v>
      </c>
      <c r="E214" s="1">
        <v>42401</v>
      </c>
      <c r="F214" s="1">
        <v>42430</v>
      </c>
      <c r="G214" t="s">
        <v>510</v>
      </c>
      <c r="H214" s="81">
        <v>26687</v>
      </c>
      <c r="I214" t="s">
        <v>6</v>
      </c>
      <c r="J214" s="3">
        <v>1628.67</v>
      </c>
    </row>
    <row r="215" spans="1:10" x14ac:dyDescent="0.25">
      <c r="A215" t="s">
        <v>508</v>
      </c>
      <c r="B215" t="s">
        <v>5</v>
      </c>
      <c r="C215" s="82" t="s">
        <v>509</v>
      </c>
      <c r="D215">
        <v>201603</v>
      </c>
      <c r="E215" s="1">
        <v>42430</v>
      </c>
      <c r="F215" s="1">
        <v>42460</v>
      </c>
      <c r="G215" t="s">
        <v>510</v>
      </c>
      <c r="H215" s="81">
        <v>26367</v>
      </c>
      <c r="I215" t="s">
        <v>6</v>
      </c>
      <c r="J215" s="3">
        <v>1692.72</v>
      </c>
    </row>
    <row r="216" spans="1:10" x14ac:dyDescent="0.25">
      <c r="A216" t="s">
        <v>508</v>
      </c>
      <c r="B216" t="s">
        <v>5</v>
      </c>
      <c r="C216" s="82" t="s">
        <v>509</v>
      </c>
      <c r="D216">
        <v>201604</v>
      </c>
      <c r="E216" s="1">
        <v>42460</v>
      </c>
      <c r="F216" s="1">
        <v>42489</v>
      </c>
      <c r="G216" t="s">
        <v>510</v>
      </c>
      <c r="H216" s="81">
        <v>27662</v>
      </c>
      <c r="I216" t="s">
        <v>6</v>
      </c>
      <c r="J216" s="3">
        <v>1666.63</v>
      </c>
    </row>
    <row r="217" spans="1:10" x14ac:dyDescent="0.25">
      <c r="A217" t="s">
        <v>508</v>
      </c>
      <c r="B217" t="s">
        <v>5</v>
      </c>
      <c r="C217" s="82" t="s">
        <v>509</v>
      </c>
      <c r="D217">
        <v>201605</v>
      </c>
      <c r="E217" s="1">
        <v>42489</v>
      </c>
      <c r="F217" s="1">
        <v>42521</v>
      </c>
      <c r="G217" t="s">
        <v>510</v>
      </c>
      <c r="H217" s="81">
        <v>27450</v>
      </c>
      <c r="I217" t="s">
        <v>6</v>
      </c>
      <c r="J217" s="3">
        <v>1707.36</v>
      </c>
    </row>
    <row r="218" spans="1:10" x14ac:dyDescent="0.25">
      <c r="A218" t="s">
        <v>508</v>
      </c>
      <c r="B218" t="s">
        <v>5</v>
      </c>
      <c r="C218" s="82" t="s">
        <v>509</v>
      </c>
      <c r="D218">
        <v>201606</v>
      </c>
      <c r="E218" s="1">
        <v>42521</v>
      </c>
      <c r="F218" s="1">
        <v>42550</v>
      </c>
      <c r="G218" t="s">
        <v>510</v>
      </c>
      <c r="H218" s="81">
        <v>23702</v>
      </c>
      <c r="I218" t="s">
        <v>6</v>
      </c>
      <c r="J218" s="3">
        <v>1422.88</v>
      </c>
    </row>
    <row r="219" spans="1:10" x14ac:dyDescent="0.25">
      <c r="A219" t="s">
        <v>511</v>
      </c>
      <c r="B219" t="s">
        <v>5</v>
      </c>
      <c r="C219" s="82" t="s">
        <v>512</v>
      </c>
      <c r="D219">
        <v>201507</v>
      </c>
      <c r="E219" s="1">
        <v>42185</v>
      </c>
      <c r="F219" s="1">
        <v>42216</v>
      </c>
      <c r="G219" t="s">
        <v>513</v>
      </c>
      <c r="H219" s="81">
        <v>116188</v>
      </c>
      <c r="I219" t="s">
        <v>6</v>
      </c>
      <c r="J219" s="3">
        <v>6815.36</v>
      </c>
    </row>
    <row r="220" spans="1:10" x14ac:dyDescent="0.25">
      <c r="A220" t="s">
        <v>511</v>
      </c>
      <c r="B220" t="s">
        <v>5</v>
      </c>
      <c r="C220" s="82" t="s">
        <v>512</v>
      </c>
      <c r="D220">
        <v>201508</v>
      </c>
      <c r="E220" s="1">
        <v>42216</v>
      </c>
      <c r="F220" s="1">
        <v>42243</v>
      </c>
      <c r="G220" t="s">
        <v>513</v>
      </c>
      <c r="H220" s="81">
        <v>104070</v>
      </c>
      <c r="I220" t="s">
        <v>6</v>
      </c>
      <c r="J220" s="3">
        <v>6310.72</v>
      </c>
    </row>
    <row r="221" spans="1:10" x14ac:dyDescent="0.25">
      <c r="A221" t="s">
        <v>511</v>
      </c>
      <c r="B221" t="s">
        <v>5</v>
      </c>
      <c r="C221" s="82" t="s">
        <v>512</v>
      </c>
      <c r="D221">
        <v>201509</v>
      </c>
      <c r="E221" s="1">
        <v>42243</v>
      </c>
      <c r="F221" s="1">
        <v>42276</v>
      </c>
      <c r="G221" t="s">
        <v>513</v>
      </c>
      <c r="H221" s="81">
        <v>142245</v>
      </c>
      <c r="I221" t="s">
        <v>6</v>
      </c>
      <c r="J221" s="3">
        <v>8322.02</v>
      </c>
    </row>
    <row r="222" spans="1:10" x14ac:dyDescent="0.25">
      <c r="A222" t="s">
        <v>511</v>
      </c>
      <c r="B222" t="s">
        <v>5</v>
      </c>
      <c r="C222" s="82" t="s">
        <v>512</v>
      </c>
      <c r="D222">
        <v>201510</v>
      </c>
      <c r="E222" s="1">
        <v>42276</v>
      </c>
      <c r="F222" s="1">
        <v>42305</v>
      </c>
      <c r="G222" t="s">
        <v>513</v>
      </c>
      <c r="H222" s="81">
        <v>124243</v>
      </c>
      <c r="I222" t="s">
        <v>6</v>
      </c>
      <c r="J222" s="3">
        <v>7429.1</v>
      </c>
    </row>
    <row r="223" spans="1:10" x14ac:dyDescent="0.25">
      <c r="A223" t="s">
        <v>511</v>
      </c>
      <c r="B223" t="s">
        <v>5</v>
      </c>
      <c r="C223" s="82" t="s">
        <v>512</v>
      </c>
      <c r="D223">
        <v>201511</v>
      </c>
      <c r="E223" s="1">
        <v>42305</v>
      </c>
      <c r="F223" s="1">
        <v>42339</v>
      </c>
      <c r="G223" t="s">
        <v>513</v>
      </c>
      <c r="H223" s="81">
        <v>138026</v>
      </c>
      <c r="I223" t="s">
        <v>6</v>
      </c>
      <c r="J223" s="3">
        <v>8348.51</v>
      </c>
    </row>
    <row r="224" spans="1:10" x14ac:dyDescent="0.25">
      <c r="A224" t="s">
        <v>511</v>
      </c>
      <c r="B224" t="s">
        <v>5</v>
      </c>
      <c r="C224" s="82" t="s">
        <v>512</v>
      </c>
      <c r="D224">
        <v>201512</v>
      </c>
      <c r="E224" s="1">
        <v>42339</v>
      </c>
      <c r="F224" s="1">
        <v>42369</v>
      </c>
      <c r="G224" t="s">
        <v>513</v>
      </c>
      <c r="H224" s="81">
        <v>113178</v>
      </c>
      <c r="I224" t="s">
        <v>6</v>
      </c>
      <c r="J224" s="3">
        <v>7149.71</v>
      </c>
    </row>
    <row r="225" spans="1:10" x14ac:dyDescent="0.25">
      <c r="A225" t="s">
        <v>511</v>
      </c>
      <c r="B225" t="s">
        <v>5</v>
      </c>
      <c r="C225" s="82" t="s">
        <v>512</v>
      </c>
      <c r="D225">
        <v>201601</v>
      </c>
      <c r="E225" s="1">
        <v>42369</v>
      </c>
      <c r="F225" s="1">
        <v>42401</v>
      </c>
      <c r="G225" t="s">
        <v>513</v>
      </c>
      <c r="H225" s="81">
        <v>117251</v>
      </c>
      <c r="I225" t="s">
        <v>6</v>
      </c>
      <c r="J225" s="3">
        <v>7334.86</v>
      </c>
    </row>
    <row r="226" spans="1:10" x14ac:dyDescent="0.25">
      <c r="A226" t="s">
        <v>511</v>
      </c>
      <c r="B226" t="s">
        <v>5</v>
      </c>
      <c r="C226" s="82" t="s">
        <v>512</v>
      </c>
      <c r="D226">
        <v>201602</v>
      </c>
      <c r="E226" s="1">
        <v>42401</v>
      </c>
      <c r="F226" s="1">
        <v>42430</v>
      </c>
      <c r="G226" t="s">
        <v>513</v>
      </c>
      <c r="H226" s="81">
        <v>116179</v>
      </c>
      <c r="I226" t="s">
        <v>6</v>
      </c>
      <c r="J226" s="3">
        <v>7090.25</v>
      </c>
    </row>
    <row r="227" spans="1:10" x14ac:dyDescent="0.25">
      <c r="A227" t="s">
        <v>511</v>
      </c>
      <c r="B227" t="s">
        <v>5</v>
      </c>
      <c r="C227" s="82" t="s">
        <v>512</v>
      </c>
      <c r="D227">
        <v>201603</v>
      </c>
      <c r="E227" s="1">
        <v>42430</v>
      </c>
      <c r="F227" s="1">
        <v>42460</v>
      </c>
      <c r="G227" t="s">
        <v>513</v>
      </c>
      <c r="H227" s="81">
        <v>117932</v>
      </c>
      <c r="I227" t="s">
        <v>6</v>
      </c>
      <c r="J227" s="3">
        <v>7571.06</v>
      </c>
    </row>
    <row r="228" spans="1:10" x14ac:dyDescent="0.25">
      <c r="A228" t="s">
        <v>511</v>
      </c>
      <c r="B228" t="s">
        <v>5</v>
      </c>
      <c r="C228" s="82" t="s">
        <v>512</v>
      </c>
      <c r="D228">
        <v>201604</v>
      </c>
      <c r="E228" s="1">
        <v>42460</v>
      </c>
      <c r="F228" s="1">
        <v>42489</v>
      </c>
      <c r="G228" t="s">
        <v>513</v>
      </c>
      <c r="H228" s="81">
        <v>118504</v>
      </c>
      <c r="I228" t="s">
        <v>6</v>
      </c>
      <c r="J228" s="3">
        <v>7139.86</v>
      </c>
    </row>
    <row r="229" spans="1:10" x14ac:dyDescent="0.25">
      <c r="A229" t="s">
        <v>511</v>
      </c>
      <c r="B229" t="s">
        <v>5</v>
      </c>
      <c r="C229" s="82" t="s">
        <v>512</v>
      </c>
      <c r="D229">
        <v>201605</v>
      </c>
      <c r="E229" s="1">
        <v>42489</v>
      </c>
      <c r="F229" s="1">
        <v>42521</v>
      </c>
      <c r="G229" t="s">
        <v>513</v>
      </c>
      <c r="H229" s="81">
        <v>121514</v>
      </c>
      <c r="I229" t="s">
        <v>6</v>
      </c>
      <c r="J229" s="3">
        <v>7558.06</v>
      </c>
    </row>
    <row r="230" spans="1:10" x14ac:dyDescent="0.25">
      <c r="A230" t="s">
        <v>511</v>
      </c>
      <c r="B230" t="s">
        <v>5</v>
      </c>
      <c r="C230" s="82" t="s">
        <v>512</v>
      </c>
      <c r="D230">
        <v>201606</v>
      </c>
      <c r="E230" s="1">
        <v>42521</v>
      </c>
      <c r="F230" s="1">
        <v>42550</v>
      </c>
      <c r="G230" t="s">
        <v>513</v>
      </c>
      <c r="H230" s="81">
        <v>110636</v>
      </c>
      <c r="I230" t="s">
        <v>6</v>
      </c>
      <c r="J230" s="3">
        <v>6641.71</v>
      </c>
    </row>
    <row r="231" spans="1:10" x14ac:dyDescent="0.25">
      <c r="A231" t="s">
        <v>88</v>
      </c>
      <c r="B231" t="s">
        <v>5</v>
      </c>
      <c r="C231" s="82" t="s">
        <v>731</v>
      </c>
      <c r="D231">
        <v>201507</v>
      </c>
      <c r="E231" s="1">
        <v>42185</v>
      </c>
      <c r="F231" s="1">
        <v>42216</v>
      </c>
      <c r="G231" t="s">
        <v>731</v>
      </c>
      <c r="H231" s="81">
        <v>156267</v>
      </c>
      <c r="I231" t="s">
        <v>6</v>
      </c>
      <c r="J231" s="3">
        <v>9451.82</v>
      </c>
    </row>
    <row r="232" spans="1:10" x14ac:dyDescent="0.25">
      <c r="A232" t="s">
        <v>88</v>
      </c>
      <c r="B232" t="s">
        <v>5</v>
      </c>
      <c r="C232" s="82" t="s">
        <v>731</v>
      </c>
      <c r="D232">
        <v>201508</v>
      </c>
      <c r="E232" s="1">
        <v>42216</v>
      </c>
      <c r="F232" s="1">
        <v>42243</v>
      </c>
      <c r="G232" t="s">
        <v>731</v>
      </c>
      <c r="H232" s="81">
        <v>67608</v>
      </c>
      <c r="I232" t="s">
        <v>6</v>
      </c>
      <c r="J232" s="3">
        <v>4089.27</v>
      </c>
    </row>
    <row r="233" spans="1:10" x14ac:dyDescent="0.25">
      <c r="A233" t="s">
        <v>88</v>
      </c>
      <c r="B233" t="s">
        <v>5</v>
      </c>
      <c r="C233" s="82" t="s">
        <v>731</v>
      </c>
      <c r="D233">
        <v>201509</v>
      </c>
      <c r="E233" s="1">
        <v>42243</v>
      </c>
      <c r="F233" s="1">
        <v>42276</v>
      </c>
      <c r="G233" t="s">
        <v>731</v>
      </c>
      <c r="H233" s="81">
        <v>212745</v>
      </c>
      <c r="I233" t="s">
        <v>6</v>
      </c>
      <c r="J233" s="3">
        <v>12867.89</v>
      </c>
    </row>
    <row r="234" spans="1:10" x14ac:dyDescent="0.25">
      <c r="A234" t="s">
        <v>88</v>
      </c>
      <c r="B234" t="s">
        <v>5</v>
      </c>
      <c r="C234" s="82" t="s">
        <v>731</v>
      </c>
      <c r="D234">
        <v>201510</v>
      </c>
      <c r="E234" s="1">
        <v>42276</v>
      </c>
      <c r="F234" s="1">
        <v>42305</v>
      </c>
      <c r="G234" t="s">
        <v>731</v>
      </c>
      <c r="H234" s="81">
        <v>122737</v>
      </c>
      <c r="I234" t="s">
        <v>6</v>
      </c>
      <c r="J234" s="3">
        <v>7423.75</v>
      </c>
    </row>
    <row r="235" spans="1:10" x14ac:dyDescent="0.25">
      <c r="A235" t="s">
        <v>88</v>
      </c>
      <c r="B235" t="s">
        <v>5</v>
      </c>
      <c r="C235" s="82" t="s">
        <v>731</v>
      </c>
      <c r="D235">
        <v>201511</v>
      </c>
      <c r="E235" s="1">
        <v>42305</v>
      </c>
      <c r="F235" s="1">
        <v>42339</v>
      </c>
      <c r="G235" t="s">
        <v>731</v>
      </c>
      <c r="H235" s="81">
        <v>214411</v>
      </c>
      <c r="I235" t="s">
        <v>6</v>
      </c>
      <c r="J235" s="3">
        <v>12968.66</v>
      </c>
    </row>
    <row r="236" spans="1:10" x14ac:dyDescent="0.25">
      <c r="A236" t="s">
        <v>88</v>
      </c>
      <c r="B236" t="s">
        <v>5</v>
      </c>
      <c r="C236" s="82" t="s">
        <v>731</v>
      </c>
      <c r="D236">
        <v>201512</v>
      </c>
      <c r="E236" s="1">
        <v>42339</v>
      </c>
      <c r="F236" s="1">
        <v>42369</v>
      </c>
      <c r="G236" t="s">
        <v>731</v>
      </c>
      <c r="H236" s="81">
        <v>171301</v>
      </c>
      <c r="I236" t="s">
        <v>6</v>
      </c>
      <c r="J236" s="3">
        <v>10821.48</v>
      </c>
    </row>
    <row r="237" spans="1:10" x14ac:dyDescent="0.25">
      <c r="A237" t="s">
        <v>88</v>
      </c>
      <c r="B237" t="s">
        <v>5</v>
      </c>
      <c r="C237" s="82" t="s">
        <v>731</v>
      </c>
      <c r="D237">
        <v>201601</v>
      </c>
      <c r="E237" s="1">
        <v>42369</v>
      </c>
      <c r="F237" s="1">
        <v>42401</v>
      </c>
      <c r="G237" t="s">
        <v>731</v>
      </c>
      <c r="H237" s="81">
        <v>177387</v>
      </c>
      <c r="I237" t="s">
        <v>6</v>
      </c>
      <c r="J237" s="3">
        <v>11096.78</v>
      </c>
    </row>
    <row r="238" spans="1:10" x14ac:dyDescent="0.25">
      <c r="A238" t="s">
        <v>88</v>
      </c>
      <c r="B238" t="s">
        <v>5</v>
      </c>
      <c r="C238" s="82" t="s">
        <v>731</v>
      </c>
      <c r="D238">
        <v>201602</v>
      </c>
      <c r="E238" s="1">
        <v>42401</v>
      </c>
      <c r="F238" s="1">
        <v>42430</v>
      </c>
      <c r="G238" t="s">
        <v>731</v>
      </c>
      <c r="H238" s="81">
        <v>183758</v>
      </c>
      <c r="I238" t="s">
        <v>6</v>
      </c>
      <c r="J238" s="3">
        <v>11214.5</v>
      </c>
    </row>
    <row r="239" spans="1:10" x14ac:dyDescent="0.25">
      <c r="A239" t="s">
        <v>88</v>
      </c>
      <c r="B239" t="s">
        <v>5</v>
      </c>
      <c r="C239" s="82" t="s">
        <v>731</v>
      </c>
      <c r="D239">
        <v>201603</v>
      </c>
      <c r="E239" s="1">
        <v>42430</v>
      </c>
      <c r="F239" s="1">
        <v>42460</v>
      </c>
      <c r="G239" t="s">
        <v>731</v>
      </c>
      <c r="H239" s="81">
        <v>373740</v>
      </c>
      <c r="I239" t="s">
        <v>6</v>
      </c>
      <c r="J239" s="3">
        <v>23993.55</v>
      </c>
    </row>
    <row r="240" spans="1:10" x14ac:dyDescent="0.25">
      <c r="A240" t="s">
        <v>88</v>
      </c>
      <c r="B240" t="s">
        <v>5</v>
      </c>
      <c r="C240" s="82" t="s">
        <v>731</v>
      </c>
      <c r="D240">
        <v>201604</v>
      </c>
      <c r="E240" s="1">
        <v>42460</v>
      </c>
      <c r="F240" s="1">
        <v>42489</v>
      </c>
      <c r="G240" t="s">
        <v>731</v>
      </c>
      <c r="H240" s="81">
        <v>375486</v>
      </c>
      <c r="I240" t="s">
        <v>6</v>
      </c>
      <c r="J240" s="3">
        <v>22623.02</v>
      </c>
    </row>
    <row r="241" spans="1:10" x14ac:dyDescent="0.25">
      <c r="A241" t="s">
        <v>88</v>
      </c>
      <c r="B241" t="s">
        <v>5</v>
      </c>
      <c r="C241" s="82" t="s">
        <v>731</v>
      </c>
      <c r="D241">
        <v>201605</v>
      </c>
      <c r="E241" s="1">
        <v>42489</v>
      </c>
      <c r="F241" s="1">
        <v>42521</v>
      </c>
      <c r="G241" t="s">
        <v>731</v>
      </c>
      <c r="H241" s="81">
        <v>385233</v>
      </c>
      <c r="I241" t="s">
        <v>6</v>
      </c>
      <c r="J241" s="3">
        <v>23961.14</v>
      </c>
    </row>
    <row r="242" spans="1:10" x14ac:dyDescent="0.25">
      <c r="A242" t="s">
        <v>88</v>
      </c>
      <c r="B242" t="s">
        <v>5</v>
      </c>
      <c r="C242" s="82" t="s">
        <v>731</v>
      </c>
      <c r="D242">
        <v>201606</v>
      </c>
      <c r="E242" s="1">
        <v>42521</v>
      </c>
      <c r="F242" s="1">
        <v>42550</v>
      </c>
      <c r="G242" t="s">
        <v>731</v>
      </c>
      <c r="H242" s="81">
        <v>343106</v>
      </c>
      <c r="I242" t="s">
        <v>6</v>
      </c>
      <c r="J242" s="3">
        <v>20597.36</v>
      </c>
    </row>
    <row r="243" spans="1:10" x14ac:dyDescent="0.25">
      <c r="A243" t="s">
        <v>102</v>
      </c>
      <c r="B243" t="s">
        <v>5</v>
      </c>
      <c r="C243" s="82" t="s">
        <v>517</v>
      </c>
      <c r="D243">
        <v>201507</v>
      </c>
      <c r="E243" s="1">
        <v>42185</v>
      </c>
      <c r="F243" s="1">
        <v>42216</v>
      </c>
      <c r="G243" t="s">
        <v>518</v>
      </c>
      <c r="H243" s="81">
        <v>139114</v>
      </c>
      <c r="I243" t="s">
        <v>6</v>
      </c>
      <c r="J243" s="3">
        <v>8160.15</v>
      </c>
    </row>
    <row r="244" spans="1:10" x14ac:dyDescent="0.25">
      <c r="A244" t="s">
        <v>102</v>
      </c>
      <c r="B244" t="s">
        <v>5</v>
      </c>
      <c r="C244" s="82" t="s">
        <v>517</v>
      </c>
      <c r="D244">
        <v>201508</v>
      </c>
      <c r="E244" s="1">
        <v>42216</v>
      </c>
      <c r="F244" s="1">
        <v>42243</v>
      </c>
      <c r="G244" t="s">
        <v>518</v>
      </c>
      <c r="H244" s="81">
        <v>53248</v>
      </c>
      <c r="I244" t="s">
        <v>6</v>
      </c>
      <c r="J244" s="3">
        <v>3228.91</v>
      </c>
    </row>
    <row r="245" spans="1:10" x14ac:dyDescent="0.25">
      <c r="A245" t="s">
        <v>102</v>
      </c>
      <c r="B245" t="s">
        <v>5</v>
      </c>
      <c r="C245" s="82" t="s">
        <v>517</v>
      </c>
      <c r="D245">
        <v>201509</v>
      </c>
      <c r="E245" s="1">
        <v>42243</v>
      </c>
      <c r="F245" s="1">
        <v>42276</v>
      </c>
      <c r="G245" t="s">
        <v>518</v>
      </c>
      <c r="H245" s="81">
        <v>148448</v>
      </c>
      <c r="I245" t="s">
        <v>6</v>
      </c>
      <c r="J245" s="3">
        <v>8684.93</v>
      </c>
    </row>
    <row r="246" spans="1:10" x14ac:dyDescent="0.25">
      <c r="A246" t="s">
        <v>102</v>
      </c>
      <c r="B246" t="s">
        <v>5</v>
      </c>
      <c r="C246" s="82" t="s">
        <v>517</v>
      </c>
      <c r="D246">
        <v>201510</v>
      </c>
      <c r="E246" s="1">
        <v>42276</v>
      </c>
      <c r="F246" s="1">
        <v>42305</v>
      </c>
      <c r="G246" t="s">
        <v>518</v>
      </c>
      <c r="H246" s="81">
        <v>98186</v>
      </c>
      <c r="I246" t="s">
        <v>6</v>
      </c>
      <c r="J246" s="3">
        <v>5871.02</v>
      </c>
    </row>
    <row r="247" spans="1:10" x14ac:dyDescent="0.25">
      <c r="A247" t="s">
        <v>102</v>
      </c>
      <c r="B247" t="s">
        <v>5</v>
      </c>
      <c r="C247" s="82" t="s">
        <v>517</v>
      </c>
      <c r="D247">
        <v>201511</v>
      </c>
      <c r="E247" s="1">
        <v>42305</v>
      </c>
      <c r="F247" s="1">
        <v>42339</v>
      </c>
      <c r="G247" t="s">
        <v>518</v>
      </c>
      <c r="H247" s="81">
        <v>155445</v>
      </c>
      <c r="I247" t="s">
        <v>6</v>
      </c>
      <c r="J247" s="3">
        <v>9402.1</v>
      </c>
    </row>
    <row r="248" spans="1:10" x14ac:dyDescent="0.25">
      <c r="A248" t="s">
        <v>102</v>
      </c>
      <c r="B248" t="s">
        <v>5</v>
      </c>
      <c r="C248" s="82" t="s">
        <v>517</v>
      </c>
      <c r="D248">
        <v>201512</v>
      </c>
      <c r="E248" s="1">
        <v>42339</v>
      </c>
      <c r="F248" s="1">
        <v>42369</v>
      </c>
      <c r="G248" t="s">
        <v>518</v>
      </c>
      <c r="H248" s="81">
        <v>131727</v>
      </c>
      <c r="I248" t="s">
        <v>6</v>
      </c>
      <c r="J248" s="3">
        <v>8321.5</v>
      </c>
    </row>
    <row r="249" spans="1:10" x14ac:dyDescent="0.25">
      <c r="A249" t="s">
        <v>102</v>
      </c>
      <c r="B249" t="s">
        <v>5</v>
      </c>
      <c r="C249" s="82" t="s">
        <v>517</v>
      </c>
      <c r="D249">
        <v>201601</v>
      </c>
      <c r="E249" s="1">
        <v>42369</v>
      </c>
      <c r="F249" s="1">
        <v>42401</v>
      </c>
      <c r="G249" t="s">
        <v>518</v>
      </c>
      <c r="H249" s="81">
        <v>141287</v>
      </c>
      <c r="I249" t="s">
        <v>6</v>
      </c>
      <c r="J249" s="3">
        <v>8838.4699999999993</v>
      </c>
    </row>
    <row r="250" spans="1:10" x14ac:dyDescent="0.25">
      <c r="A250" t="s">
        <v>102</v>
      </c>
      <c r="B250" t="s">
        <v>5</v>
      </c>
      <c r="C250" s="82" t="s">
        <v>517</v>
      </c>
      <c r="D250">
        <v>201602</v>
      </c>
      <c r="E250" s="1">
        <v>42401</v>
      </c>
      <c r="F250" s="1">
        <v>42430</v>
      </c>
      <c r="G250" t="s">
        <v>518</v>
      </c>
      <c r="H250" s="81">
        <v>128725</v>
      </c>
      <c r="I250" t="s">
        <v>6</v>
      </c>
      <c r="J250" s="3">
        <v>7855.91</v>
      </c>
    </row>
    <row r="251" spans="1:10" x14ac:dyDescent="0.25">
      <c r="A251" t="s">
        <v>102</v>
      </c>
      <c r="B251" t="s">
        <v>5</v>
      </c>
      <c r="C251" s="82" t="s">
        <v>517</v>
      </c>
      <c r="D251">
        <v>201603</v>
      </c>
      <c r="E251" s="1">
        <v>42430</v>
      </c>
      <c r="F251" s="1">
        <v>42460</v>
      </c>
      <c r="G251" t="s">
        <v>518</v>
      </c>
      <c r="H251" s="81">
        <v>125578</v>
      </c>
      <c r="I251" t="s">
        <v>6</v>
      </c>
      <c r="J251" s="3">
        <v>8061.92</v>
      </c>
    </row>
    <row r="252" spans="1:10" x14ac:dyDescent="0.25">
      <c r="A252" t="s">
        <v>102</v>
      </c>
      <c r="B252" t="s">
        <v>5</v>
      </c>
      <c r="C252" s="82" t="s">
        <v>517</v>
      </c>
      <c r="D252">
        <v>201604</v>
      </c>
      <c r="E252" s="1">
        <v>42460</v>
      </c>
      <c r="F252" s="1">
        <v>42489</v>
      </c>
      <c r="G252" t="s">
        <v>518</v>
      </c>
      <c r="H252" s="81">
        <v>119746</v>
      </c>
      <c r="I252" t="s">
        <v>6</v>
      </c>
      <c r="J252" s="3">
        <v>7214.69</v>
      </c>
    </row>
    <row r="253" spans="1:10" x14ac:dyDescent="0.25">
      <c r="A253" t="s">
        <v>102</v>
      </c>
      <c r="B253" t="s">
        <v>5</v>
      </c>
      <c r="C253" s="82" t="s">
        <v>517</v>
      </c>
      <c r="D253">
        <v>201605</v>
      </c>
      <c r="E253" s="1">
        <v>42489</v>
      </c>
      <c r="F253" s="1">
        <v>42521</v>
      </c>
      <c r="G253" t="s">
        <v>518</v>
      </c>
      <c r="H253" s="81">
        <v>127589</v>
      </c>
      <c r="I253" t="s">
        <v>6</v>
      </c>
      <c r="J253" s="3">
        <v>7935.92</v>
      </c>
    </row>
    <row r="254" spans="1:10" x14ac:dyDescent="0.25">
      <c r="A254" t="s">
        <v>102</v>
      </c>
      <c r="B254" t="s">
        <v>5</v>
      </c>
      <c r="C254" s="82" t="s">
        <v>517</v>
      </c>
      <c r="D254">
        <v>201606</v>
      </c>
      <c r="E254" s="1">
        <v>42521</v>
      </c>
      <c r="F254" s="1">
        <v>42550</v>
      </c>
      <c r="G254" t="s">
        <v>518</v>
      </c>
      <c r="H254" s="81">
        <v>117311</v>
      </c>
      <c r="I254" t="s">
        <v>6</v>
      </c>
      <c r="J254" s="3">
        <v>7042.42</v>
      </c>
    </row>
    <row r="255" spans="1:10" x14ac:dyDescent="0.25">
      <c r="A255" t="s">
        <v>495</v>
      </c>
      <c r="B255" t="s">
        <v>5</v>
      </c>
      <c r="C255" s="82" t="s">
        <v>519</v>
      </c>
      <c r="D255">
        <v>201507</v>
      </c>
      <c r="E255" s="1">
        <v>42185</v>
      </c>
      <c r="F255" s="1">
        <v>42216</v>
      </c>
      <c r="G255" t="s">
        <v>520</v>
      </c>
      <c r="H255" s="81">
        <v>29789</v>
      </c>
      <c r="I255" t="s">
        <v>6</v>
      </c>
      <c r="J255" s="3">
        <v>1747.36</v>
      </c>
    </row>
    <row r="256" spans="1:10" x14ac:dyDescent="0.25">
      <c r="A256" t="s">
        <v>495</v>
      </c>
      <c r="B256" t="s">
        <v>5</v>
      </c>
      <c r="C256" s="82" t="s">
        <v>519</v>
      </c>
      <c r="D256">
        <v>201508</v>
      </c>
      <c r="E256" s="1">
        <v>42216</v>
      </c>
      <c r="F256" s="1">
        <v>42243</v>
      </c>
      <c r="G256" t="s">
        <v>520</v>
      </c>
      <c r="H256" s="81">
        <v>16188</v>
      </c>
      <c r="I256" t="s">
        <v>6</v>
      </c>
      <c r="J256" s="3">
        <v>981.63</v>
      </c>
    </row>
    <row r="257" spans="1:10" x14ac:dyDescent="0.25">
      <c r="A257" t="s">
        <v>495</v>
      </c>
      <c r="B257" t="s">
        <v>5</v>
      </c>
      <c r="C257" s="82" t="s">
        <v>519</v>
      </c>
      <c r="D257">
        <v>201509</v>
      </c>
      <c r="E257" s="1">
        <v>42243</v>
      </c>
      <c r="F257" s="1">
        <v>42276</v>
      </c>
      <c r="G257" t="s">
        <v>520</v>
      </c>
      <c r="H257" s="81">
        <v>47170</v>
      </c>
      <c r="I257" t="s">
        <v>6</v>
      </c>
      <c r="J257" s="3">
        <v>2759.67</v>
      </c>
    </row>
    <row r="258" spans="1:10" x14ac:dyDescent="0.25">
      <c r="A258" t="s">
        <v>495</v>
      </c>
      <c r="B258" t="s">
        <v>5</v>
      </c>
      <c r="C258" s="82" t="s">
        <v>519</v>
      </c>
      <c r="D258">
        <v>201510</v>
      </c>
      <c r="E258" s="1">
        <v>42276</v>
      </c>
      <c r="F258" s="1">
        <v>42305</v>
      </c>
      <c r="G258" t="s">
        <v>520</v>
      </c>
      <c r="H258" s="81">
        <v>55921</v>
      </c>
      <c r="I258" t="s">
        <v>6</v>
      </c>
      <c r="J258" s="3">
        <v>3343.79</v>
      </c>
    </row>
    <row r="259" spans="1:10" x14ac:dyDescent="0.25">
      <c r="A259" t="s">
        <v>495</v>
      </c>
      <c r="B259" t="s">
        <v>5</v>
      </c>
      <c r="C259" s="82" t="s">
        <v>519</v>
      </c>
      <c r="D259">
        <v>201511</v>
      </c>
      <c r="E259" s="1">
        <v>42305</v>
      </c>
      <c r="F259" s="1">
        <v>42339</v>
      </c>
      <c r="G259" t="s">
        <v>520</v>
      </c>
      <c r="H259" s="81">
        <v>78735</v>
      </c>
      <c r="I259" t="s">
        <v>6</v>
      </c>
      <c r="J259" s="3">
        <v>4762.29</v>
      </c>
    </row>
    <row r="260" spans="1:10" x14ac:dyDescent="0.25">
      <c r="A260" t="s">
        <v>495</v>
      </c>
      <c r="B260" t="s">
        <v>5</v>
      </c>
      <c r="C260" s="82" t="s">
        <v>519</v>
      </c>
      <c r="D260">
        <v>201512</v>
      </c>
      <c r="E260" s="1">
        <v>42339</v>
      </c>
      <c r="F260" s="1">
        <v>42369</v>
      </c>
      <c r="G260" t="s">
        <v>520</v>
      </c>
      <c r="H260" s="81">
        <v>67082</v>
      </c>
      <c r="I260" t="s">
        <v>6</v>
      </c>
      <c r="J260" s="3">
        <v>4237.72</v>
      </c>
    </row>
    <row r="261" spans="1:10" x14ac:dyDescent="0.25">
      <c r="A261" t="s">
        <v>495</v>
      </c>
      <c r="B261" t="s">
        <v>5</v>
      </c>
      <c r="C261" s="82" t="s">
        <v>519</v>
      </c>
      <c r="D261">
        <v>201601</v>
      </c>
      <c r="E261" s="1">
        <v>42369</v>
      </c>
      <c r="F261" s="1">
        <v>42401</v>
      </c>
      <c r="G261" t="s">
        <v>520</v>
      </c>
      <c r="H261" s="81">
        <v>115783</v>
      </c>
      <c r="I261" t="s">
        <v>6</v>
      </c>
      <c r="J261" s="3">
        <v>7243.02</v>
      </c>
    </row>
    <row r="262" spans="1:10" x14ac:dyDescent="0.25">
      <c r="A262" t="s">
        <v>495</v>
      </c>
      <c r="B262" t="s">
        <v>5</v>
      </c>
      <c r="C262" s="82" t="s">
        <v>519</v>
      </c>
      <c r="D262">
        <v>201602</v>
      </c>
      <c r="E262" s="1">
        <v>42401</v>
      </c>
      <c r="F262" s="1">
        <v>42430</v>
      </c>
      <c r="G262" t="s">
        <v>520</v>
      </c>
      <c r="H262" s="81">
        <v>91347</v>
      </c>
      <c r="I262" t="s">
        <v>6</v>
      </c>
      <c r="J262" s="3">
        <v>5574.78</v>
      </c>
    </row>
    <row r="263" spans="1:10" x14ac:dyDescent="0.25">
      <c r="A263" t="s">
        <v>495</v>
      </c>
      <c r="B263" t="s">
        <v>5</v>
      </c>
      <c r="C263" s="82" t="s">
        <v>519</v>
      </c>
      <c r="D263">
        <v>201603</v>
      </c>
      <c r="E263" s="1">
        <v>42430</v>
      </c>
      <c r="F263" s="1">
        <v>42460</v>
      </c>
      <c r="G263" t="s">
        <v>520</v>
      </c>
      <c r="H263" s="81">
        <v>67190</v>
      </c>
      <c r="I263" t="s">
        <v>6</v>
      </c>
      <c r="J263" s="3">
        <v>4313.5</v>
      </c>
    </row>
    <row r="264" spans="1:10" x14ac:dyDescent="0.25">
      <c r="A264" t="s">
        <v>495</v>
      </c>
      <c r="B264" t="s">
        <v>5</v>
      </c>
      <c r="C264" s="82" t="s">
        <v>519</v>
      </c>
      <c r="D264">
        <v>201604</v>
      </c>
      <c r="E264" s="1">
        <v>42460</v>
      </c>
      <c r="F264" s="1">
        <v>42489</v>
      </c>
      <c r="G264" t="s">
        <v>520</v>
      </c>
      <c r="H264" s="81">
        <v>61556</v>
      </c>
      <c r="I264" t="s">
        <v>6</v>
      </c>
      <c r="J264" s="3">
        <v>3708.75</v>
      </c>
    </row>
    <row r="265" spans="1:10" x14ac:dyDescent="0.25">
      <c r="A265" t="s">
        <v>495</v>
      </c>
      <c r="B265" t="s">
        <v>5</v>
      </c>
      <c r="C265" s="82" t="s">
        <v>519</v>
      </c>
      <c r="D265">
        <v>201605</v>
      </c>
      <c r="E265" s="1">
        <v>42489</v>
      </c>
      <c r="F265" s="1">
        <v>42521</v>
      </c>
      <c r="G265" t="s">
        <v>520</v>
      </c>
      <c r="H265" s="81">
        <v>61771</v>
      </c>
      <c r="I265" t="s">
        <v>6</v>
      </c>
      <c r="J265" s="3">
        <v>3842.1</v>
      </c>
    </row>
    <row r="266" spans="1:10" x14ac:dyDescent="0.25">
      <c r="A266" t="s">
        <v>495</v>
      </c>
      <c r="B266" t="s">
        <v>5</v>
      </c>
      <c r="C266" s="82" t="s">
        <v>519</v>
      </c>
      <c r="D266">
        <v>201606</v>
      </c>
      <c r="E266" s="1">
        <v>42521</v>
      </c>
      <c r="F266" s="1">
        <v>42550</v>
      </c>
      <c r="G266" t="s">
        <v>520</v>
      </c>
      <c r="H266" s="81">
        <v>46337</v>
      </c>
      <c r="I266" t="s">
        <v>6</v>
      </c>
      <c r="J266" s="3">
        <v>2781.71</v>
      </c>
    </row>
    <row r="267" spans="1:10" x14ac:dyDescent="0.25">
      <c r="A267" t="s">
        <v>495</v>
      </c>
      <c r="B267" t="s">
        <v>5</v>
      </c>
      <c r="C267" s="82" t="s">
        <v>521</v>
      </c>
      <c r="D267">
        <v>201507</v>
      </c>
      <c r="E267" s="1">
        <v>42185</v>
      </c>
      <c r="F267" s="1">
        <v>42216</v>
      </c>
      <c r="G267" t="s">
        <v>521</v>
      </c>
      <c r="H267" s="81">
        <v>3757</v>
      </c>
      <c r="I267" t="s">
        <v>6</v>
      </c>
      <c r="J267" s="3">
        <v>220.38</v>
      </c>
    </row>
    <row r="268" spans="1:10" x14ac:dyDescent="0.25">
      <c r="A268" t="s">
        <v>495</v>
      </c>
      <c r="B268" t="s">
        <v>5</v>
      </c>
      <c r="C268" s="82" t="s">
        <v>521</v>
      </c>
      <c r="D268">
        <v>201508</v>
      </c>
      <c r="E268" s="1">
        <v>42216</v>
      </c>
      <c r="F268" s="1">
        <v>42243</v>
      </c>
      <c r="G268" t="s">
        <v>521</v>
      </c>
      <c r="H268" s="81">
        <v>2440</v>
      </c>
      <c r="I268" t="s">
        <v>6</v>
      </c>
      <c r="J268" s="3">
        <v>147.96</v>
      </c>
    </row>
    <row r="269" spans="1:10" x14ac:dyDescent="0.25">
      <c r="A269" t="s">
        <v>495</v>
      </c>
      <c r="B269" t="s">
        <v>5</v>
      </c>
      <c r="C269" s="82" t="s">
        <v>521</v>
      </c>
      <c r="D269">
        <v>201509</v>
      </c>
      <c r="E269" s="1">
        <v>42243</v>
      </c>
      <c r="F269" s="1">
        <v>42276</v>
      </c>
      <c r="G269" t="s">
        <v>521</v>
      </c>
      <c r="H269" s="81">
        <v>5067</v>
      </c>
      <c r="I269" t="s">
        <v>6</v>
      </c>
      <c r="J269" s="3">
        <v>296.44</v>
      </c>
    </row>
    <row r="270" spans="1:10" x14ac:dyDescent="0.25">
      <c r="A270" t="s">
        <v>495</v>
      </c>
      <c r="B270" t="s">
        <v>5</v>
      </c>
      <c r="C270" s="82" t="s">
        <v>521</v>
      </c>
      <c r="D270">
        <v>201510</v>
      </c>
      <c r="E270" s="1">
        <v>42276</v>
      </c>
      <c r="F270" s="1">
        <v>42305</v>
      </c>
      <c r="G270" t="s">
        <v>521</v>
      </c>
      <c r="H270" s="81">
        <v>4037</v>
      </c>
      <c r="I270" t="s">
        <v>6</v>
      </c>
      <c r="J270" s="3">
        <v>241.39</v>
      </c>
    </row>
    <row r="271" spans="1:10" x14ac:dyDescent="0.25">
      <c r="A271" t="s">
        <v>495</v>
      </c>
      <c r="B271" t="s">
        <v>5</v>
      </c>
      <c r="C271" s="82" t="s">
        <v>521</v>
      </c>
      <c r="D271">
        <v>201511</v>
      </c>
      <c r="E271" s="1">
        <v>42305</v>
      </c>
      <c r="F271" s="1">
        <v>42339</v>
      </c>
      <c r="G271" t="s">
        <v>521</v>
      </c>
      <c r="H271" s="81">
        <v>8244</v>
      </c>
      <c r="I271" t="s">
        <v>6</v>
      </c>
      <c r="J271" s="3">
        <v>498.64</v>
      </c>
    </row>
    <row r="272" spans="1:10" x14ac:dyDescent="0.25">
      <c r="A272" t="s">
        <v>495</v>
      </c>
      <c r="B272" t="s">
        <v>5</v>
      </c>
      <c r="C272" s="82" t="s">
        <v>521</v>
      </c>
      <c r="D272">
        <v>201512</v>
      </c>
      <c r="E272" s="1">
        <v>42339</v>
      </c>
      <c r="F272" s="1">
        <v>42369</v>
      </c>
      <c r="G272" t="s">
        <v>521</v>
      </c>
      <c r="H272" s="81">
        <v>5639</v>
      </c>
      <c r="I272" t="s">
        <v>6</v>
      </c>
      <c r="J272" s="3">
        <v>356.23</v>
      </c>
    </row>
    <row r="273" spans="1:10" x14ac:dyDescent="0.25">
      <c r="A273" t="s">
        <v>495</v>
      </c>
      <c r="B273" t="s">
        <v>5</v>
      </c>
      <c r="C273" s="82" t="s">
        <v>521</v>
      </c>
      <c r="D273">
        <v>201601</v>
      </c>
      <c r="E273" s="1">
        <v>42369</v>
      </c>
      <c r="F273" s="1">
        <v>42401</v>
      </c>
      <c r="G273" t="s">
        <v>521</v>
      </c>
      <c r="H273" s="81">
        <v>4817</v>
      </c>
      <c r="I273" t="s">
        <v>6</v>
      </c>
      <c r="J273" s="3">
        <v>301.33999999999997</v>
      </c>
    </row>
    <row r="274" spans="1:10" x14ac:dyDescent="0.25">
      <c r="A274" t="s">
        <v>495</v>
      </c>
      <c r="B274" t="s">
        <v>5</v>
      </c>
      <c r="C274" s="82" t="s">
        <v>521</v>
      </c>
      <c r="D274">
        <v>201602</v>
      </c>
      <c r="E274" s="1">
        <v>42401</v>
      </c>
      <c r="F274" s="1">
        <v>42430</v>
      </c>
      <c r="G274" t="s">
        <v>521</v>
      </c>
      <c r="H274" s="81">
        <v>3565</v>
      </c>
      <c r="I274" t="s">
        <v>6</v>
      </c>
      <c r="J274" s="3">
        <v>217.57</v>
      </c>
    </row>
    <row r="275" spans="1:10" x14ac:dyDescent="0.25">
      <c r="A275" t="s">
        <v>495</v>
      </c>
      <c r="B275" t="s">
        <v>5</v>
      </c>
      <c r="C275" s="82" t="s">
        <v>521</v>
      </c>
      <c r="D275">
        <v>201603</v>
      </c>
      <c r="E275" s="1">
        <v>42430</v>
      </c>
      <c r="F275" s="1">
        <v>42460</v>
      </c>
      <c r="G275" t="s">
        <v>521</v>
      </c>
      <c r="H275" s="81">
        <v>4011</v>
      </c>
      <c r="I275" t="s">
        <v>6</v>
      </c>
      <c r="J275" s="3">
        <v>257.5</v>
      </c>
    </row>
    <row r="276" spans="1:10" x14ac:dyDescent="0.25">
      <c r="A276" t="s">
        <v>495</v>
      </c>
      <c r="B276" t="s">
        <v>5</v>
      </c>
      <c r="C276" s="82" t="s">
        <v>521</v>
      </c>
      <c r="D276">
        <v>201604</v>
      </c>
      <c r="E276" s="1">
        <v>42460</v>
      </c>
      <c r="F276" s="1">
        <v>42489</v>
      </c>
      <c r="G276" t="s">
        <v>521</v>
      </c>
      <c r="H276" s="81">
        <v>4055</v>
      </c>
      <c r="I276" t="s">
        <v>6</v>
      </c>
      <c r="J276" s="3">
        <v>244.31</v>
      </c>
    </row>
    <row r="277" spans="1:10" x14ac:dyDescent="0.25">
      <c r="A277" t="s">
        <v>495</v>
      </c>
      <c r="B277" t="s">
        <v>5</v>
      </c>
      <c r="C277" s="82" t="s">
        <v>521</v>
      </c>
      <c r="D277">
        <v>201605</v>
      </c>
      <c r="E277" s="1">
        <v>42489</v>
      </c>
      <c r="F277" s="1">
        <v>42521</v>
      </c>
      <c r="G277" t="s">
        <v>521</v>
      </c>
      <c r="H277" s="81">
        <v>4589</v>
      </c>
      <c r="I277" t="s">
        <v>6</v>
      </c>
      <c r="J277" s="3">
        <v>285.43</v>
      </c>
    </row>
    <row r="278" spans="1:10" x14ac:dyDescent="0.25">
      <c r="A278" t="s">
        <v>495</v>
      </c>
      <c r="B278" t="s">
        <v>5</v>
      </c>
      <c r="C278" s="82" t="s">
        <v>521</v>
      </c>
      <c r="D278">
        <v>201606</v>
      </c>
      <c r="E278" s="1">
        <v>42521</v>
      </c>
      <c r="F278" s="1">
        <v>42550</v>
      </c>
      <c r="G278" t="s">
        <v>521</v>
      </c>
      <c r="H278" s="81">
        <v>4779</v>
      </c>
      <c r="I278" t="s">
        <v>6</v>
      </c>
      <c r="J278" s="3">
        <v>286.89</v>
      </c>
    </row>
    <row r="279" spans="1:10" x14ac:dyDescent="0.25">
      <c r="A279" t="s">
        <v>495</v>
      </c>
      <c r="B279" t="s">
        <v>5</v>
      </c>
      <c r="C279" s="82" t="s">
        <v>525</v>
      </c>
      <c r="D279">
        <v>201507</v>
      </c>
      <c r="E279" s="1">
        <v>42185</v>
      </c>
      <c r="F279" s="1">
        <v>42216</v>
      </c>
      <c r="G279" t="s">
        <v>525</v>
      </c>
      <c r="H279" s="81">
        <v>3947</v>
      </c>
      <c r="I279" t="s">
        <v>6</v>
      </c>
      <c r="J279" s="3">
        <v>231.52</v>
      </c>
    </row>
    <row r="280" spans="1:10" x14ac:dyDescent="0.25">
      <c r="A280" t="s">
        <v>495</v>
      </c>
      <c r="B280" t="s">
        <v>5</v>
      </c>
      <c r="C280" s="82" t="s">
        <v>525</v>
      </c>
      <c r="D280">
        <v>201508</v>
      </c>
      <c r="E280" s="1">
        <v>42216</v>
      </c>
      <c r="F280" s="1">
        <v>42243</v>
      </c>
      <c r="G280" t="s">
        <v>525</v>
      </c>
      <c r="H280" s="81">
        <v>2147</v>
      </c>
      <c r="I280" t="s">
        <v>6</v>
      </c>
      <c r="J280" s="3">
        <v>130.19</v>
      </c>
    </row>
    <row r="281" spans="1:10" x14ac:dyDescent="0.25">
      <c r="A281" t="s">
        <v>495</v>
      </c>
      <c r="B281" t="s">
        <v>5</v>
      </c>
      <c r="C281" s="82" t="s">
        <v>525</v>
      </c>
      <c r="D281">
        <v>201509</v>
      </c>
      <c r="E281" s="1">
        <v>42243</v>
      </c>
      <c r="F281" s="1">
        <v>42276</v>
      </c>
      <c r="G281" t="s">
        <v>525</v>
      </c>
      <c r="H281" s="81">
        <v>5471</v>
      </c>
      <c r="I281" t="s">
        <v>6</v>
      </c>
      <c r="J281" s="3">
        <v>320.08</v>
      </c>
    </row>
    <row r="282" spans="1:10" x14ac:dyDescent="0.25">
      <c r="A282" t="s">
        <v>495</v>
      </c>
      <c r="B282" t="s">
        <v>5</v>
      </c>
      <c r="C282" s="82" t="s">
        <v>525</v>
      </c>
      <c r="D282">
        <v>201510</v>
      </c>
      <c r="E282" s="1">
        <v>42276</v>
      </c>
      <c r="F282" s="1">
        <v>42305</v>
      </c>
      <c r="G282" t="s">
        <v>525</v>
      </c>
      <c r="H282" s="81">
        <v>3118</v>
      </c>
      <c r="I282" t="s">
        <v>6</v>
      </c>
      <c r="J282" s="3">
        <v>186.44</v>
      </c>
    </row>
    <row r="283" spans="1:10" x14ac:dyDescent="0.25">
      <c r="A283" t="s">
        <v>495</v>
      </c>
      <c r="B283" t="s">
        <v>5</v>
      </c>
      <c r="C283" s="82" t="s">
        <v>525</v>
      </c>
      <c r="D283">
        <v>201511</v>
      </c>
      <c r="E283" s="1">
        <v>42305</v>
      </c>
      <c r="F283" s="1">
        <v>42339</v>
      </c>
      <c r="G283" t="s">
        <v>525</v>
      </c>
      <c r="H283" s="81">
        <v>8972</v>
      </c>
      <c r="I283" t="s">
        <v>6</v>
      </c>
      <c r="J283" s="3">
        <v>542.66999999999996</v>
      </c>
    </row>
    <row r="284" spans="1:10" x14ac:dyDescent="0.25">
      <c r="A284" t="s">
        <v>495</v>
      </c>
      <c r="B284" t="s">
        <v>5</v>
      </c>
      <c r="C284" s="82" t="s">
        <v>525</v>
      </c>
      <c r="D284">
        <v>201512</v>
      </c>
      <c r="E284" s="1">
        <v>42339</v>
      </c>
      <c r="F284" s="1">
        <v>42369</v>
      </c>
      <c r="G284" t="s">
        <v>525</v>
      </c>
      <c r="H284" s="81">
        <v>6872</v>
      </c>
      <c r="I284" t="s">
        <v>6</v>
      </c>
      <c r="J284" s="3">
        <v>434.12</v>
      </c>
    </row>
    <row r="285" spans="1:10" x14ac:dyDescent="0.25">
      <c r="A285" t="s">
        <v>495</v>
      </c>
      <c r="B285" t="s">
        <v>5</v>
      </c>
      <c r="C285" s="82" t="s">
        <v>525</v>
      </c>
      <c r="D285">
        <v>201601</v>
      </c>
      <c r="E285" s="1">
        <v>42369</v>
      </c>
      <c r="F285" s="1">
        <v>42401</v>
      </c>
      <c r="G285" t="s">
        <v>525</v>
      </c>
      <c r="H285" s="81">
        <v>6730</v>
      </c>
      <c r="I285" t="s">
        <v>6</v>
      </c>
      <c r="J285" s="3">
        <v>421.01</v>
      </c>
    </row>
    <row r="286" spans="1:10" x14ac:dyDescent="0.25">
      <c r="A286" t="s">
        <v>495</v>
      </c>
      <c r="B286" t="s">
        <v>5</v>
      </c>
      <c r="C286" s="82" t="s">
        <v>525</v>
      </c>
      <c r="D286">
        <v>201602</v>
      </c>
      <c r="E286" s="1">
        <v>42401</v>
      </c>
      <c r="F286" s="1">
        <v>42430</v>
      </c>
      <c r="G286" t="s">
        <v>525</v>
      </c>
      <c r="H286" s="81">
        <v>4363</v>
      </c>
      <c r="I286" t="s">
        <v>6</v>
      </c>
      <c r="J286" s="3">
        <v>266.27</v>
      </c>
    </row>
    <row r="287" spans="1:10" x14ac:dyDescent="0.25">
      <c r="A287" t="s">
        <v>495</v>
      </c>
      <c r="B287" t="s">
        <v>5</v>
      </c>
      <c r="C287" s="82" t="s">
        <v>525</v>
      </c>
      <c r="D287">
        <v>201603</v>
      </c>
      <c r="E287" s="1">
        <v>42430</v>
      </c>
      <c r="F287" s="1">
        <v>42460</v>
      </c>
      <c r="G287" t="s">
        <v>525</v>
      </c>
      <c r="H287" s="81">
        <v>4475</v>
      </c>
      <c r="I287" t="s">
        <v>6</v>
      </c>
      <c r="J287" s="3">
        <v>287.29000000000002</v>
      </c>
    </row>
    <row r="288" spans="1:10" x14ac:dyDescent="0.25">
      <c r="A288" t="s">
        <v>495</v>
      </c>
      <c r="B288" t="s">
        <v>5</v>
      </c>
      <c r="C288" s="82" t="s">
        <v>525</v>
      </c>
      <c r="D288">
        <v>201604</v>
      </c>
      <c r="E288" s="1">
        <v>42460</v>
      </c>
      <c r="F288" s="1">
        <v>42489</v>
      </c>
      <c r="G288" t="s">
        <v>525</v>
      </c>
      <c r="H288" s="81">
        <v>4406</v>
      </c>
      <c r="I288" t="s">
        <v>6</v>
      </c>
      <c r="J288" s="3">
        <v>265.45999999999998</v>
      </c>
    </row>
    <row r="289" spans="1:10" x14ac:dyDescent="0.25">
      <c r="A289" t="s">
        <v>495</v>
      </c>
      <c r="B289" t="s">
        <v>5</v>
      </c>
      <c r="C289" s="82" t="s">
        <v>525</v>
      </c>
      <c r="D289">
        <v>201605</v>
      </c>
      <c r="E289" s="1">
        <v>42489</v>
      </c>
      <c r="F289" s="1">
        <v>42521</v>
      </c>
      <c r="G289" t="s">
        <v>525</v>
      </c>
      <c r="H289" s="81">
        <v>4705</v>
      </c>
      <c r="I289" t="s">
        <v>6</v>
      </c>
      <c r="J289" s="3">
        <v>292.64999999999998</v>
      </c>
    </row>
    <row r="290" spans="1:10" x14ac:dyDescent="0.25">
      <c r="A290" t="s">
        <v>495</v>
      </c>
      <c r="B290" t="s">
        <v>5</v>
      </c>
      <c r="C290" s="82" t="s">
        <v>525</v>
      </c>
      <c r="D290">
        <v>201606</v>
      </c>
      <c r="E290" s="1">
        <v>42521</v>
      </c>
      <c r="F290" s="1">
        <v>42550</v>
      </c>
      <c r="G290" t="s">
        <v>525</v>
      </c>
      <c r="H290" s="81">
        <v>4504</v>
      </c>
      <c r="I290" t="s">
        <v>6</v>
      </c>
      <c r="J290" s="3">
        <v>270.38</v>
      </c>
    </row>
    <row r="291" spans="1:10" x14ac:dyDescent="0.25">
      <c r="A291" t="s">
        <v>495</v>
      </c>
      <c r="B291" t="s">
        <v>5</v>
      </c>
      <c r="C291" s="82" t="s">
        <v>537</v>
      </c>
      <c r="D291">
        <v>201507</v>
      </c>
      <c r="E291" s="1">
        <v>42185</v>
      </c>
      <c r="F291" s="1">
        <v>42216</v>
      </c>
      <c r="G291" t="s">
        <v>538</v>
      </c>
      <c r="H291" s="81">
        <v>101689</v>
      </c>
      <c r="I291" t="s">
        <v>6</v>
      </c>
      <c r="J291" s="3">
        <v>5964.88</v>
      </c>
    </row>
    <row r="292" spans="1:10" x14ac:dyDescent="0.25">
      <c r="A292" t="s">
        <v>495</v>
      </c>
      <c r="B292" t="s">
        <v>5</v>
      </c>
      <c r="C292" s="82" t="s">
        <v>537</v>
      </c>
      <c r="D292">
        <v>201508</v>
      </c>
      <c r="E292" s="1">
        <v>42216</v>
      </c>
      <c r="F292" s="1">
        <v>42243</v>
      </c>
      <c r="G292" t="s">
        <v>538</v>
      </c>
      <c r="H292" s="81">
        <v>70278</v>
      </c>
      <c r="I292" t="s">
        <v>6</v>
      </c>
      <c r="J292" s="3">
        <v>4261.6000000000004</v>
      </c>
    </row>
    <row r="293" spans="1:10" x14ac:dyDescent="0.25">
      <c r="A293" t="s">
        <v>495</v>
      </c>
      <c r="B293" t="s">
        <v>5</v>
      </c>
      <c r="C293" s="82" t="s">
        <v>537</v>
      </c>
      <c r="D293">
        <v>201509</v>
      </c>
      <c r="E293" s="1">
        <v>42243</v>
      </c>
      <c r="F293" s="1">
        <v>42276</v>
      </c>
      <c r="G293" t="s">
        <v>538</v>
      </c>
      <c r="H293" s="81">
        <v>206139</v>
      </c>
      <c r="I293" t="s">
        <v>6</v>
      </c>
      <c r="J293" s="3">
        <v>12060.13</v>
      </c>
    </row>
    <row r="294" spans="1:10" x14ac:dyDescent="0.25">
      <c r="A294" t="s">
        <v>495</v>
      </c>
      <c r="B294" t="s">
        <v>5</v>
      </c>
      <c r="C294" s="82" t="s">
        <v>537</v>
      </c>
      <c r="D294">
        <v>201510</v>
      </c>
      <c r="E294" s="1">
        <v>42276</v>
      </c>
      <c r="F294" s="1">
        <v>42305</v>
      </c>
      <c r="G294" t="s">
        <v>538</v>
      </c>
      <c r="H294" s="81">
        <v>102173</v>
      </c>
      <c r="I294" t="s">
        <v>6</v>
      </c>
      <c r="J294" s="3">
        <v>6109.42</v>
      </c>
    </row>
    <row r="295" spans="1:10" x14ac:dyDescent="0.25">
      <c r="A295" t="s">
        <v>495</v>
      </c>
      <c r="B295" t="s">
        <v>5</v>
      </c>
      <c r="C295" s="82" t="s">
        <v>537</v>
      </c>
      <c r="D295">
        <v>201511</v>
      </c>
      <c r="E295" s="1">
        <v>42305</v>
      </c>
      <c r="F295" s="1">
        <v>42339</v>
      </c>
      <c r="G295" t="s">
        <v>538</v>
      </c>
      <c r="H295" s="81">
        <v>152945</v>
      </c>
      <c r="I295" t="s">
        <v>6</v>
      </c>
      <c r="J295" s="3">
        <v>9250.89</v>
      </c>
    </row>
    <row r="296" spans="1:10" x14ac:dyDescent="0.25">
      <c r="A296" t="s">
        <v>495</v>
      </c>
      <c r="B296" t="s">
        <v>5</v>
      </c>
      <c r="C296" s="82" t="s">
        <v>537</v>
      </c>
      <c r="D296">
        <v>201512</v>
      </c>
      <c r="E296" s="1">
        <v>42339</v>
      </c>
      <c r="F296" s="1">
        <v>42369</v>
      </c>
      <c r="G296" t="s">
        <v>538</v>
      </c>
      <c r="H296" s="81">
        <v>134471</v>
      </c>
      <c r="I296" t="s">
        <v>6</v>
      </c>
      <c r="J296" s="3">
        <v>8494.84</v>
      </c>
    </row>
    <row r="297" spans="1:10" x14ac:dyDescent="0.25">
      <c r="A297" t="s">
        <v>495</v>
      </c>
      <c r="B297" t="s">
        <v>5</v>
      </c>
      <c r="C297" s="82" t="s">
        <v>537</v>
      </c>
      <c r="D297">
        <v>201601</v>
      </c>
      <c r="E297" s="1">
        <v>42369</v>
      </c>
      <c r="F297" s="1">
        <v>42401</v>
      </c>
      <c r="G297" t="s">
        <v>538</v>
      </c>
      <c r="H297" s="81">
        <v>106181</v>
      </c>
      <c r="I297" t="s">
        <v>6</v>
      </c>
      <c r="J297" s="3">
        <v>6642.35</v>
      </c>
    </row>
    <row r="298" spans="1:10" x14ac:dyDescent="0.25">
      <c r="A298" t="s">
        <v>495</v>
      </c>
      <c r="B298" t="s">
        <v>5</v>
      </c>
      <c r="C298" s="82" t="s">
        <v>537</v>
      </c>
      <c r="D298">
        <v>201602</v>
      </c>
      <c r="E298" s="1">
        <v>42401</v>
      </c>
      <c r="F298" s="1">
        <v>42430</v>
      </c>
      <c r="G298" t="s">
        <v>538</v>
      </c>
      <c r="H298" s="81">
        <v>109992</v>
      </c>
      <c r="I298" t="s">
        <v>6</v>
      </c>
      <c r="J298" s="3">
        <v>6712.66</v>
      </c>
    </row>
    <row r="299" spans="1:10" x14ac:dyDescent="0.25">
      <c r="A299" t="s">
        <v>495</v>
      </c>
      <c r="B299" t="s">
        <v>5</v>
      </c>
      <c r="C299" s="82" t="s">
        <v>537</v>
      </c>
      <c r="D299">
        <v>201603</v>
      </c>
      <c r="E299" s="1">
        <v>42430</v>
      </c>
      <c r="F299" s="1">
        <v>42460</v>
      </c>
      <c r="G299" t="s">
        <v>538</v>
      </c>
      <c r="H299" s="81">
        <v>140686</v>
      </c>
      <c r="I299" t="s">
        <v>6</v>
      </c>
      <c r="J299" s="3">
        <v>9031.83</v>
      </c>
    </row>
    <row r="300" spans="1:10" x14ac:dyDescent="0.25">
      <c r="A300" t="s">
        <v>495</v>
      </c>
      <c r="B300" t="s">
        <v>5</v>
      </c>
      <c r="C300" s="82" t="s">
        <v>537</v>
      </c>
      <c r="D300">
        <v>201604</v>
      </c>
      <c r="E300" s="1">
        <v>42460</v>
      </c>
      <c r="F300" s="1">
        <v>42489</v>
      </c>
      <c r="G300" t="s">
        <v>538</v>
      </c>
      <c r="H300" s="81">
        <v>143861</v>
      </c>
      <c r="I300" t="s">
        <v>6</v>
      </c>
      <c r="J300" s="3">
        <v>8667.6200000000008</v>
      </c>
    </row>
    <row r="301" spans="1:10" x14ac:dyDescent="0.25">
      <c r="A301" t="s">
        <v>495</v>
      </c>
      <c r="B301" t="s">
        <v>5</v>
      </c>
      <c r="C301" s="82" t="s">
        <v>537</v>
      </c>
      <c r="D301">
        <v>201605</v>
      </c>
      <c r="E301" s="1">
        <v>42489</v>
      </c>
      <c r="F301" s="1">
        <v>42521</v>
      </c>
      <c r="G301" t="s">
        <v>538</v>
      </c>
      <c r="H301" s="81">
        <v>166041</v>
      </c>
      <c r="I301" t="s">
        <v>6</v>
      </c>
      <c r="J301" s="3">
        <v>10327.6</v>
      </c>
    </row>
    <row r="302" spans="1:10" x14ac:dyDescent="0.25">
      <c r="A302" t="s">
        <v>495</v>
      </c>
      <c r="B302" t="s">
        <v>5</v>
      </c>
      <c r="C302" s="82" t="s">
        <v>537</v>
      </c>
      <c r="D302">
        <v>201606</v>
      </c>
      <c r="E302" s="1">
        <v>42521</v>
      </c>
      <c r="F302" s="1">
        <v>42550</v>
      </c>
      <c r="G302" t="s">
        <v>538</v>
      </c>
      <c r="H302" s="81">
        <v>189703</v>
      </c>
      <c r="I302" t="s">
        <v>6</v>
      </c>
      <c r="J302" s="3">
        <v>11388.26</v>
      </c>
    </row>
    <row r="303" spans="1:10" x14ac:dyDescent="0.25">
      <c r="A303" t="s">
        <v>514</v>
      </c>
      <c r="B303" t="s">
        <v>5</v>
      </c>
      <c r="C303" s="82" t="s">
        <v>515</v>
      </c>
      <c r="D303">
        <v>201507</v>
      </c>
      <c r="E303" s="1">
        <v>42185</v>
      </c>
      <c r="F303" s="1">
        <v>42216</v>
      </c>
      <c r="G303" t="s">
        <v>516</v>
      </c>
      <c r="H303" s="81">
        <v>10296</v>
      </c>
      <c r="I303" t="s">
        <v>6</v>
      </c>
      <c r="J303" s="3">
        <v>603.94000000000005</v>
      </c>
    </row>
    <row r="304" spans="1:10" x14ac:dyDescent="0.25">
      <c r="A304" t="s">
        <v>514</v>
      </c>
      <c r="B304" t="s">
        <v>5</v>
      </c>
      <c r="C304" s="82" t="s">
        <v>515</v>
      </c>
      <c r="D304">
        <v>201508</v>
      </c>
      <c r="E304" s="1">
        <v>42216</v>
      </c>
      <c r="F304" s="1">
        <v>42243</v>
      </c>
      <c r="G304" t="s">
        <v>516</v>
      </c>
      <c r="H304" s="81">
        <v>5763</v>
      </c>
      <c r="I304" t="s">
        <v>6</v>
      </c>
      <c r="J304" s="3">
        <v>349.46</v>
      </c>
    </row>
    <row r="305" spans="1:10" x14ac:dyDescent="0.25">
      <c r="A305" t="s">
        <v>514</v>
      </c>
      <c r="B305" t="s">
        <v>5</v>
      </c>
      <c r="C305" s="82" t="s">
        <v>515</v>
      </c>
      <c r="D305">
        <v>201509</v>
      </c>
      <c r="E305" s="1">
        <v>42243</v>
      </c>
      <c r="F305" s="1">
        <v>42276</v>
      </c>
      <c r="G305" t="s">
        <v>516</v>
      </c>
      <c r="H305" s="81">
        <v>14245</v>
      </c>
      <c r="I305" t="s">
        <v>6</v>
      </c>
      <c r="J305" s="3">
        <v>833.4</v>
      </c>
    </row>
    <row r="306" spans="1:10" x14ac:dyDescent="0.25">
      <c r="A306" t="s">
        <v>514</v>
      </c>
      <c r="B306" t="s">
        <v>5</v>
      </c>
      <c r="C306" s="82" t="s">
        <v>515</v>
      </c>
      <c r="D306">
        <v>201510</v>
      </c>
      <c r="E306" s="1">
        <v>42276</v>
      </c>
      <c r="F306" s="1">
        <v>42305</v>
      </c>
      <c r="G306" t="s">
        <v>516</v>
      </c>
      <c r="H306" s="81">
        <v>12747</v>
      </c>
      <c r="I306" t="s">
        <v>6</v>
      </c>
      <c r="J306" s="3">
        <v>762.21</v>
      </c>
    </row>
    <row r="307" spans="1:10" x14ac:dyDescent="0.25">
      <c r="A307" t="s">
        <v>514</v>
      </c>
      <c r="B307" t="s">
        <v>5</v>
      </c>
      <c r="C307" s="82" t="s">
        <v>515</v>
      </c>
      <c r="D307">
        <v>201511</v>
      </c>
      <c r="E307" s="1">
        <v>42305</v>
      </c>
      <c r="F307" s="1">
        <v>42339</v>
      </c>
      <c r="G307" t="s">
        <v>516</v>
      </c>
      <c r="H307" s="81">
        <v>14957</v>
      </c>
      <c r="I307" t="s">
        <v>6</v>
      </c>
      <c r="J307" s="3">
        <v>904.68</v>
      </c>
    </row>
    <row r="308" spans="1:10" x14ac:dyDescent="0.25">
      <c r="A308" t="s">
        <v>514</v>
      </c>
      <c r="B308" t="s">
        <v>5</v>
      </c>
      <c r="C308" s="82" t="s">
        <v>515</v>
      </c>
      <c r="D308">
        <v>201512</v>
      </c>
      <c r="E308" s="1">
        <v>42339</v>
      </c>
      <c r="F308" s="1">
        <v>42369</v>
      </c>
      <c r="G308" t="s">
        <v>516</v>
      </c>
      <c r="H308" s="81">
        <v>11147</v>
      </c>
      <c r="I308" t="s">
        <v>6</v>
      </c>
      <c r="J308" s="3">
        <v>704.18</v>
      </c>
    </row>
    <row r="309" spans="1:10" x14ac:dyDescent="0.25">
      <c r="A309" t="s">
        <v>514</v>
      </c>
      <c r="B309" t="s">
        <v>5</v>
      </c>
      <c r="C309" s="82" t="s">
        <v>515</v>
      </c>
      <c r="D309">
        <v>201601</v>
      </c>
      <c r="E309" s="1">
        <v>42369</v>
      </c>
      <c r="F309" s="1">
        <v>42401</v>
      </c>
      <c r="G309" t="s">
        <v>516</v>
      </c>
      <c r="H309" s="81">
        <v>11209</v>
      </c>
      <c r="I309" t="s">
        <v>6</v>
      </c>
      <c r="J309" s="3">
        <v>701.2</v>
      </c>
    </row>
    <row r="310" spans="1:10" x14ac:dyDescent="0.25">
      <c r="A310" t="s">
        <v>514</v>
      </c>
      <c r="B310" t="s">
        <v>5</v>
      </c>
      <c r="C310" s="82" t="s">
        <v>515</v>
      </c>
      <c r="D310">
        <v>201602</v>
      </c>
      <c r="E310" s="1">
        <v>42401</v>
      </c>
      <c r="F310" s="1">
        <v>42430</v>
      </c>
      <c r="G310" t="s">
        <v>516</v>
      </c>
      <c r="H310" s="81">
        <v>13906</v>
      </c>
      <c r="I310" t="s">
        <v>6</v>
      </c>
      <c r="J310" s="3">
        <v>848.66</v>
      </c>
    </row>
    <row r="311" spans="1:10" x14ac:dyDescent="0.25">
      <c r="A311" t="s">
        <v>514</v>
      </c>
      <c r="B311" t="s">
        <v>5</v>
      </c>
      <c r="C311" s="82" t="s">
        <v>515</v>
      </c>
      <c r="D311">
        <v>201603</v>
      </c>
      <c r="E311" s="1">
        <v>42430</v>
      </c>
      <c r="F311" s="1">
        <v>42460</v>
      </c>
      <c r="G311" t="s">
        <v>516</v>
      </c>
      <c r="H311" s="81">
        <v>13074</v>
      </c>
      <c r="I311" t="s">
        <v>6</v>
      </c>
      <c r="J311" s="3">
        <v>839.33</v>
      </c>
    </row>
    <row r="312" spans="1:10" x14ac:dyDescent="0.25">
      <c r="A312" t="s">
        <v>514</v>
      </c>
      <c r="B312" t="s">
        <v>5</v>
      </c>
      <c r="C312" s="82" t="s">
        <v>515</v>
      </c>
      <c r="D312">
        <v>201604</v>
      </c>
      <c r="E312" s="1">
        <v>42460</v>
      </c>
      <c r="F312" s="1">
        <v>42489</v>
      </c>
      <c r="G312" t="s">
        <v>516</v>
      </c>
      <c r="H312" s="81">
        <v>13286</v>
      </c>
      <c r="I312" t="s">
        <v>6</v>
      </c>
      <c r="J312" s="3">
        <v>800.48</v>
      </c>
    </row>
    <row r="313" spans="1:10" x14ac:dyDescent="0.25">
      <c r="A313" t="s">
        <v>514</v>
      </c>
      <c r="B313" t="s">
        <v>5</v>
      </c>
      <c r="C313" s="82" t="s">
        <v>515</v>
      </c>
      <c r="D313">
        <v>201605</v>
      </c>
      <c r="E313" s="1">
        <v>42489</v>
      </c>
      <c r="F313" s="1">
        <v>42521</v>
      </c>
      <c r="G313" t="s">
        <v>516</v>
      </c>
      <c r="H313" s="81">
        <v>11686</v>
      </c>
      <c r="I313" t="s">
        <v>6</v>
      </c>
      <c r="J313" s="3">
        <v>726.86</v>
      </c>
    </row>
    <row r="314" spans="1:10" x14ac:dyDescent="0.25">
      <c r="A314" t="s">
        <v>514</v>
      </c>
      <c r="B314" t="s">
        <v>5</v>
      </c>
      <c r="C314" s="82" t="s">
        <v>515</v>
      </c>
      <c r="D314">
        <v>201606</v>
      </c>
      <c r="E314" s="1">
        <v>42521</v>
      </c>
      <c r="F314" s="1">
        <v>42550</v>
      </c>
      <c r="G314" t="s">
        <v>516</v>
      </c>
      <c r="H314" s="81">
        <v>10592</v>
      </c>
      <c r="I314" t="s">
        <v>6</v>
      </c>
      <c r="J314" s="3">
        <v>635.86</v>
      </c>
    </row>
    <row r="315" spans="1:10" x14ac:dyDescent="0.25">
      <c r="A315" t="s">
        <v>522</v>
      </c>
      <c r="B315" t="s">
        <v>5</v>
      </c>
      <c r="C315" s="82" t="s">
        <v>523</v>
      </c>
      <c r="D315">
        <v>201507</v>
      </c>
      <c r="E315" s="1">
        <v>42185</v>
      </c>
      <c r="F315" s="1">
        <v>42216</v>
      </c>
      <c r="G315" t="s">
        <v>524</v>
      </c>
      <c r="H315" s="81">
        <v>4747</v>
      </c>
      <c r="I315" t="s">
        <v>6</v>
      </c>
      <c r="J315" s="3">
        <v>278.45</v>
      </c>
    </row>
    <row r="316" spans="1:10" x14ac:dyDescent="0.25">
      <c r="A316" t="s">
        <v>522</v>
      </c>
      <c r="B316" t="s">
        <v>5</v>
      </c>
      <c r="C316" s="82" t="s">
        <v>523</v>
      </c>
      <c r="D316">
        <v>201508</v>
      </c>
      <c r="E316" s="1">
        <v>42216</v>
      </c>
      <c r="F316" s="1">
        <v>42243</v>
      </c>
      <c r="G316" t="s">
        <v>524</v>
      </c>
      <c r="H316" s="81">
        <v>3887</v>
      </c>
      <c r="I316" t="s">
        <v>6</v>
      </c>
      <c r="J316" s="3">
        <v>235.7</v>
      </c>
    </row>
    <row r="317" spans="1:10" x14ac:dyDescent="0.25">
      <c r="A317" t="s">
        <v>522</v>
      </c>
      <c r="B317" t="s">
        <v>5</v>
      </c>
      <c r="C317" s="82" t="s">
        <v>523</v>
      </c>
      <c r="D317">
        <v>201509</v>
      </c>
      <c r="E317" s="1">
        <v>42243</v>
      </c>
      <c r="F317" s="1">
        <v>42276</v>
      </c>
      <c r="G317" t="s">
        <v>524</v>
      </c>
      <c r="H317" s="81">
        <v>5778</v>
      </c>
      <c r="I317" t="s">
        <v>6</v>
      </c>
      <c r="J317" s="3">
        <v>338.04</v>
      </c>
    </row>
    <row r="318" spans="1:10" x14ac:dyDescent="0.25">
      <c r="A318" t="s">
        <v>522</v>
      </c>
      <c r="B318" t="s">
        <v>5</v>
      </c>
      <c r="C318" s="82" t="s">
        <v>523</v>
      </c>
      <c r="D318">
        <v>201510</v>
      </c>
      <c r="E318" s="1">
        <v>42276</v>
      </c>
      <c r="F318" s="1">
        <v>42305</v>
      </c>
      <c r="G318" t="s">
        <v>524</v>
      </c>
      <c r="H318" s="81">
        <v>5416</v>
      </c>
      <c r="I318" t="s">
        <v>6</v>
      </c>
      <c r="J318" s="3">
        <v>323.85000000000002</v>
      </c>
    </row>
    <row r="319" spans="1:10" x14ac:dyDescent="0.25">
      <c r="A319" t="s">
        <v>522</v>
      </c>
      <c r="B319" t="s">
        <v>5</v>
      </c>
      <c r="C319" s="82" t="s">
        <v>523</v>
      </c>
      <c r="D319">
        <v>201511</v>
      </c>
      <c r="E319" s="1">
        <v>42305</v>
      </c>
      <c r="F319" s="1">
        <v>42339</v>
      </c>
      <c r="G319" t="s">
        <v>524</v>
      </c>
      <c r="H319" s="81">
        <v>10191</v>
      </c>
      <c r="I319" t="s">
        <v>6</v>
      </c>
      <c r="J319" s="3">
        <v>616.4</v>
      </c>
    </row>
    <row r="320" spans="1:10" x14ac:dyDescent="0.25">
      <c r="A320" t="s">
        <v>522</v>
      </c>
      <c r="B320" t="s">
        <v>5</v>
      </c>
      <c r="C320" s="82" t="s">
        <v>523</v>
      </c>
      <c r="D320">
        <v>201512</v>
      </c>
      <c r="E320" s="1">
        <v>42339</v>
      </c>
      <c r="F320" s="1">
        <v>42369</v>
      </c>
      <c r="G320" t="s">
        <v>524</v>
      </c>
      <c r="H320" s="81">
        <v>4791</v>
      </c>
      <c r="I320" t="s">
        <v>6</v>
      </c>
      <c r="J320" s="3">
        <v>302.66000000000003</v>
      </c>
    </row>
    <row r="321" spans="1:10" x14ac:dyDescent="0.25">
      <c r="A321" t="s">
        <v>522</v>
      </c>
      <c r="B321" t="s">
        <v>5</v>
      </c>
      <c r="C321" s="82" t="s">
        <v>523</v>
      </c>
      <c r="D321">
        <v>201601</v>
      </c>
      <c r="E321" s="1">
        <v>42369</v>
      </c>
      <c r="F321" s="1">
        <v>42401</v>
      </c>
      <c r="G321" t="s">
        <v>524</v>
      </c>
      <c r="H321" s="81">
        <v>4983</v>
      </c>
      <c r="I321" t="s">
        <v>6</v>
      </c>
      <c r="J321" s="3">
        <v>311.72000000000003</v>
      </c>
    </row>
    <row r="322" spans="1:10" x14ac:dyDescent="0.25">
      <c r="A322" t="s">
        <v>522</v>
      </c>
      <c r="B322" t="s">
        <v>5</v>
      </c>
      <c r="C322" s="82" t="s">
        <v>523</v>
      </c>
      <c r="D322">
        <v>201602</v>
      </c>
      <c r="E322" s="1">
        <v>42401</v>
      </c>
      <c r="F322" s="1">
        <v>42430</v>
      </c>
      <c r="G322" t="s">
        <v>524</v>
      </c>
      <c r="H322" s="81">
        <v>5935</v>
      </c>
      <c r="I322" t="s">
        <v>6</v>
      </c>
      <c r="J322" s="3">
        <v>362.21</v>
      </c>
    </row>
    <row r="323" spans="1:10" x14ac:dyDescent="0.25">
      <c r="A323" t="s">
        <v>522</v>
      </c>
      <c r="B323" t="s">
        <v>5</v>
      </c>
      <c r="C323" s="82" t="s">
        <v>523</v>
      </c>
      <c r="D323">
        <v>201603</v>
      </c>
      <c r="E323" s="1">
        <v>42430</v>
      </c>
      <c r="F323" s="1">
        <v>42460</v>
      </c>
      <c r="G323" t="s">
        <v>524</v>
      </c>
      <c r="H323" s="81">
        <v>5750</v>
      </c>
      <c r="I323" t="s">
        <v>6</v>
      </c>
      <c r="J323" s="3">
        <v>369.14</v>
      </c>
    </row>
    <row r="324" spans="1:10" x14ac:dyDescent="0.25">
      <c r="A324" t="s">
        <v>522</v>
      </c>
      <c r="B324" t="s">
        <v>5</v>
      </c>
      <c r="C324" s="82" t="s">
        <v>523</v>
      </c>
      <c r="D324">
        <v>201604</v>
      </c>
      <c r="E324" s="1">
        <v>42460</v>
      </c>
      <c r="F324" s="1">
        <v>42489</v>
      </c>
      <c r="G324" t="s">
        <v>524</v>
      </c>
      <c r="H324" s="81">
        <v>6202</v>
      </c>
      <c r="I324" t="s">
        <v>6</v>
      </c>
      <c r="J324" s="3">
        <v>373.67</v>
      </c>
    </row>
    <row r="325" spans="1:10" x14ac:dyDescent="0.25">
      <c r="A325" t="s">
        <v>522</v>
      </c>
      <c r="B325" t="s">
        <v>5</v>
      </c>
      <c r="C325" s="82" t="s">
        <v>523</v>
      </c>
      <c r="D325">
        <v>201605</v>
      </c>
      <c r="E325" s="1">
        <v>42489</v>
      </c>
      <c r="F325" s="1">
        <v>42521</v>
      </c>
      <c r="G325" t="s">
        <v>524</v>
      </c>
      <c r="H325" s="81">
        <v>5710</v>
      </c>
      <c r="I325" t="s">
        <v>6</v>
      </c>
      <c r="J325" s="3">
        <v>355.16</v>
      </c>
    </row>
    <row r="326" spans="1:10" x14ac:dyDescent="0.25">
      <c r="A326" t="s">
        <v>522</v>
      </c>
      <c r="B326" t="s">
        <v>5</v>
      </c>
      <c r="C326" s="82" t="s">
        <v>523</v>
      </c>
      <c r="D326">
        <v>201606</v>
      </c>
      <c r="E326" s="1">
        <v>42521</v>
      </c>
      <c r="F326" s="1">
        <v>42550</v>
      </c>
      <c r="G326" t="s">
        <v>524</v>
      </c>
      <c r="H326" s="81">
        <v>4630</v>
      </c>
      <c r="I326" t="s">
        <v>6</v>
      </c>
      <c r="J326" s="3">
        <v>277.95</v>
      </c>
    </row>
    <row r="327" spans="1:10" x14ac:dyDescent="0.25">
      <c r="A327" t="s">
        <v>505</v>
      </c>
      <c r="B327" t="s">
        <v>5</v>
      </c>
      <c r="C327" s="82" t="s">
        <v>506</v>
      </c>
      <c r="D327">
        <v>201507</v>
      </c>
      <c r="E327" s="1">
        <v>42185</v>
      </c>
      <c r="F327" s="1">
        <v>42216</v>
      </c>
      <c r="G327" t="s">
        <v>507</v>
      </c>
      <c r="H327" s="81">
        <v>40451</v>
      </c>
      <c r="I327" t="s">
        <v>6</v>
      </c>
      <c r="J327" s="3">
        <v>2372.7800000000002</v>
      </c>
    </row>
    <row r="328" spans="1:10" x14ac:dyDescent="0.25">
      <c r="A328" t="s">
        <v>505</v>
      </c>
      <c r="B328" t="s">
        <v>5</v>
      </c>
      <c r="C328" s="82" t="s">
        <v>506</v>
      </c>
      <c r="D328">
        <v>201508</v>
      </c>
      <c r="E328" s="1">
        <v>42216</v>
      </c>
      <c r="F328" s="1">
        <v>42243</v>
      </c>
      <c r="G328" t="s">
        <v>507</v>
      </c>
      <c r="H328" s="81">
        <v>16508</v>
      </c>
      <c r="I328" t="s">
        <v>6</v>
      </c>
      <c r="J328" s="3">
        <v>1001.03</v>
      </c>
    </row>
    <row r="329" spans="1:10" x14ac:dyDescent="0.25">
      <c r="A329" t="s">
        <v>505</v>
      </c>
      <c r="B329" t="s">
        <v>5</v>
      </c>
      <c r="C329" s="82" t="s">
        <v>506</v>
      </c>
      <c r="D329">
        <v>201509</v>
      </c>
      <c r="E329" s="1">
        <v>42243</v>
      </c>
      <c r="F329" s="1">
        <v>42276</v>
      </c>
      <c r="G329" t="s">
        <v>507</v>
      </c>
      <c r="H329" s="81">
        <v>56360</v>
      </c>
      <c r="I329" t="s">
        <v>6</v>
      </c>
      <c r="J329" s="3">
        <v>3297.33</v>
      </c>
    </row>
    <row r="330" spans="1:10" x14ac:dyDescent="0.25">
      <c r="A330" t="s">
        <v>505</v>
      </c>
      <c r="B330" t="s">
        <v>5</v>
      </c>
      <c r="C330" s="82" t="s">
        <v>506</v>
      </c>
      <c r="D330">
        <v>201510</v>
      </c>
      <c r="E330" s="1">
        <v>42276</v>
      </c>
      <c r="F330" s="1">
        <v>42305</v>
      </c>
      <c r="G330" t="s">
        <v>507</v>
      </c>
      <c r="H330" s="81">
        <v>37005</v>
      </c>
      <c r="I330" t="s">
        <v>6</v>
      </c>
      <c r="J330" s="3">
        <v>2212.71</v>
      </c>
    </row>
    <row r="331" spans="1:10" x14ac:dyDescent="0.25">
      <c r="A331" t="s">
        <v>505</v>
      </c>
      <c r="B331" t="s">
        <v>5</v>
      </c>
      <c r="C331" s="82" t="s">
        <v>506</v>
      </c>
      <c r="D331">
        <v>201511</v>
      </c>
      <c r="E331" s="1">
        <v>42305</v>
      </c>
      <c r="F331" s="1">
        <v>42339</v>
      </c>
      <c r="G331" t="s">
        <v>507</v>
      </c>
      <c r="H331" s="81">
        <v>69398</v>
      </c>
      <c r="I331" t="s">
        <v>6</v>
      </c>
      <c r="J331" s="3">
        <v>4197.54</v>
      </c>
    </row>
    <row r="332" spans="1:10" x14ac:dyDescent="0.25">
      <c r="A332" t="s">
        <v>505</v>
      </c>
      <c r="B332" t="s">
        <v>5</v>
      </c>
      <c r="C332" s="82" t="s">
        <v>506</v>
      </c>
      <c r="D332">
        <v>201512</v>
      </c>
      <c r="E332" s="1">
        <v>42339</v>
      </c>
      <c r="F332" s="1">
        <v>42369</v>
      </c>
      <c r="G332" t="s">
        <v>507</v>
      </c>
      <c r="H332" s="81">
        <v>48305</v>
      </c>
      <c r="I332" t="s">
        <v>6</v>
      </c>
      <c r="J332" s="3">
        <v>3051.54</v>
      </c>
    </row>
    <row r="333" spans="1:10" x14ac:dyDescent="0.25">
      <c r="A333" t="s">
        <v>505</v>
      </c>
      <c r="B333" t="s">
        <v>5</v>
      </c>
      <c r="C333" s="82" t="s">
        <v>506</v>
      </c>
      <c r="D333">
        <v>201601</v>
      </c>
      <c r="E333" s="1">
        <v>42369</v>
      </c>
      <c r="F333" s="1">
        <v>42401</v>
      </c>
      <c r="G333" t="s">
        <v>507</v>
      </c>
      <c r="H333" s="81">
        <v>55883</v>
      </c>
      <c r="I333" t="s">
        <v>6</v>
      </c>
      <c r="J333" s="3">
        <v>3495.87</v>
      </c>
    </row>
    <row r="334" spans="1:10" x14ac:dyDescent="0.25">
      <c r="A334" t="s">
        <v>505</v>
      </c>
      <c r="B334" t="s">
        <v>5</v>
      </c>
      <c r="C334" s="82" t="s">
        <v>506</v>
      </c>
      <c r="D334">
        <v>201602</v>
      </c>
      <c r="E334" s="1">
        <v>42401</v>
      </c>
      <c r="F334" s="1">
        <v>42430</v>
      </c>
      <c r="G334" t="s">
        <v>507</v>
      </c>
      <c r="H334" s="81">
        <v>55074</v>
      </c>
      <c r="I334" t="s">
        <v>6</v>
      </c>
      <c r="J334" s="3">
        <v>3361.09</v>
      </c>
    </row>
    <row r="335" spans="1:10" x14ac:dyDescent="0.25">
      <c r="A335" t="s">
        <v>505</v>
      </c>
      <c r="B335" t="s">
        <v>5</v>
      </c>
      <c r="C335" s="82" t="s">
        <v>506</v>
      </c>
      <c r="D335">
        <v>201603</v>
      </c>
      <c r="E335" s="1">
        <v>42430</v>
      </c>
      <c r="F335" s="1">
        <v>42460</v>
      </c>
      <c r="G335" t="s">
        <v>507</v>
      </c>
      <c r="H335" s="81">
        <v>52190</v>
      </c>
      <c r="I335" t="s">
        <v>6</v>
      </c>
      <c r="J335" s="3">
        <v>3350.52</v>
      </c>
    </row>
    <row r="336" spans="1:10" x14ac:dyDescent="0.25">
      <c r="A336" t="s">
        <v>505</v>
      </c>
      <c r="B336" t="s">
        <v>5</v>
      </c>
      <c r="C336" s="82" t="s">
        <v>506</v>
      </c>
      <c r="D336">
        <v>201604</v>
      </c>
      <c r="E336" s="1">
        <v>42460</v>
      </c>
      <c r="F336" s="1">
        <v>42489</v>
      </c>
      <c r="G336" t="s">
        <v>507</v>
      </c>
      <c r="H336" s="81">
        <v>50370</v>
      </c>
      <c r="I336" t="s">
        <v>6</v>
      </c>
      <c r="J336" s="3">
        <v>3034.79</v>
      </c>
    </row>
    <row r="337" spans="1:10" x14ac:dyDescent="0.25">
      <c r="A337" t="s">
        <v>505</v>
      </c>
      <c r="B337" t="s">
        <v>5</v>
      </c>
      <c r="C337" s="82" t="s">
        <v>506</v>
      </c>
      <c r="D337">
        <v>201605</v>
      </c>
      <c r="E337" s="1">
        <v>42489</v>
      </c>
      <c r="F337" s="1">
        <v>42521</v>
      </c>
      <c r="G337" t="s">
        <v>507</v>
      </c>
      <c r="H337" s="81">
        <v>48190</v>
      </c>
      <c r="I337" t="s">
        <v>6</v>
      </c>
      <c r="J337" s="3">
        <v>2997.37</v>
      </c>
    </row>
    <row r="338" spans="1:10" x14ac:dyDescent="0.25">
      <c r="A338" t="s">
        <v>505</v>
      </c>
      <c r="B338" t="s">
        <v>5</v>
      </c>
      <c r="C338" s="82" t="s">
        <v>506</v>
      </c>
      <c r="D338">
        <v>201606</v>
      </c>
      <c r="E338" s="1">
        <v>42521</v>
      </c>
      <c r="F338" s="1">
        <v>42550</v>
      </c>
      <c r="G338" t="s">
        <v>507</v>
      </c>
      <c r="H338" s="81">
        <v>42294</v>
      </c>
      <c r="I338" t="s">
        <v>6</v>
      </c>
      <c r="J338" s="3">
        <v>2539</v>
      </c>
    </row>
    <row r="339" spans="1:10" x14ac:dyDescent="0.25">
      <c r="A339" t="s">
        <v>668</v>
      </c>
      <c r="B339" t="s">
        <v>5</v>
      </c>
      <c r="C339" s="82" t="s">
        <v>669</v>
      </c>
      <c r="D339">
        <v>201507</v>
      </c>
      <c r="E339" s="1">
        <v>42185</v>
      </c>
      <c r="F339" s="1">
        <v>42216</v>
      </c>
      <c r="G339" t="s">
        <v>670</v>
      </c>
      <c r="H339" s="81">
        <v>4364</v>
      </c>
      <c r="I339" t="s">
        <v>6</v>
      </c>
      <c r="J339" s="3">
        <v>255.98</v>
      </c>
    </row>
    <row r="340" spans="1:10" x14ac:dyDescent="0.25">
      <c r="A340" t="s">
        <v>668</v>
      </c>
      <c r="B340" t="s">
        <v>5</v>
      </c>
      <c r="C340" s="82" t="s">
        <v>669</v>
      </c>
      <c r="D340">
        <v>201508</v>
      </c>
      <c r="E340" s="1">
        <v>42216</v>
      </c>
      <c r="F340" s="1">
        <v>42243</v>
      </c>
      <c r="G340" t="s">
        <v>670</v>
      </c>
      <c r="H340" s="81">
        <v>3450</v>
      </c>
      <c r="I340" t="s">
        <v>6</v>
      </c>
      <c r="J340" s="3">
        <v>209.21</v>
      </c>
    </row>
    <row r="341" spans="1:10" x14ac:dyDescent="0.25">
      <c r="A341" t="s">
        <v>668</v>
      </c>
      <c r="B341" t="s">
        <v>5</v>
      </c>
      <c r="C341" s="82" t="s">
        <v>669</v>
      </c>
      <c r="D341">
        <v>201509</v>
      </c>
      <c r="E341" s="1">
        <v>42243</v>
      </c>
      <c r="F341" s="1">
        <v>42276</v>
      </c>
      <c r="G341" t="s">
        <v>670</v>
      </c>
      <c r="H341" s="81">
        <v>4183</v>
      </c>
      <c r="I341" t="s">
        <v>6</v>
      </c>
      <c r="J341" s="3">
        <v>244.73</v>
      </c>
    </row>
    <row r="342" spans="1:10" x14ac:dyDescent="0.25">
      <c r="A342" t="s">
        <v>668</v>
      </c>
      <c r="B342" t="s">
        <v>5</v>
      </c>
      <c r="C342" s="82" t="s">
        <v>669</v>
      </c>
      <c r="D342">
        <v>201510</v>
      </c>
      <c r="E342" s="1">
        <v>42276</v>
      </c>
      <c r="F342" s="1">
        <v>42305</v>
      </c>
      <c r="G342" t="s">
        <v>670</v>
      </c>
      <c r="H342" s="81">
        <v>4824</v>
      </c>
      <c r="I342" t="s">
        <v>6</v>
      </c>
      <c r="J342" s="3">
        <v>288.45</v>
      </c>
    </row>
    <row r="343" spans="1:10" x14ac:dyDescent="0.25">
      <c r="A343" t="s">
        <v>668</v>
      </c>
      <c r="B343" t="s">
        <v>5</v>
      </c>
      <c r="C343" s="82" t="s">
        <v>669</v>
      </c>
      <c r="D343">
        <v>201511</v>
      </c>
      <c r="E343" s="1">
        <v>42305</v>
      </c>
      <c r="F343" s="1">
        <v>42339</v>
      </c>
      <c r="G343" t="s">
        <v>670</v>
      </c>
      <c r="H343" s="81">
        <v>7579</v>
      </c>
      <c r="I343" t="s">
        <v>6</v>
      </c>
      <c r="J343" s="3">
        <v>458.42</v>
      </c>
    </row>
    <row r="344" spans="1:10" x14ac:dyDescent="0.25">
      <c r="A344" t="s">
        <v>668</v>
      </c>
      <c r="B344" t="s">
        <v>5</v>
      </c>
      <c r="C344" s="82" t="s">
        <v>669</v>
      </c>
      <c r="D344">
        <v>201512</v>
      </c>
      <c r="E344" s="1">
        <v>42339</v>
      </c>
      <c r="F344" s="1">
        <v>42369</v>
      </c>
      <c r="G344" t="s">
        <v>670</v>
      </c>
      <c r="H344" s="81">
        <v>7959</v>
      </c>
      <c r="I344" t="s">
        <v>6</v>
      </c>
      <c r="J344" s="3">
        <v>502.79</v>
      </c>
    </row>
    <row r="345" spans="1:10" x14ac:dyDescent="0.25">
      <c r="A345" t="s">
        <v>668</v>
      </c>
      <c r="B345" t="s">
        <v>5</v>
      </c>
      <c r="C345" s="82" t="s">
        <v>669</v>
      </c>
      <c r="D345">
        <v>201601</v>
      </c>
      <c r="E345" s="1">
        <v>42369</v>
      </c>
      <c r="F345" s="1">
        <v>42401</v>
      </c>
      <c r="G345" t="s">
        <v>670</v>
      </c>
      <c r="H345" s="81">
        <v>17833</v>
      </c>
      <c r="I345" t="s">
        <v>6</v>
      </c>
      <c r="J345" s="3">
        <v>1115.58</v>
      </c>
    </row>
    <row r="346" spans="1:10" x14ac:dyDescent="0.25">
      <c r="A346" t="s">
        <v>668</v>
      </c>
      <c r="B346" t="s">
        <v>5</v>
      </c>
      <c r="C346" s="82" t="s">
        <v>669</v>
      </c>
      <c r="D346">
        <v>201602</v>
      </c>
      <c r="E346" s="1">
        <v>42401</v>
      </c>
      <c r="F346" s="1">
        <v>42430</v>
      </c>
      <c r="G346" t="s">
        <v>670</v>
      </c>
      <c r="H346" s="81">
        <v>13586</v>
      </c>
      <c r="I346" t="s">
        <v>6</v>
      </c>
      <c r="J346" s="3">
        <v>829.14</v>
      </c>
    </row>
    <row r="347" spans="1:10" x14ac:dyDescent="0.25">
      <c r="A347" t="s">
        <v>668</v>
      </c>
      <c r="B347" t="s">
        <v>5</v>
      </c>
      <c r="C347" s="82" t="s">
        <v>669</v>
      </c>
      <c r="D347">
        <v>201603</v>
      </c>
      <c r="E347" s="1">
        <v>42430</v>
      </c>
      <c r="F347" s="1">
        <v>42460</v>
      </c>
      <c r="G347" t="s">
        <v>670</v>
      </c>
      <c r="H347" s="81">
        <v>6168</v>
      </c>
      <c r="I347" t="s">
        <v>6</v>
      </c>
      <c r="J347" s="3">
        <v>395.98</v>
      </c>
    </row>
    <row r="348" spans="1:10" x14ac:dyDescent="0.25">
      <c r="A348" t="s">
        <v>668</v>
      </c>
      <c r="B348" t="s">
        <v>5</v>
      </c>
      <c r="C348" s="82" t="s">
        <v>669</v>
      </c>
      <c r="D348">
        <v>201604</v>
      </c>
      <c r="E348" s="1">
        <v>42460</v>
      </c>
      <c r="F348" s="1">
        <v>42489</v>
      </c>
      <c r="G348" t="s">
        <v>670</v>
      </c>
      <c r="H348" s="81">
        <v>4243</v>
      </c>
      <c r="I348" t="s">
        <v>6</v>
      </c>
      <c r="J348" s="3">
        <v>255.64</v>
      </c>
    </row>
    <row r="349" spans="1:10" x14ac:dyDescent="0.25">
      <c r="A349" t="s">
        <v>668</v>
      </c>
      <c r="B349" t="s">
        <v>5</v>
      </c>
      <c r="C349" s="82" t="s">
        <v>669</v>
      </c>
      <c r="D349">
        <v>201605</v>
      </c>
      <c r="E349" s="1">
        <v>42489</v>
      </c>
      <c r="F349" s="1">
        <v>42521</v>
      </c>
      <c r="G349" t="s">
        <v>670</v>
      </c>
      <c r="H349" s="81">
        <v>2751</v>
      </c>
      <c r="I349" t="s">
        <v>6</v>
      </c>
      <c r="J349" s="3">
        <v>171.11</v>
      </c>
    </row>
    <row r="350" spans="1:10" x14ac:dyDescent="0.25">
      <c r="A350" t="s">
        <v>668</v>
      </c>
      <c r="B350" t="s">
        <v>5</v>
      </c>
      <c r="C350" s="82" t="s">
        <v>669</v>
      </c>
      <c r="D350">
        <v>201606</v>
      </c>
      <c r="E350" s="1">
        <v>42521</v>
      </c>
      <c r="F350" s="1">
        <v>42550</v>
      </c>
      <c r="G350" t="s">
        <v>670</v>
      </c>
      <c r="H350" s="81">
        <v>2774</v>
      </c>
      <c r="I350" t="s">
        <v>6</v>
      </c>
      <c r="J350" s="3">
        <v>166.53</v>
      </c>
    </row>
    <row r="351" spans="1:10" x14ac:dyDescent="0.25">
      <c r="A351" t="s">
        <v>679</v>
      </c>
      <c r="B351" t="s">
        <v>5</v>
      </c>
      <c r="C351" s="82" t="s">
        <v>680</v>
      </c>
      <c r="D351">
        <v>201507</v>
      </c>
      <c r="E351" s="1">
        <v>42185</v>
      </c>
      <c r="F351" s="1">
        <v>42216</v>
      </c>
      <c r="G351" t="s">
        <v>681</v>
      </c>
      <c r="H351" s="81">
        <v>7650</v>
      </c>
      <c r="I351" t="s">
        <v>6</v>
      </c>
      <c r="J351" s="3">
        <v>448.73</v>
      </c>
    </row>
    <row r="352" spans="1:10" x14ac:dyDescent="0.25">
      <c r="A352" t="s">
        <v>679</v>
      </c>
      <c r="B352" t="s">
        <v>5</v>
      </c>
      <c r="C352" s="82" t="s">
        <v>680</v>
      </c>
      <c r="D352">
        <v>201508</v>
      </c>
      <c r="E352" s="1">
        <v>42216</v>
      </c>
      <c r="F352" s="1">
        <v>42243</v>
      </c>
      <c r="G352" t="s">
        <v>681</v>
      </c>
      <c r="H352" s="81">
        <v>8499</v>
      </c>
      <c r="I352" t="s">
        <v>6</v>
      </c>
      <c r="J352" s="3">
        <v>515.37</v>
      </c>
    </row>
    <row r="353" spans="1:10" x14ac:dyDescent="0.25">
      <c r="A353" t="s">
        <v>679</v>
      </c>
      <c r="B353" t="s">
        <v>5</v>
      </c>
      <c r="C353" s="82" t="s">
        <v>680</v>
      </c>
      <c r="D353">
        <v>201509</v>
      </c>
      <c r="E353" s="1">
        <v>42243</v>
      </c>
      <c r="F353" s="1">
        <v>42276</v>
      </c>
      <c r="G353" t="s">
        <v>681</v>
      </c>
      <c r="H353" s="81">
        <v>10853</v>
      </c>
      <c r="I353" t="s">
        <v>6</v>
      </c>
      <c r="J353" s="3">
        <v>634.95000000000005</v>
      </c>
    </row>
    <row r="354" spans="1:10" x14ac:dyDescent="0.25">
      <c r="A354" t="s">
        <v>679</v>
      </c>
      <c r="B354" t="s">
        <v>5</v>
      </c>
      <c r="C354" s="82" t="s">
        <v>680</v>
      </c>
      <c r="D354">
        <v>201510</v>
      </c>
      <c r="E354" s="1">
        <v>42276</v>
      </c>
      <c r="F354" s="1">
        <v>42305</v>
      </c>
      <c r="G354" t="s">
        <v>681</v>
      </c>
      <c r="H354" s="81">
        <v>9976</v>
      </c>
      <c r="I354" t="s">
        <v>6</v>
      </c>
      <c r="J354" s="3">
        <v>596.51</v>
      </c>
    </row>
    <row r="355" spans="1:10" x14ac:dyDescent="0.25">
      <c r="A355" t="s">
        <v>679</v>
      </c>
      <c r="B355" t="s">
        <v>5</v>
      </c>
      <c r="C355" s="82" t="s">
        <v>680</v>
      </c>
      <c r="D355">
        <v>201511</v>
      </c>
      <c r="E355" s="1">
        <v>42305</v>
      </c>
      <c r="F355" s="1">
        <v>42339</v>
      </c>
      <c r="G355" t="s">
        <v>681</v>
      </c>
      <c r="H355" s="81">
        <v>14253</v>
      </c>
      <c r="I355" t="s">
        <v>6</v>
      </c>
      <c r="J355" s="3">
        <v>862.09</v>
      </c>
    </row>
    <row r="356" spans="1:10" x14ac:dyDescent="0.25">
      <c r="A356" t="s">
        <v>679</v>
      </c>
      <c r="B356" t="s">
        <v>5</v>
      </c>
      <c r="C356" s="82" t="s">
        <v>680</v>
      </c>
      <c r="D356">
        <v>201512</v>
      </c>
      <c r="E356" s="1">
        <v>42339</v>
      </c>
      <c r="F356" s="1">
        <v>42369</v>
      </c>
      <c r="G356" t="s">
        <v>681</v>
      </c>
      <c r="H356" s="81">
        <v>12946</v>
      </c>
      <c r="I356" t="s">
        <v>6</v>
      </c>
      <c r="J356" s="3">
        <v>817.83</v>
      </c>
    </row>
    <row r="357" spans="1:10" x14ac:dyDescent="0.25">
      <c r="A357" t="s">
        <v>679</v>
      </c>
      <c r="B357" t="s">
        <v>5</v>
      </c>
      <c r="C357" s="82" t="s">
        <v>680</v>
      </c>
      <c r="D357">
        <v>201601</v>
      </c>
      <c r="E357" s="1">
        <v>42369</v>
      </c>
      <c r="F357" s="1">
        <v>42401</v>
      </c>
      <c r="G357" t="s">
        <v>681</v>
      </c>
      <c r="H357" s="81">
        <v>23033</v>
      </c>
      <c r="I357" t="s">
        <v>6</v>
      </c>
      <c r="J357" s="3">
        <v>1440.87</v>
      </c>
    </row>
    <row r="358" spans="1:10" x14ac:dyDescent="0.25">
      <c r="A358" t="s">
        <v>679</v>
      </c>
      <c r="B358" t="s">
        <v>5</v>
      </c>
      <c r="C358" s="82" t="s">
        <v>680</v>
      </c>
      <c r="D358">
        <v>201602</v>
      </c>
      <c r="E358" s="1">
        <v>42401</v>
      </c>
      <c r="F358" s="1">
        <v>42430</v>
      </c>
      <c r="G358" t="s">
        <v>681</v>
      </c>
      <c r="H358" s="81">
        <v>18875</v>
      </c>
      <c r="I358" t="s">
        <v>6</v>
      </c>
      <c r="J358" s="3">
        <v>1151.92</v>
      </c>
    </row>
    <row r="359" spans="1:10" x14ac:dyDescent="0.25">
      <c r="A359" t="s">
        <v>679</v>
      </c>
      <c r="B359" t="s">
        <v>5</v>
      </c>
      <c r="C359" s="82" t="s">
        <v>680</v>
      </c>
      <c r="D359">
        <v>201603</v>
      </c>
      <c r="E359" s="1">
        <v>42430</v>
      </c>
      <c r="F359" s="1">
        <v>42460</v>
      </c>
      <c r="G359" t="s">
        <v>681</v>
      </c>
      <c r="H359" s="81">
        <v>11197</v>
      </c>
      <c r="I359" t="s">
        <v>6</v>
      </c>
      <c r="J359" s="3">
        <v>718.83</v>
      </c>
    </row>
    <row r="360" spans="1:10" x14ac:dyDescent="0.25">
      <c r="A360" t="s">
        <v>679</v>
      </c>
      <c r="B360" t="s">
        <v>5</v>
      </c>
      <c r="C360" s="82" t="s">
        <v>680</v>
      </c>
      <c r="D360">
        <v>201604</v>
      </c>
      <c r="E360" s="1">
        <v>42460</v>
      </c>
      <c r="F360" s="1">
        <v>42489</v>
      </c>
      <c r="G360" t="s">
        <v>681</v>
      </c>
      <c r="H360" s="81">
        <v>10075</v>
      </c>
      <c r="I360" t="s">
        <v>6</v>
      </c>
      <c r="J360" s="3">
        <v>607.02</v>
      </c>
    </row>
    <row r="361" spans="1:10" x14ac:dyDescent="0.25">
      <c r="A361" t="s">
        <v>679</v>
      </c>
      <c r="B361" t="s">
        <v>5</v>
      </c>
      <c r="C361" s="82" t="s">
        <v>680</v>
      </c>
      <c r="D361">
        <v>201605</v>
      </c>
      <c r="E361" s="1">
        <v>42489</v>
      </c>
      <c r="F361" s="1">
        <v>42521</v>
      </c>
      <c r="G361" t="s">
        <v>681</v>
      </c>
      <c r="H361" s="81">
        <v>8770</v>
      </c>
      <c r="I361" t="s">
        <v>6</v>
      </c>
      <c r="J361" s="3">
        <v>545.49</v>
      </c>
    </row>
    <row r="362" spans="1:10" x14ac:dyDescent="0.25">
      <c r="A362" t="s">
        <v>679</v>
      </c>
      <c r="B362" t="s">
        <v>5</v>
      </c>
      <c r="C362" s="82" t="s">
        <v>680</v>
      </c>
      <c r="D362">
        <v>201606</v>
      </c>
      <c r="E362" s="1">
        <v>42521</v>
      </c>
      <c r="F362" s="1">
        <v>42550</v>
      </c>
      <c r="G362" t="s">
        <v>681</v>
      </c>
      <c r="H362" s="81">
        <v>7661</v>
      </c>
      <c r="I362" t="s">
        <v>6</v>
      </c>
      <c r="J362" s="3">
        <v>459.91</v>
      </c>
    </row>
    <row r="363" spans="1:10" x14ac:dyDescent="0.25">
      <c r="A363" t="s">
        <v>671</v>
      </c>
      <c r="B363" t="s">
        <v>5</v>
      </c>
      <c r="C363" s="82" t="s">
        <v>672</v>
      </c>
      <c r="D363">
        <v>201507</v>
      </c>
      <c r="E363" s="1">
        <v>42185</v>
      </c>
      <c r="F363" s="1">
        <v>42216</v>
      </c>
      <c r="G363" t="s">
        <v>673</v>
      </c>
      <c r="H363" s="81">
        <v>9236</v>
      </c>
      <c r="I363" t="s">
        <v>6</v>
      </c>
      <c r="J363" s="3">
        <v>541.77</v>
      </c>
    </row>
    <row r="364" spans="1:10" x14ac:dyDescent="0.25">
      <c r="A364" t="s">
        <v>671</v>
      </c>
      <c r="B364" t="s">
        <v>5</v>
      </c>
      <c r="C364" s="82" t="s">
        <v>672</v>
      </c>
      <c r="D364">
        <v>201508</v>
      </c>
      <c r="E364" s="1">
        <v>42216</v>
      </c>
      <c r="F364" s="1">
        <v>42243</v>
      </c>
      <c r="G364" t="s">
        <v>673</v>
      </c>
      <c r="H364" s="81">
        <v>9863</v>
      </c>
      <c r="I364" t="s">
        <v>6</v>
      </c>
      <c r="J364" s="3">
        <v>598.08000000000004</v>
      </c>
    </row>
    <row r="365" spans="1:10" x14ac:dyDescent="0.25">
      <c r="A365" t="s">
        <v>671</v>
      </c>
      <c r="B365" t="s">
        <v>5</v>
      </c>
      <c r="C365" s="82" t="s">
        <v>672</v>
      </c>
      <c r="D365">
        <v>201509</v>
      </c>
      <c r="E365" s="1">
        <v>42243</v>
      </c>
      <c r="F365" s="1">
        <v>42276</v>
      </c>
      <c r="G365" t="s">
        <v>673</v>
      </c>
      <c r="H365" s="81">
        <v>9372</v>
      </c>
      <c r="I365" t="s">
        <v>6</v>
      </c>
      <c r="J365" s="3">
        <v>548.30999999999995</v>
      </c>
    </row>
    <row r="366" spans="1:10" x14ac:dyDescent="0.25">
      <c r="A366" t="s">
        <v>671</v>
      </c>
      <c r="B366" t="s">
        <v>5</v>
      </c>
      <c r="C366" s="82" t="s">
        <v>672</v>
      </c>
      <c r="D366">
        <v>201510</v>
      </c>
      <c r="E366" s="1">
        <v>42276</v>
      </c>
      <c r="F366" s="1">
        <v>42305</v>
      </c>
      <c r="G366" t="s">
        <v>673</v>
      </c>
      <c r="H366" s="81">
        <v>7299</v>
      </c>
      <c r="I366" t="s">
        <v>6</v>
      </c>
      <c r="J366" s="3">
        <v>436.44</v>
      </c>
    </row>
    <row r="367" spans="1:10" x14ac:dyDescent="0.25">
      <c r="A367" t="s">
        <v>671</v>
      </c>
      <c r="B367" t="s">
        <v>5</v>
      </c>
      <c r="C367" s="82" t="s">
        <v>672</v>
      </c>
      <c r="D367">
        <v>201511</v>
      </c>
      <c r="E367" s="1">
        <v>42305</v>
      </c>
      <c r="F367" s="1">
        <v>42339</v>
      </c>
      <c r="G367" t="s">
        <v>673</v>
      </c>
      <c r="H367" s="81">
        <v>10102</v>
      </c>
      <c r="I367" t="s">
        <v>6</v>
      </c>
      <c r="J367" s="3">
        <v>611.02</v>
      </c>
    </row>
    <row r="368" spans="1:10" x14ac:dyDescent="0.25">
      <c r="A368" t="s">
        <v>671</v>
      </c>
      <c r="B368" t="s">
        <v>5</v>
      </c>
      <c r="C368" s="82" t="s">
        <v>672</v>
      </c>
      <c r="D368">
        <v>201512</v>
      </c>
      <c r="E368" s="1">
        <v>42339</v>
      </c>
      <c r="F368" s="1">
        <v>42369</v>
      </c>
      <c r="G368" t="s">
        <v>673</v>
      </c>
      <c r="H368" s="81">
        <v>8030</v>
      </c>
      <c r="I368" t="s">
        <v>6</v>
      </c>
      <c r="J368" s="3">
        <v>507.27</v>
      </c>
    </row>
    <row r="369" spans="1:10" x14ac:dyDescent="0.25">
      <c r="A369" t="s">
        <v>671</v>
      </c>
      <c r="B369" t="s">
        <v>5</v>
      </c>
      <c r="C369" s="82" t="s">
        <v>672</v>
      </c>
      <c r="D369">
        <v>201601</v>
      </c>
      <c r="E369" s="1">
        <v>42369</v>
      </c>
      <c r="F369" s="1">
        <v>42401</v>
      </c>
      <c r="G369" t="s">
        <v>673</v>
      </c>
      <c r="H369" s="81">
        <v>10357</v>
      </c>
      <c r="I369" t="s">
        <v>6</v>
      </c>
      <c r="J369" s="3">
        <v>647.9</v>
      </c>
    </row>
    <row r="370" spans="1:10" x14ac:dyDescent="0.25">
      <c r="A370" t="s">
        <v>671</v>
      </c>
      <c r="B370" t="s">
        <v>5</v>
      </c>
      <c r="C370" s="82" t="s">
        <v>672</v>
      </c>
      <c r="D370">
        <v>201602</v>
      </c>
      <c r="E370" s="1">
        <v>42401</v>
      </c>
      <c r="F370" s="1">
        <v>42430</v>
      </c>
      <c r="G370" t="s">
        <v>673</v>
      </c>
      <c r="H370" s="81">
        <v>8929</v>
      </c>
      <c r="I370" t="s">
        <v>6</v>
      </c>
      <c r="J370" s="3">
        <v>544.91999999999996</v>
      </c>
    </row>
    <row r="371" spans="1:10" x14ac:dyDescent="0.25">
      <c r="A371" t="s">
        <v>671</v>
      </c>
      <c r="B371" t="s">
        <v>5</v>
      </c>
      <c r="C371" s="82" t="s">
        <v>672</v>
      </c>
      <c r="D371">
        <v>201603</v>
      </c>
      <c r="E371" s="1">
        <v>42430</v>
      </c>
      <c r="F371" s="1">
        <v>42460</v>
      </c>
      <c r="G371" t="s">
        <v>673</v>
      </c>
      <c r="H371" s="81">
        <v>7563</v>
      </c>
      <c r="I371" t="s">
        <v>6</v>
      </c>
      <c r="J371" s="3">
        <v>485.53</v>
      </c>
    </row>
    <row r="372" spans="1:10" x14ac:dyDescent="0.25">
      <c r="A372" t="s">
        <v>671</v>
      </c>
      <c r="B372" t="s">
        <v>5</v>
      </c>
      <c r="C372" s="82" t="s">
        <v>672</v>
      </c>
      <c r="D372">
        <v>201604</v>
      </c>
      <c r="E372" s="1">
        <v>42460</v>
      </c>
      <c r="F372" s="1">
        <v>42489</v>
      </c>
      <c r="G372" t="s">
        <v>673</v>
      </c>
      <c r="H372" s="81">
        <v>7380</v>
      </c>
      <c r="I372" t="s">
        <v>6</v>
      </c>
      <c r="J372" s="3">
        <v>444.64</v>
      </c>
    </row>
    <row r="373" spans="1:10" x14ac:dyDescent="0.25">
      <c r="A373" t="s">
        <v>671</v>
      </c>
      <c r="B373" t="s">
        <v>5</v>
      </c>
      <c r="C373" s="82" t="s">
        <v>672</v>
      </c>
      <c r="D373">
        <v>201605</v>
      </c>
      <c r="E373" s="1">
        <v>42489</v>
      </c>
      <c r="F373" s="1">
        <v>42521</v>
      </c>
      <c r="G373" t="s">
        <v>673</v>
      </c>
      <c r="H373" s="81">
        <v>7509</v>
      </c>
      <c r="I373" t="s">
        <v>6</v>
      </c>
      <c r="J373" s="3">
        <v>467.05</v>
      </c>
    </row>
    <row r="374" spans="1:10" x14ac:dyDescent="0.25">
      <c r="A374" t="s">
        <v>671</v>
      </c>
      <c r="B374" t="s">
        <v>5</v>
      </c>
      <c r="C374" s="82" t="s">
        <v>672</v>
      </c>
      <c r="D374">
        <v>201606</v>
      </c>
      <c r="E374" s="1">
        <v>42521</v>
      </c>
      <c r="F374" s="1">
        <v>42550</v>
      </c>
      <c r="G374" t="s">
        <v>673</v>
      </c>
      <c r="H374" s="81">
        <v>7515</v>
      </c>
      <c r="I374" t="s">
        <v>6</v>
      </c>
      <c r="J374" s="3">
        <v>451.14</v>
      </c>
    </row>
    <row r="375" spans="1:10" x14ac:dyDescent="0.25">
      <c r="A375" t="s">
        <v>526</v>
      </c>
      <c r="B375" t="s">
        <v>5</v>
      </c>
      <c r="C375" s="82" t="s">
        <v>527</v>
      </c>
      <c r="D375">
        <v>201507</v>
      </c>
      <c r="E375" s="1">
        <v>42185</v>
      </c>
      <c r="F375" s="1">
        <v>42216</v>
      </c>
      <c r="G375" t="s">
        <v>527</v>
      </c>
      <c r="H375" s="81">
        <v>77642</v>
      </c>
      <c r="I375" t="s">
        <v>6</v>
      </c>
      <c r="J375" s="3">
        <v>4554.33</v>
      </c>
    </row>
    <row r="376" spans="1:10" x14ac:dyDescent="0.25">
      <c r="A376" t="s">
        <v>526</v>
      </c>
      <c r="B376" t="s">
        <v>5</v>
      </c>
      <c r="C376" s="82" t="s">
        <v>527</v>
      </c>
      <c r="D376">
        <v>201508</v>
      </c>
      <c r="E376" s="1">
        <v>42216</v>
      </c>
      <c r="F376" s="1">
        <v>42243</v>
      </c>
      <c r="G376" t="s">
        <v>527</v>
      </c>
      <c r="H376" s="81">
        <v>67904</v>
      </c>
      <c r="I376" t="s">
        <v>6</v>
      </c>
      <c r="J376" s="3">
        <v>4117.6400000000003</v>
      </c>
    </row>
    <row r="377" spans="1:10" x14ac:dyDescent="0.25">
      <c r="A377" t="s">
        <v>526</v>
      </c>
      <c r="B377" t="s">
        <v>5</v>
      </c>
      <c r="C377" s="82" t="s">
        <v>527</v>
      </c>
      <c r="D377">
        <v>201509</v>
      </c>
      <c r="E377" s="1">
        <v>42243</v>
      </c>
      <c r="F377" s="1">
        <v>42276</v>
      </c>
      <c r="G377" t="s">
        <v>527</v>
      </c>
      <c r="H377" s="81">
        <v>99811</v>
      </c>
      <c r="I377" t="s">
        <v>6</v>
      </c>
      <c r="J377" s="3">
        <v>5839.43</v>
      </c>
    </row>
    <row r="378" spans="1:10" x14ac:dyDescent="0.25">
      <c r="A378" t="s">
        <v>526</v>
      </c>
      <c r="B378" t="s">
        <v>5</v>
      </c>
      <c r="C378" s="82" t="s">
        <v>527</v>
      </c>
      <c r="D378">
        <v>201510</v>
      </c>
      <c r="E378" s="1">
        <v>42276</v>
      </c>
      <c r="F378" s="1">
        <v>42305</v>
      </c>
      <c r="G378" t="s">
        <v>527</v>
      </c>
      <c r="H378" s="81">
        <v>69030</v>
      </c>
      <c r="I378" t="s">
        <v>6</v>
      </c>
      <c r="J378" s="3">
        <v>4127.6400000000003</v>
      </c>
    </row>
    <row r="379" spans="1:10" x14ac:dyDescent="0.25">
      <c r="A379" t="s">
        <v>526</v>
      </c>
      <c r="B379" t="s">
        <v>5</v>
      </c>
      <c r="C379" s="82" t="s">
        <v>527</v>
      </c>
      <c r="D379">
        <v>201511</v>
      </c>
      <c r="E379" s="1">
        <v>42305</v>
      </c>
      <c r="F379" s="1">
        <v>42339</v>
      </c>
      <c r="G379" t="s">
        <v>527</v>
      </c>
      <c r="H379" s="81">
        <v>113872</v>
      </c>
      <c r="I379" t="s">
        <v>6</v>
      </c>
      <c r="J379" s="3">
        <v>6887.55</v>
      </c>
    </row>
    <row r="380" spans="1:10" x14ac:dyDescent="0.25">
      <c r="A380" t="s">
        <v>526</v>
      </c>
      <c r="B380" t="s">
        <v>5</v>
      </c>
      <c r="C380" s="82" t="s">
        <v>527</v>
      </c>
      <c r="D380">
        <v>201512</v>
      </c>
      <c r="E380" s="1">
        <v>42339</v>
      </c>
      <c r="F380" s="1">
        <v>42369</v>
      </c>
      <c r="G380" t="s">
        <v>527</v>
      </c>
      <c r="H380" s="81">
        <v>78655</v>
      </c>
      <c r="I380" t="s">
        <v>6</v>
      </c>
      <c r="J380" s="3">
        <v>4968.82</v>
      </c>
    </row>
    <row r="381" spans="1:10" x14ac:dyDescent="0.25">
      <c r="A381" t="s">
        <v>526</v>
      </c>
      <c r="B381" t="s">
        <v>5</v>
      </c>
      <c r="C381" s="82" t="s">
        <v>527</v>
      </c>
      <c r="D381">
        <v>201601</v>
      </c>
      <c r="E381" s="1">
        <v>42369</v>
      </c>
      <c r="F381" s="1">
        <v>42401</v>
      </c>
      <c r="G381" t="s">
        <v>527</v>
      </c>
      <c r="H381" s="81">
        <v>94316</v>
      </c>
      <c r="I381" t="s">
        <v>6</v>
      </c>
      <c r="J381" s="3">
        <v>5900.11</v>
      </c>
    </row>
    <row r="382" spans="1:10" x14ac:dyDescent="0.25">
      <c r="A382" t="s">
        <v>526</v>
      </c>
      <c r="B382" t="s">
        <v>5</v>
      </c>
      <c r="C382" s="82" t="s">
        <v>527</v>
      </c>
      <c r="D382">
        <v>201602</v>
      </c>
      <c r="E382" s="1">
        <v>42401</v>
      </c>
      <c r="F382" s="1">
        <v>42430</v>
      </c>
      <c r="G382" t="s">
        <v>527</v>
      </c>
      <c r="H382" s="81">
        <v>97346</v>
      </c>
      <c r="I382" t="s">
        <v>6</v>
      </c>
      <c r="J382" s="3">
        <v>5940.89</v>
      </c>
    </row>
    <row r="383" spans="1:10" x14ac:dyDescent="0.25">
      <c r="A383" t="s">
        <v>526</v>
      </c>
      <c r="B383" t="s">
        <v>5</v>
      </c>
      <c r="C383" s="82" t="s">
        <v>527</v>
      </c>
      <c r="D383">
        <v>201603</v>
      </c>
      <c r="E383" s="1">
        <v>42430</v>
      </c>
      <c r="F383" s="1">
        <v>42460</v>
      </c>
      <c r="G383" t="s">
        <v>527</v>
      </c>
      <c r="H383" s="81">
        <v>91210</v>
      </c>
      <c r="I383" t="s">
        <v>6</v>
      </c>
      <c r="J383" s="3">
        <v>5855.55</v>
      </c>
    </row>
    <row r="384" spans="1:10" x14ac:dyDescent="0.25">
      <c r="A384" t="s">
        <v>526</v>
      </c>
      <c r="B384" t="s">
        <v>5</v>
      </c>
      <c r="C384" s="82" t="s">
        <v>527</v>
      </c>
      <c r="D384">
        <v>201604</v>
      </c>
      <c r="E384" s="1">
        <v>42460</v>
      </c>
      <c r="F384" s="1">
        <v>42489</v>
      </c>
      <c r="G384" t="s">
        <v>527</v>
      </c>
      <c r="H384" s="81">
        <v>89068</v>
      </c>
      <c r="I384" t="s">
        <v>6</v>
      </c>
      <c r="J384" s="3">
        <v>5366.34</v>
      </c>
    </row>
    <row r="385" spans="1:10" x14ac:dyDescent="0.25">
      <c r="A385" t="s">
        <v>526</v>
      </c>
      <c r="B385" t="s">
        <v>5</v>
      </c>
      <c r="C385" s="82" t="s">
        <v>527</v>
      </c>
      <c r="D385">
        <v>201605</v>
      </c>
      <c r="E385" s="1">
        <v>42489</v>
      </c>
      <c r="F385" s="1">
        <v>42521</v>
      </c>
      <c r="G385" t="s">
        <v>527</v>
      </c>
      <c r="H385" s="81">
        <v>83174</v>
      </c>
      <c r="I385" t="s">
        <v>6</v>
      </c>
      <c r="J385" s="3">
        <v>5173.3500000000004</v>
      </c>
    </row>
    <row r="386" spans="1:10" x14ac:dyDescent="0.25">
      <c r="A386" t="s">
        <v>526</v>
      </c>
      <c r="B386" t="s">
        <v>5</v>
      </c>
      <c r="C386" s="82" t="s">
        <v>527</v>
      </c>
      <c r="D386">
        <v>201606</v>
      </c>
      <c r="E386" s="1">
        <v>42521</v>
      </c>
      <c r="F386" s="1">
        <v>42550</v>
      </c>
      <c r="G386" t="s">
        <v>527</v>
      </c>
      <c r="H386" s="81">
        <v>72350</v>
      </c>
      <c r="I386" t="s">
        <v>6</v>
      </c>
      <c r="J386" s="3">
        <v>4343.32</v>
      </c>
    </row>
    <row r="387" spans="1:10" x14ac:dyDescent="0.25">
      <c r="A387" t="s">
        <v>113</v>
      </c>
      <c r="B387" t="s">
        <v>5</v>
      </c>
      <c r="C387" s="82" t="s">
        <v>531</v>
      </c>
      <c r="D387">
        <v>201507</v>
      </c>
      <c r="E387" s="1">
        <v>42185</v>
      </c>
      <c r="F387" s="1">
        <v>42216</v>
      </c>
      <c r="G387" t="s">
        <v>531</v>
      </c>
      <c r="H387" s="81">
        <v>138036</v>
      </c>
      <c r="I387" t="s">
        <v>6</v>
      </c>
      <c r="J387" s="3">
        <v>8096.92</v>
      </c>
    </row>
    <row r="388" spans="1:10" x14ac:dyDescent="0.25">
      <c r="A388" t="s">
        <v>113</v>
      </c>
      <c r="B388" t="s">
        <v>5</v>
      </c>
      <c r="C388" s="82" t="s">
        <v>531</v>
      </c>
      <c r="D388">
        <v>201508</v>
      </c>
      <c r="E388" s="1">
        <v>42216</v>
      </c>
      <c r="F388" s="1">
        <v>42243</v>
      </c>
      <c r="G388" t="s">
        <v>531</v>
      </c>
      <c r="H388" s="81">
        <v>118215</v>
      </c>
      <c r="I388" t="s">
        <v>6</v>
      </c>
      <c r="J388" s="3">
        <v>7168.46</v>
      </c>
    </row>
    <row r="389" spans="1:10" x14ac:dyDescent="0.25">
      <c r="A389" t="s">
        <v>113</v>
      </c>
      <c r="B389" t="s">
        <v>5</v>
      </c>
      <c r="C389" s="82" t="s">
        <v>531</v>
      </c>
      <c r="D389">
        <v>201509</v>
      </c>
      <c r="E389" s="1">
        <v>42243</v>
      </c>
      <c r="F389" s="1">
        <v>42276</v>
      </c>
      <c r="G389" t="s">
        <v>531</v>
      </c>
      <c r="H389" s="81">
        <v>155764</v>
      </c>
      <c r="I389" t="s">
        <v>6</v>
      </c>
      <c r="J389" s="3">
        <v>9112.9500000000007</v>
      </c>
    </row>
    <row r="390" spans="1:10" x14ac:dyDescent="0.25">
      <c r="A390" t="s">
        <v>113</v>
      </c>
      <c r="B390" t="s">
        <v>5</v>
      </c>
      <c r="C390" s="82" t="s">
        <v>531</v>
      </c>
      <c r="D390">
        <v>201510</v>
      </c>
      <c r="E390" s="1">
        <v>42276</v>
      </c>
      <c r="F390" s="1">
        <v>42305</v>
      </c>
      <c r="G390" t="s">
        <v>531</v>
      </c>
      <c r="H390" s="81">
        <v>137275</v>
      </c>
      <c r="I390" t="s">
        <v>6</v>
      </c>
      <c r="J390" s="3">
        <v>8208.34</v>
      </c>
    </row>
    <row r="391" spans="1:10" x14ac:dyDescent="0.25">
      <c r="A391" t="s">
        <v>113</v>
      </c>
      <c r="B391" t="s">
        <v>5</v>
      </c>
      <c r="C391" s="82" t="s">
        <v>531</v>
      </c>
      <c r="D391">
        <v>201511</v>
      </c>
      <c r="E391" s="1">
        <v>42305</v>
      </c>
      <c r="F391" s="1">
        <v>42339</v>
      </c>
      <c r="G391" t="s">
        <v>531</v>
      </c>
      <c r="H391" s="81">
        <v>157824</v>
      </c>
      <c r="I391" t="s">
        <v>6</v>
      </c>
      <c r="J391" s="3">
        <v>9545.99</v>
      </c>
    </row>
    <row r="392" spans="1:10" x14ac:dyDescent="0.25">
      <c r="A392" t="s">
        <v>113</v>
      </c>
      <c r="B392" t="s">
        <v>5</v>
      </c>
      <c r="C392" s="82" t="s">
        <v>531</v>
      </c>
      <c r="D392">
        <v>201512</v>
      </c>
      <c r="E392" s="1">
        <v>42339</v>
      </c>
      <c r="F392" s="1">
        <v>42369</v>
      </c>
      <c r="G392" t="s">
        <v>531</v>
      </c>
      <c r="H392" s="81">
        <v>127966</v>
      </c>
      <c r="I392" t="s">
        <v>6</v>
      </c>
      <c r="J392" s="3">
        <v>8083.91</v>
      </c>
    </row>
    <row r="393" spans="1:10" x14ac:dyDescent="0.25">
      <c r="A393" t="s">
        <v>113</v>
      </c>
      <c r="B393" t="s">
        <v>5</v>
      </c>
      <c r="C393" s="82" t="s">
        <v>531</v>
      </c>
      <c r="D393">
        <v>201601</v>
      </c>
      <c r="E393" s="1">
        <v>42369</v>
      </c>
      <c r="F393" s="1">
        <v>42401</v>
      </c>
      <c r="G393" t="s">
        <v>531</v>
      </c>
      <c r="H393" s="81">
        <v>137942</v>
      </c>
      <c r="I393" t="s">
        <v>6</v>
      </c>
      <c r="J393" s="3">
        <v>8629.2199999999993</v>
      </c>
    </row>
    <row r="394" spans="1:10" x14ac:dyDescent="0.25">
      <c r="A394" t="s">
        <v>113</v>
      </c>
      <c r="B394" t="s">
        <v>5</v>
      </c>
      <c r="C394" s="82" t="s">
        <v>531</v>
      </c>
      <c r="D394">
        <v>201602</v>
      </c>
      <c r="E394" s="1">
        <v>42401</v>
      </c>
      <c r="F394" s="1">
        <v>42430</v>
      </c>
      <c r="G394" t="s">
        <v>531</v>
      </c>
      <c r="H394" s="81">
        <v>135146</v>
      </c>
      <c r="I394" t="s">
        <v>6</v>
      </c>
      <c r="J394" s="3">
        <v>8247.7800000000007</v>
      </c>
    </row>
    <row r="395" spans="1:10" x14ac:dyDescent="0.25">
      <c r="A395" t="s">
        <v>113</v>
      </c>
      <c r="B395" t="s">
        <v>5</v>
      </c>
      <c r="C395" s="82" t="s">
        <v>531</v>
      </c>
      <c r="D395">
        <v>201603</v>
      </c>
      <c r="E395" s="1">
        <v>42430</v>
      </c>
      <c r="F395" s="1">
        <v>42460</v>
      </c>
      <c r="G395" t="s">
        <v>531</v>
      </c>
      <c r="H395" s="81">
        <v>138609</v>
      </c>
      <c r="I395" t="s">
        <v>6</v>
      </c>
      <c r="J395" s="3">
        <v>8898.49</v>
      </c>
    </row>
    <row r="396" spans="1:10" x14ac:dyDescent="0.25">
      <c r="A396" t="s">
        <v>113</v>
      </c>
      <c r="B396" t="s">
        <v>5</v>
      </c>
      <c r="C396" s="82" t="s">
        <v>531</v>
      </c>
      <c r="D396">
        <v>201604</v>
      </c>
      <c r="E396" s="1">
        <v>42460</v>
      </c>
      <c r="F396" s="1">
        <v>42489</v>
      </c>
      <c r="G396" t="s">
        <v>531</v>
      </c>
      <c r="H396" s="81">
        <v>136337</v>
      </c>
      <c r="I396" t="s">
        <v>6</v>
      </c>
      <c r="J396" s="3">
        <v>8214.2999999999993</v>
      </c>
    </row>
    <row r="397" spans="1:10" x14ac:dyDescent="0.25">
      <c r="A397" t="s">
        <v>113</v>
      </c>
      <c r="B397" t="s">
        <v>5</v>
      </c>
      <c r="C397" s="82" t="s">
        <v>531</v>
      </c>
      <c r="D397">
        <v>201605</v>
      </c>
      <c r="E397" s="1">
        <v>42489</v>
      </c>
      <c r="F397" s="1">
        <v>42521</v>
      </c>
      <c r="G397" t="s">
        <v>531</v>
      </c>
      <c r="H397" s="81">
        <v>141491</v>
      </c>
      <c r="I397" t="s">
        <v>6</v>
      </c>
      <c r="J397" s="3">
        <v>8800.61</v>
      </c>
    </row>
    <row r="398" spans="1:10" x14ac:dyDescent="0.25">
      <c r="A398" t="s">
        <v>113</v>
      </c>
      <c r="B398" t="s">
        <v>5</v>
      </c>
      <c r="C398" s="82" t="s">
        <v>531</v>
      </c>
      <c r="D398">
        <v>201606</v>
      </c>
      <c r="E398" s="1">
        <v>42521</v>
      </c>
      <c r="F398" s="1">
        <v>42550</v>
      </c>
      <c r="G398" t="s">
        <v>531</v>
      </c>
      <c r="H398" s="81">
        <v>127032</v>
      </c>
      <c r="I398" t="s">
        <v>6</v>
      </c>
      <c r="J398" s="3">
        <v>7625.99</v>
      </c>
    </row>
    <row r="399" spans="1:10" x14ac:dyDescent="0.25">
      <c r="A399" t="s">
        <v>688</v>
      </c>
      <c r="B399" t="s">
        <v>5</v>
      </c>
      <c r="C399" s="82" t="s">
        <v>689</v>
      </c>
      <c r="D399">
        <v>201507</v>
      </c>
      <c r="E399" s="1">
        <v>42185</v>
      </c>
      <c r="F399" s="1">
        <v>42216</v>
      </c>
      <c r="G399" t="s">
        <v>690</v>
      </c>
      <c r="H399" s="81">
        <v>38220</v>
      </c>
      <c r="I399" t="s">
        <v>6</v>
      </c>
      <c r="J399" s="3">
        <v>2241.91</v>
      </c>
    </row>
    <row r="400" spans="1:10" x14ac:dyDescent="0.25">
      <c r="A400" t="s">
        <v>688</v>
      </c>
      <c r="B400" t="s">
        <v>5</v>
      </c>
      <c r="C400" s="82" t="s">
        <v>689</v>
      </c>
      <c r="D400">
        <v>201508</v>
      </c>
      <c r="E400" s="1">
        <v>42216</v>
      </c>
      <c r="F400" s="1">
        <v>42243</v>
      </c>
      <c r="G400" t="s">
        <v>690</v>
      </c>
      <c r="H400" s="81">
        <v>32548</v>
      </c>
      <c r="I400" t="s">
        <v>6</v>
      </c>
      <c r="J400" s="3">
        <v>1973.68</v>
      </c>
    </row>
    <row r="401" spans="1:10" x14ac:dyDescent="0.25">
      <c r="A401" t="s">
        <v>688</v>
      </c>
      <c r="B401" t="s">
        <v>5</v>
      </c>
      <c r="C401" s="82" t="s">
        <v>689</v>
      </c>
      <c r="D401">
        <v>201509</v>
      </c>
      <c r="E401" s="1">
        <v>42243</v>
      </c>
      <c r="F401" s="1">
        <v>42276</v>
      </c>
      <c r="G401" t="s">
        <v>690</v>
      </c>
      <c r="H401" s="81">
        <v>41972</v>
      </c>
      <c r="I401" t="s">
        <v>6</v>
      </c>
      <c r="J401" s="3">
        <v>2455.5700000000002</v>
      </c>
    </row>
    <row r="402" spans="1:10" x14ac:dyDescent="0.25">
      <c r="A402" t="s">
        <v>688</v>
      </c>
      <c r="B402" t="s">
        <v>5</v>
      </c>
      <c r="C402" s="82" t="s">
        <v>689</v>
      </c>
      <c r="D402">
        <v>201510</v>
      </c>
      <c r="E402" s="1">
        <v>42276</v>
      </c>
      <c r="F402" s="1">
        <v>42305</v>
      </c>
      <c r="G402" t="s">
        <v>690</v>
      </c>
      <c r="H402" s="81">
        <v>36225</v>
      </c>
      <c r="I402" t="s">
        <v>6</v>
      </c>
      <c r="J402" s="3">
        <v>2166.0700000000002</v>
      </c>
    </row>
    <row r="403" spans="1:10" x14ac:dyDescent="0.25">
      <c r="A403" t="s">
        <v>688</v>
      </c>
      <c r="B403" t="s">
        <v>5</v>
      </c>
      <c r="C403" s="82" t="s">
        <v>689</v>
      </c>
      <c r="D403">
        <v>201511</v>
      </c>
      <c r="E403" s="1">
        <v>42305</v>
      </c>
      <c r="F403" s="1">
        <v>42339</v>
      </c>
      <c r="G403" t="s">
        <v>690</v>
      </c>
      <c r="H403" s="81">
        <v>88539</v>
      </c>
      <c r="I403" t="s">
        <v>6</v>
      </c>
      <c r="J403" s="3">
        <v>5355.29</v>
      </c>
    </row>
    <row r="404" spans="1:10" x14ac:dyDescent="0.25">
      <c r="A404" t="s">
        <v>688</v>
      </c>
      <c r="B404" t="s">
        <v>5</v>
      </c>
      <c r="C404" s="82" t="s">
        <v>689</v>
      </c>
      <c r="D404">
        <v>201512</v>
      </c>
      <c r="E404" s="1">
        <v>42339</v>
      </c>
      <c r="F404" s="1">
        <v>42369</v>
      </c>
      <c r="G404" t="s">
        <v>690</v>
      </c>
      <c r="H404" s="81">
        <v>46700</v>
      </c>
      <c r="I404" t="s">
        <v>6</v>
      </c>
      <c r="J404" s="3">
        <v>2950.15</v>
      </c>
    </row>
    <row r="405" spans="1:10" x14ac:dyDescent="0.25">
      <c r="A405" t="s">
        <v>688</v>
      </c>
      <c r="B405" t="s">
        <v>5</v>
      </c>
      <c r="C405" s="82" t="s">
        <v>689</v>
      </c>
      <c r="D405">
        <v>201601</v>
      </c>
      <c r="E405" s="1">
        <v>42369</v>
      </c>
      <c r="F405" s="1">
        <v>42401</v>
      </c>
      <c r="G405" t="s">
        <v>690</v>
      </c>
      <c r="H405" s="81">
        <v>52741</v>
      </c>
      <c r="I405" t="s">
        <v>6</v>
      </c>
      <c r="J405" s="3">
        <v>3299.31</v>
      </c>
    </row>
    <row r="406" spans="1:10" x14ac:dyDescent="0.25">
      <c r="A406" t="s">
        <v>688</v>
      </c>
      <c r="B406" t="s">
        <v>5</v>
      </c>
      <c r="C406" s="82" t="s">
        <v>689</v>
      </c>
      <c r="D406">
        <v>201602</v>
      </c>
      <c r="E406" s="1">
        <v>42401</v>
      </c>
      <c r="F406" s="1">
        <v>42430</v>
      </c>
      <c r="G406" t="s">
        <v>690</v>
      </c>
      <c r="H406" s="81">
        <v>48513</v>
      </c>
      <c r="I406" t="s">
        <v>6</v>
      </c>
      <c r="J406" s="3">
        <v>2960.68</v>
      </c>
    </row>
    <row r="407" spans="1:10" x14ac:dyDescent="0.25">
      <c r="A407" t="s">
        <v>688</v>
      </c>
      <c r="B407" t="s">
        <v>5</v>
      </c>
      <c r="C407" s="82" t="s">
        <v>689</v>
      </c>
      <c r="D407">
        <v>201603</v>
      </c>
      <c r="E407" s="1">
        <v>42430</v>
      </c>
      <c r="F407" s="1">
        <v>42460</v>
      </c>
      <c r="G407" t="s">
        <v>690</v>
      </c>
      <c r="H407" s="81">
        <v>40264</v>
      </c>
      <c r="I407" t="s">
        <v>6</v>
      </c>
      <c r="J407" s="3">
        <v>2584.89</v>
      </c>
    </row>
    <row r="408" spans="1:10" x14ac:dyDescent="0.25">
      <c r="A408" t="s">
        <v>688</v>
      </c>
      <c r="B408" t="s">
        <v>5</v>
      </c>
      <c r="C408" s="82" t="s">
        <v>689</v>
      </c>
      <c r="D408">
        <v>201604</v>
      </c>
      <c r="E408" s="1">
        <v>42460</v>
      </c>
      <c r="F408" s="1">
        <v>42489</v>
      </c>
      <c r="G408" t="s">
        <v>690</v>
      </c>
      <c r="H408" s="81">
        <v>35734</v>
      </c>
      <c r="I408" t="s">
        <v>6</v>
      </c>
      <c r="J408" s="3">
        <v>2152.9699999999998</v>
      </c>
    </row>
    <row r="409" spans="1:10" x14ac:dyDescent="0.25">
      <c r="A409" t="s">
        <v>688</v>
      </c>
      <c r="B409" t="s">
        <v>5</v>
      </c>
      <c r="C409" s="82" t="s">
        <v>689</v>
      </c>
      <c r="D409">
        <v>201605</v>
      </c>
      <c r="E409" s="1">
        <v>42489</v>
      </c>
      <c r="F409" s="1">
        <v>42521</v>
      </c>
      <c r="G409" t="s">
        <v>690</v>
      </c>
      <c r="H409" s="81">
        <v>35008</v>
      </c>
      <c r="I409" t="s">
        <v>6</v>
      </c>
      <c r="J409" s="3">
        <v>2177.4699999999998</v>
      </c>
    </row>
    <row r="410" spans="1:10" x14ac:dyDescent="0.25">
      <c r="A410" t="s">
        <v>688</v>
      </c>
      <c r="B410" t="s">
        <v>5</v>
      </c>
      <c r="C410" s="82" t="s">
        <v>689</v>
      </c>
      <c r="D410">
        <v>201606</v>
      </c>
      <c r="E410" s="1">
        <v>42521</v>
      </c>
      <c r="F410" s="1">
        <v>42550</v>
      </c>
      <c r="G410" t="s">
        <v>690</v>
      </c>
      <c r="H410" s="81">
        <v>32204</v>
      </c>
      <c r="I410" t="s">
        <v>6</v>
      </c>
      <c r="J410" s="3">
        <v>1933.27</v>
      </c>
    </row>
    <row r="411" spans="1:10" x14ac:dyDescent="0.25">
      <c r="A411" t="s">
        <v>592</v>
      </c>
      <c r="B411" t="s">
        <v>5</v>
      </c>
      <c r="C411" s="82" t="s">
        <v>685</v>
      </c>
      <c r="D411">
        <v>201507</v>
      </c>
      <c r="E411" s="1">
        <v>42185</v>
      </c>
      <c r="F411" s="1">
        <v>42216</v>
      </c>
      <c r="G411" t="s">
        <v>685</v>
      </c>
      <c r="H411" s="81">
        <v>245886</v>
      </c>
      <c r="I411" t="s">
        <v>6</v>
      </c>
      <c r="J411" s="3">
        <v>14423.19</v>
      </c>
    </row>
    <row r="412" spans="1:10" x14ac:dyDescent="0.25">
      <c r="A412" t="s">
        <v>592</v>
      </c>
      <c r="B412" t="s">
        <v>5</v>
      </c>
      <c r="C412" s="82" t="s">
        <v>685</v>
      </c>
      <c r="D412">
        <v>201508</v>
      </c>
      <c r="E412" s="1">
        <v>42216</v>
      </c>
      <c r="F412" s="1">
        <v>42243</v>
      </c>
      <c r="G412" t="s">
        <v>685</v>
      </c>
      <c r="H412" s="81">
        <v>211593</v>
      </c>
      <c r="I412" t="s">
        <v>6</v>
      </c>
      <c r="J412" s="3">
        <v>12830.82</v>
      </c>
    </row>
    <row r="413" spans="1:10" x14ac:dyDescent="0.25">
      <c r="A413" t="s">
        <v>592</v>
      </c>
      <c r="B413" t="s">
        <v>5</v>
      </c>
      <c r="C413" s="82" t="s">
        <v>685</v>
      </c>
      <c r="D413">
        <v>201509</v>
      </c>
      <c r="E413" s="1">
        <v>42243</v>
      </c>
      <c r="F413" s="1">
        <v>42276</v>
      </c>
      <c r="G413" t="s">
        <v>685</v>
      </c>
      <c r="H413" s="81">
        <v>260539</v>
      </c>
      <c r="I413" t="s">
        <v>6</v>
      </c>
      <c r="J413" s="3">
        <v>15242.79</v>
      </c>
    </row>
    <row r="414" spans="1:10" x14ac:dyDescent="0.25">
      <c r="A414" t="s">
        <v>592</v>
      </c>
      <c r="B414" t="s">
        <v>5</v>
      </c>
      <c r="C414" s="82" t="s">
        <v>685</v>
      </c>
      <c r="D414">
        <v>201510</v>
      </c>
      <c r="E414" s="1">
        <v>42276</v>
      </c>
      <c r="F414" s="1">
        <v>42305</v>
      </c>
      <c r="G414" t="s">
        <v>685</v>
      </c>
      <c r="H414" s="81">
        <v>193790</v>
      </c>
      <c r="I414" t="s">
        <v>6</v>
      </c>
      <c r="J414" s="3">
        <v>11587.65</v>
      </c>
    </row>
    <row r="415" spans="1:10" x14ac:dyDescent="0.25">
      <c r="A415" t="s">
        <v>592</v>
      </c>
      <c r="B415" t="s">
        <v>5</v>
      </c>
      <c r="C415" s="82" t="s">
        <v>685</v>
      </c>
      <c r="D415">
        <v>201511</v>
      </c>
      <c r="E415" s="1">
        <v>42305</v>
      </c>
      <c r="F415" s="1">
        <v>42339</v>
      </c>
      <c r="G415" t="s">
        <v>685</v>
      </c>
      <c r="H415" s="81">
        <v>194477</v>
      </c>
      <c r="I415" t="s">
        <v>6</v>
      </c>
      <c r="J415" s="3">
        <v>11762.95</v>
      </c>
    </row>
    <row r="416" spans="1:10" x14ac:dyDescent="0.25">
      <c r="A416" t="s">
        <v>592</v>
      </c>
      <c r="B416" t="s">
        <v>5</v>
      </c>
      <c r="C416" s="82" t="s">
        <v>685</v>
      </c>
      <c r="D416">
        <v>201512</v>
      </c>
      <c r="E416" s="1">
        <v>42339</v>
      </c>
      <c r="F416" s="1">
        <v>42369</v>
      </c>
      <c r="G416" t="s">
        <v>685</v>
      </c>
      <c r="H416" s="81">
        <v>92827</v>
      </c>
      <c r="I416" t="s">
        <v>6</v>
      </c>
      <c r="J416" s="3">
        <v>5864.09</v>
      </c>
    </row>
    <row r="417" spans="1:10" x14ac:dyDescent="0.25">
      <c r="A417" t="s">
        <v>592</v>
      </c>
      <c r="B417" t="s">
        <v>5</v>
      </c>
      <c r="C417" s="82" t="s">
        <v>685</v>
      </c>
      <c r="D417">
        <v>201601</v>
      </c>
      <c r="E417" s="1">
        <v>42369</v>
      </c>
      <c r="F417" s="1">
        <v>42401</v>
      </c>
      <c r="G417" t="s">
        <v>685</v>
      </c>
      <c r="H417" s="81">
        <v>54585</v>
      </c>
      <c r="I417" t="s">
        <v>6</v>
      </c>
      <c r="J417" s="3">
        <v>3414.67</v>
      </c>
    </row>
    <row r="418" spans="1:10" x14ac:dyDescent="0.25">
      <c r="A418" t="s">
        <v>592</v>
      </c>
      <c r="B418" t="s">
        <v>5</v>
      </c>
      <c r="C418" s="82" t="s">
        <v>685</v>
      </c>
      <c r="D418">
        <v>201602</v>
      </c>
      <c r="E418" s="1">
        <v>42401</v>
      </c>
      <c r="F418" s="1">
        <v>42430</v>
      </c>
      <c r="G418" t="s">
        <v>685</v>
      </c>
      <c r="H418" s="81">
        <v>78091</v>
      </c>
      <c r="I418" t="s">
        <v>6</v>
      </c>
      <c r="J418" s="3">
        <v>4765.79</v>
      </c>
    </row>
    <row r="419" spans="1:10" x14ac:dyDescent="0.25">
      <c r="A419" t="s">
        <v>592</v>
      </c>
      <c r="B419" t="s">
        <v>5</v>
      </c>
      <c r="C419" s="82" t="s">
        <v>685</v>
      </c>
      <c r="D419">
        <v>201603</v>
      </c>
      <c r="E419" s="1">
        <v>42430</v>
      </c>
      <c r="F419" s="1">
        <v>42460</v>
      </c>
      <c r="G419" t="s">
        <v>685</v>
      </c>
      <c r="H419" s="81">
        <v>135093</v>
      </c>
      <c r="I419" t="s">
        <v>6</v>
      </c>
      <c r="J419" s="3">
        <v>8672.77</v>
      </c>
    </row>
    <row r="420" spans="1:10" x14ac:dyDescent="0.25">
      <c r="A420" t="s">
        <v>592</v>
      </c>
      <c r="B420" t="s">
        <v>5</v>
      </c>
      <c r="C420" s="82" t="s">
        <v>685</v>
      </c>
      <c r="D420">
        <v>201604</v>
      </c>
      <c r="E420" s="1">
        <v>42460</v>
      </c>
      <c r="F420" s="1">
        <v>42489</v>
      </c>
      <c r="G420" t="s">
        <v>685</v>
      </c>
      <c r="H420" s="81">
        <v>115302</v>
      </c>
      <c r="I420" t="s">
        <v>6</v>
      </c>
      <c r="J420" s="3">
        <v>6946.94</v>
      </c>
    </row>
    <row r="421" spans="1:10" x14ac:dyDescent="0.25">
      <c r="A421" t="s">
        <v>592</v>
      </c>
      <c r="B421" t="s">
        <v>5</v>
      </c>
      <c r="C421" s="82" t="s">
        <v>685</v>
      </c>
      <c r="D421">
        <v>201605</v>
      </c>
      <c r="E421" s="1">
        <v>42489</v>
      </c>
      <c r="F421" s="1">
        <v>42521</v>
      </c>
      <c r="G421" t="s">
        <v>685</v>
      </c>
      <c r="H421" s="81">
        <v>103316</v>
      </c>
      <c r="I421" t="s">
        <v>6</v>
      </c>
      <c r="J421" s="3">
        <v>6426.16</v>
      </c>
    </row>
    <row r="422" spans="1:10" x14ac:dyDescent="0.25">
      <c r="A422" t="s">
        <v>592</v>
      </c>
      <c r="B422" t="s">
        <v>5</v>
      </c>
      <c r="C422" s="82" t="s">
        <v>685</v>
      </c>
      <c r="D422">
        <v>201606</v>
      </c>
      <c r="E422" s="1">
        <v>42521</v>
      </c>
      <c r="F422" s="1">
        <v>42550</v>
      </c>
      <c r="G422" t="s">
        <v>685</v>
      </c>
      <c r="H422" s="81">
        <v>149362</v>
      </c>
      <c r="I422" t="s">
        <v>6</v>
      </c>
      <c r="J422" s="3">
        <v>8966.51</v>
      </c>
    </row>
    <row r="423" spans="1:10" x14ac:dyDescent="0.25">
      <c r="A423" t="s">
        <v>528</v>
      </c>
      <c r="B423" t="s">
        <v>5</v>
      </c>
      <c r="C423" s="82" t="s">
        <v>529</v>
      </c>
      <c r="D423">
        <v>201507</v>
      </c>
      <c r="E423" s="1">
        <v>42185</v>
      </c>
      <c r="F423" s="1">
        <v>42216</v>
      </c>
      <c r="G423" t="s">
        <v>530</v>
      </c>
      <c r="H423" s="81">
        <v>106954</v>
      </c>
      <c r="I423" t="s">
        <v>6</v>
      </c>
      <c r="J423" s="3">
        <v>6273.71</v>
      </c>
    </row>
    <row r="424" spans="1:10" x14ac:dyDescent="0.25">
      <c r="A424" t="s">
        <v>528</v>
      </c>
      <c r="B424" t="s">
        <v>5</v>
      </c>
      <c r="C424" s="82" t="s">
        <v>529</v>
      </c>
      <c r="D424">
        <v>201508</v>
      </c>
      <c r="E424" s="1">
        <v>42216</v>
      </c>
      <c r="F424" s="1">
        <v>42243</v>
      </c>
      <c r="G424" t="s">
        <v>530</v>
      </c>
      <c r="H424" s="81">
        <v>49613</v>
      </c>
      <c r="I424" t="s">
        <v>6</v>
      </c>
      <c r="J424" s="3">
        <v>3008.49</v>
      </c>
    </row>
    <row r="425" spans="1:10" x14ac:dyDescent="0.25">
      <c r="A425" t="s">
        <v>528</v>
      </c>
      <c r="B425" t="s">
        <v>5</v>
      </c>
      <c r="C425" s="82" t="s">
        <v>529</v>
      </c>
      <c r="D425">
        <v>201509</v>
      </c>
      <c r="E425" s="1">
        <v>42243</v>
      </c>
      <c r="F425" s="1">
        <v>42276</v>
      </c>
      <c r="G425" t="s">
        <v>530</v>
      </c>
      <c r="H425" s="81">
        <v>127360</v>
      </c>
      <c r="I425" t="s">
        <v>6</v>
      </c>
      <c r="J425" s="3">
        <v>7451.18</v>
      </c>
    </row>
    <row r="426" spans="1:10" x14ac:dyDescent="0.25">
      <c r="A426" t="s">
        <v>528</v>
      </c>
      <c r="B426" t="s">
        <v>5</v>
      </c>
      <c r="C426" s="82" t="s">
        <v>529</v>
      </c>
      <c r="D426">
        <v>201510</v>
      </c>
      <c r="E426" s="1">
        <v>42276</v>
      </c>
      <c r="F426" s="1">
        <v>42305</v>
      </c>
      <c r="G426" t="s">
        <v>530</v>
      </c>
      <c r="H426" s="81">
        <v>78883</v>
      </c>
      <c r="I426" t="s">
        <v>6</v>
      </c>
      <c r="J426" s="3">
        <v>4716.8</v>
      </c>
    </row>
    <row r="427" spans="1:10" x14ac:dyDescent="0.25">
      <c r="A427" t="s">
        <v>528</v>
      </c>
      <c r="B427" t="s">
        <v>5</v>
      </c>
      <c r="C427" s="82" t="s">
        <v>529</v>
      </c>
      <c r="D427">
        <v>201511</v>
      </c>
      <c r="E427" s="1">
        <v>42305</v>
      </c>
      <c r="F427" s="1">
        <v>42339</v>
      </c>
      <c r="G427" t="s">
        <v>530</v>
      </c>
      <c r="H427" s="81">
        <v>132601</v>
      </c>
      <c r="I427" t="s">
        <v>6</v>
      </c>
      <c r="J427" s="3">
        <v>8020.38</v>
      </c>
    </row>
    <row r="428" spans="1:10" x14ac:dyDescent="0.25">
      <c r="A428" t="s">
        <v>528</v>
      </c>
      <c r="B428" t="s">
        <v>5</v>
      </c>
      <c r="C428" s="82" t="s">
        <v>529</v>
      </c>
      <c r="D428">
        <v>201512</v>
      </c>
      <c r="E428" s="1">
        <v>42339</v>
      </c>
      <c r="F428" s="1">
        <v>42369</v>
      </c>
      <c r="G428" t="s">
        <v>530</v>
      </c>
      <c r="H428" s="81">
        <v>107665</v>
      </c>
      <c r="I428" t="s">
        <v>6</v>
      </c>
      <c r="J428" s="3">
        <v>6801.45</v>
      </c>
    </row>
    <row r="429" spans="1:10" x14ac:dyDescent="0.25">
      <c r="A429" t="s">
        <v>528</v>
      </c>
      <c r="B429" t="s">
        <v>5</v>
      </c>
      <c r="C429" s="82" t="s">
        <v>529</v>
      </c>
      <c r="D429">
        <v>201601</v>
      </c>
      <c r="E429" s="1">
        <v>42369</v>
      </c>
      <c r="F429" s="1">
        <v>42401</v>
      </c>
      <c r="G429" t="s">
        <v>530</v>
      </c>
      <c r="H429" s="81">
        <v>121322</v>
      </c>
      <c r="I429" t="s">
        <v>6</v>
      </c>
      <c r="J429" s="3">
        <v>7589.53</v>
      </c>
    </row>
    <row r="430" spans="1:10" x14ac:dyDescent="0.25">
      <c r="A430" t="s">
        <v>528</v>
      </c>
      <c r="B430" t="s">
        <v>5</v>
      </c>
      <c r="C430" s="82" t="s">
        <v>529</v>
      </c>
      <c r="D430">
        <v>201602</v>
      </c>
      <c r="E430" s="1">
        <v>42401</v>
      </c>
      <c r="F430" s="1">
        <v>42430</v>
      </c>
      <c r="G430" t="s">
        <v>530</v>
      </c>
      <c r="H430" s="81">
        <v>108762</v>
      </c>
      <c r="I430" t="s">
        <v>6</v>
      </c>
      <c r="J430" s="3">
        <v>6637.6</v>
      </c>
    </row>
    <row r="431" spans="1:10" x14ac:dyDescent="0.25">
      <c r="A431" t="s">
        <v>528</v>
      </c>
      <c r="B431" t="s">
        <v>5</v>
      </c>
      <c r="C431" s="82" t="s">
        <v>529</v>
      </c>
      <c r="D431">
        <v>201603</v>
      </c>
      <c r="E431" s="1">
        <v>42430</v>
      </c>
      <c r="F431" s="1">
        <v>42460</v>
      </c>
      <c r="G431" t="s">
        <v>530</v>
      </c>
      <c r="H431" s="81">
        <v>106353</v>
      </c>
      <c r="I431" t="s">
        <v>6</v>
      </c>
      <c r="J431" s="3">
        <v>6827.7</v>
      </c>
    </row>
    <row r="432" spans="1:10" x14ac:dyDescent="0.25">
      <c r="A432" t="s">
        <v>528</v>
      </c>
      <c r="B432" t="s">
        <v>5</v>
      </c>
      <c r="C432" s="82" t="s">
        <v>529</v>
      </c>
      <c r="D432">
        <v>201604</v>
      </c>
      <c r="E432" s="1">
        <v>42460</v>
      </c>
      <c r="F432" s="1">
        <v>42489</v>
      </c>
      <c r="G432" t="s">
        <v>530</v>
      </c>
      <c r="H432" s="81">
        <v>105910</v>
      </c>
      <c r="I432" t="s">
        <v>6</v>
      </c>
      <c r="J432" s="3">
        <v>6381.07</v>
      </c>
    </row>
    <row r="433" spans="1:10" x14ac:dyDescent="0.25">
      <c r="A433" t="s">
        <v>528</v>
      </c>
      <c r="B433" t="s">
        <v>5</v>
      </c>
      <c r="C433" s="82" t="s">
        <v>529</v>
      </c>
      <c r="D433">
        <v>201605</v>
      </c>
      <c r="E433" s="1">
        <v>42489</v>
      </c>
      <c r="F433" s="1">
        <v>42521</v>
      </c>
      <c r="G433" t="s">
        <v>530</v>
      </c>
      <c r="H433" s="81">
        <v>111447</v>
      </c>
      <c r="I433" t="s">
        <v>6</v>
      </c>
      <c r="J433" s="3">
        <v>6931.9</v>
      </c>
    </row>
    <row r="434" spans="1:10" x14ac:dyDescent="0.25">
      <c r="A434" t="s">
        <v>528</v>
      </c>
      <c r="B434" t="s">
        <v>5</v>
      </c>
      <c r="C434" s="82" t="s">
        <v>529</v>
      </c>
      <c r="D434">
        <v>201606</v>
      </c>
      <c r="E434" s="1">
        <v>42521</v>
      </c>
      <c r="F434" s="1">
        <v>42550</v>
      </c>
      <c r="G434" t="s">
        <v>530</v>
      </c>
      <c r="H434" s="81">
        <v>99965</v>
      </c>
      <c r="I434" t="s">
        <v>6</v>
      </c>
      <c r="J434" s="3">
        <v>6001.11</v>
      </c>
    </row>
    <row r="435" spans="1:10" x14ac:dyDescent="0.25">
      <c r="A435" t="s">
        <v>654</v>
      </c>
      <c r="B435" t="s">
        <v>5</v>
      </c>
      <c r="C435" s="82" t="s">
        <v>655</v>
      </c>
      <c r="D435">
        <v>201507</v>
      </c>
      <c r="E435" s="1">
        <v>42185</v>
      </c>
      <c r="F435" s="1">
        <v>42216</v>
      </c>
      <c r="G435" t="s">
        <v>656</v>
      </c>
      <c r="H435" s="81">
        <v>8321</v>
      </c>
      <c r="I435" t="s">
        <v>6</v>
      </c>
      <c r="J435" s="3">
        <v>488.09</v>
      </c>
    </row>
    <row r="436" spans="1:10" x14ac:dyDescent="0.25">
      <c r="A436" t="s">
        <v>654</v>
      </c>
      <c r="B436" t="s">
        <v>5</v>
      </c>
      <c r="C436" s="82" t="s">
        <v>655</v>
      </c>
      <c r="D436">
        <v>201508</v>
      </c>
      <c r="E436" s="1">
        <v>42216</v>
      </c>
      <c r="F436" s="1">
        <v>42243</v>
      </c>
      <c r="G436" t="s">
        <v>656</v>
      </c>
      <c r="H436" s="81">
        <v>6103</v>
      </c>
      <c r="I436" t="s">
        <v>6</v>
      </c>
      <c r="J436" s="3">
        <v>370.08</v>
      </c>
    </row>
    <row r="437" spans="1:10" x14ac:dyDescent="0.25">
      <c r="A437" t="s">
        <v>654</v>
      </c>
      <c r="B437" t="s">
        <v>5</v>
      </c>
      <c r="C437" s="82" t="s">
        <v>655</v>
      </c>
      <c r="D437">
        <v>201509</v>
      </c>
      <c r="E437" s="1">
        <v>42243</v>
      </c>
      <c r="F437" s="1">
        <v>42276</v>
      </c>
      <c r="G437" t="s">
        <v>656</v>
      </c>
      <c r="H437" s="81">
        <v>6317</v>
      </c>
      <c r="I437" t="s">
        <v>6</v>
      </c>
      <c r="J437" s="3">
        <v>369.58</v>
      </c>
    </row>
    <row r="438" spans="1:10" x14ac:dyDescent="0.25">
      <c r="A438" t="s">
        <v>654</v>
      </c>
      <c r="B438" t="s">
        <v>5</v>
      </c>
      <c r="C438" s="82" t="s">
        <v>655</v>
      </c>
      <c r="D438">
        <v>201510</v>
      </c>
      <c r="E438" s="1">
        <v>42276</v>
      </c>
      <c r="F438" s="1">
        <v>42305</v>
      </c>
      <c r="G438" t="s">
        <v>656</v>
      </c>
      <c r="H438" s="81">
        <v>5388</v>
      </c>
      <c r="I438" t="s">
        <v>6</v>
      </c>
      <c r="J438" s="3">
        <v>322.17</v>
      </c>
    </row>
    <row r="439" spans="1:10" x14ac:dyDescent="0.25">
      <c r="A439" t="s">
        <v>654</v>
      </c>
      <c r="B439" t="s">
        <v>5</v>
      </c>
      <c r="C439" s="82" t="s">
        <v>655</v>
      </c>
      <c r="D439">
        <v>201511</v>
      </c>
      <c r="E439" s="1">
        <v>42305</v>
      </c>
      <c r="F439" s="1">
        <v>42339</v>
      </c>
      <c r="G439" t="s">
        <v>656</v>
      </c>
      <c r="H439" s="81">
        <v>9271</v>
      </c>
      <c r="I439" t="s">
        <v>6</v>
      </c>
      <c r="J439" s="3">
        <v>560.76</v>
      </c>
    </row>
    <row r="440" spans="1:10" x14ac:dyDescent="0.25">
      <c r="A440" t="s">
        <v>654</v>
      </c>
      <c r="B440" t="s">
        <v>5</v>
      </c>
      <c r="C440" s="82" t="s">
        <v>655</v>
      </c>
      <c r="D440">
        <v>201512</v>
      </c>
      <c r="E440" s="1">
        <v>42339</v>
      </c>
      <c r="F440" s="1">
        <v>42369</v>
      </c>
      <c r="G440" t="s">
        <v>656</v>
      </c>
      <c r="H440" s="81">
        <v>8668</v>
      </c>
      <c r="I440" t="s">
        <v>6</v>
      </c>
      <c r="J440" s="3">
        <v>547.58000000000004</v>
      </c>
    </row>
    <row r="441" spans="1:10" x14ac:dyDescent="0.25">
      <c r="A441" t="s">
        <v>654</v>
      </c>
      <c r="B441" t="s">
        <v>5</v>
      </c>
      <c r="C441" s="82" t="s">
        <v>655</v>
      </c>
      <c r="D441">
        <v>201601</v>
      </c>
      <c r="E441" s="1">
        <v>42369</v>
      </c>
      <c r="F441" s="1">
        <v>42401</v>
      </c>
      <c r="G441" t="s">
        <v>656</v>
      </c>
      <c r="H441" s="81">
        <v>19991</v>
      </c>
      <c r="I441" t="s">
        <v>6</v>
      </c>
      <c r="J441" s="3">
        <v>1250.57</v>
      </c>
    </row>
    <row r="442" spans="1:10" x14ac:dyDescent="0.25">
      <c r="A442" t="s">
        <v>654</v>
      </c>
      <c r="B442" t="s">
        <v>5</v>
      </c>
      <c r="C442" s="82" t="s">
        <v>655</v>
      </c>
      <c r="D442">
        <v>201602</v>
      </c>
      <c r="E442" s="1">
        <v>42401</v>
      </c>
      <c r="F442" s="1">
        <v>42430</v>
      </c>
      <c r="G442" t="s">
        <v>656</v>
      </c>
      <c r="H442" s="81">
        <v>15350</v>
      </c>
      <c r="I442" t="s">
        <v>6</v>
      </c>
      <c r="J442" s="3">
        <v>936.79</v>
      </c>
    </row>
    <row r="443" spans="1:10" x14ac:dyDescent="0.25">
      <c r="A443" t="s">
        <v>654</v>
      </c>
      <c r="B443" t="s">
        <v>5</v>
      </c>
      <c r="C443" s="82" t="s">
        <v>655</v>
      </c>
      <c r="D443">
        <v>201603</v>
      </c>
      <c r="E443" s="1">
        <v>42430</v>
      </c>
      <c r="F443" s="1">
        <v>42460</v>
      </c>
      <c r="G443" t="s">
        <v>656</v>
      </c>
      <c r="H443" s="81">
        <v>8290</v>
      </c>
      <c r="I443" t="s">
        <v>6</v>
      </c>
      <c r="J443" s="3">
        <v>532.21</v>
      </c>
    </row>
    <row r="444" spans="1:10" x14ac:dyDescent="0.25">
      <c r="A444" t="s">
        <v>654</v>
      </c>
      <c r="B444" t="s">
        <v>5</v>
      </c>
      <c r="C444" s="82" t="s">
        <v>655</v>
      </c>
      <c r="D444">
        <v>201604</v>
      </c>
      <c r="E444" s="1">
        <v>42460</v>
      </c>
      <c r="F444" s="1">
        <v>42489</v>
      </c>
      <c r="G444" t="s">
        <v>656</v>
      </c>
      <c r="H444" s="81">
        <v>6072</v>
      </c>
      <c r="I444" t="s">
        <v>6</v>
      </c>
      <c r="J444" s="3">
        <v>365.84</v>
      </c>
    </row>
    <row r="445" spans="1:10" x14ac:dyDescent="0.25">
      <c r="A445" t="s">
        <v>654</v>
      </c>
      <c r="B445" t="s">
        <v>5</v>
      </c>
      <c r="C445" s="82" t="s">
        <v>655</v>
      </c>
      <c r="D445">
        <v>201605</v>
      </c>
      <c r="E445" s="1">
        <v>42489</v>
      </c>
      <c r="F445" s="1">
        <v>42521</v>
      </c>
      <c r="G445" t="s">
        <v>656</v>
      </c>
      <c r="H445" s="81">
        <v>5204</v>
      </c>
      <c r="I445" t="s">
        <v>6</v>
      </c>
      <c r="J445" s="3">
        <v>323.68</v>
      </c>
    </row>
    <row r="446" spans="1:10" x14ac:dyDescent="0.25">
      <c r="A446" t="s">
        <v>654</v>
      </c>
      <c r="B446" t="s">
        <v>5</v>
      </c>
      <c r="C446" s="82" t="s">
        <v>655</v>
      </c>
      <c r="D446">
        <v>201606</v>
      </c>
      <c r="E446" s="1">
        <v>42521</v>
      </c>
      <c r="F446" s="1">
        <v>42550</v>
      </c>
      <c r="G446" t="s">
        <v>656</v>
      </c>
      <c r="H446" s="81">
        <v>5367</v>
      </c>
      <c r="I446" t="s">
        <v>6</v>
      </c>
      <c r="J446" s="3">
        <v>322.19</v>
      </c>
    </row>
    <row r="447" spans="1:10" x14ac:dyDescent="0.25">
      <c r="A447" t="s">
        <v>676</v>
      </c>
      <c r="B447" t="s">
        <v>5</v>
      </c>
      <c r="C447" s="82" t="s">
        <v>677</v>
      </c>
      <c r="D447">
        <v>201507</v>
      </c>
      <c r="E447" s="1">
        <v>42185</v>
      </c>
      <c r="F447" s="1">
        <v>42216</v>
      </c>
      <c r="G447" t="s">
        <v>677</v>
      </c>
      <c r="H447" s="81">
        <v>51576</v>
      </c>
      <c r="I447" t="s">
        <v>6</v>
      </c>
      <c r="J447" s="3">
        <v>3025.35</v>
      </c>
    </row>
    <row r="448" spans="1:10" x14ac:dyDescent="0.25">
      <c r="A448" t="s">
        <v>676</v>
      </c>
      <c r="B448" t="s">
        <v>5</v>
      </c>
      <c r="C448" s="82" t="s">
        <v>677</v>
      </c>
      <c r="D448">
        <v>201508</v>
      </c>
      <c r="E448" s="1">
        <v>42216</v>
      </c>
      <c r="F448" s="1">
        <v>42243</v>
      </c>
      <c r="G448" t="s">
        <v>677</v>
      </c>
      <c r="H448" s="81">
        <v>42263</v>
      </c>
      <c r="I448" t="s">
        <v>6</v>
      </c>
      <c r="J448" s="3">
        <v>2562.79</v>
      </c>
    </row>
    <row r="449" spans="1:10" x14ac:dyDescent="0.25">
      <c r="A449" t="s">
        <v>676</v>
      </c>
      <c r="B449" t="s">
        <v>5</v>
      </c>
      <c r="C449" s="82" t="s">
        <v>677</v>
      </c>
      <c r="D449">
        <v>201509</v>
      </c>
      <c r="E449" s="1">
        <v>42243</v>
      </c>
      <c r="F449" s="1">
        <v>42276</v>
      </c>
      <c r="G449" t="s">
        <v>677</v>
      </c>
      <c r="H449" s="81">
        <v>63089</v>
      </c>
      <c r="I449" t="s">
        <v>6</v>
      </c>
      <c r="J449" s="3">
        <v>3691.01</v>
      </c>
    </row>
    <row r="450" spans="1:10" x14ac:dyDescent="0.25">
      <c r="A450" t="s">
        <v>676</v>
      </c>
      <c r="B450" t="s">
        <v>5</v>
      </c>
      <c r="C450" s="82" t="s">
        <v>677</v>
      </c>
      <c r="D450">
        <v>201510</v>
      </c>
      <c r="E450" s="1">
        <v>42276</v>
      </c>
      <c r="F450" s="1">
        <v>42305</v>
      </c>
      <c r="G450" t="s">
        <v>677</v>
      </c>
      <c r="H450" s="81">
        <v>44314</v>
      </c>
      <c r="I450" t="s">
        <v>6</v>
      </c>
      <c r="J450" s="3">
        <v>2649.75</v>
      </c>
    </row>
    <row r="451" spans="1:10" x14ac:dyDescent="0.25">
      <c r="A451" t="s">
        <v>676</v>
      </c>
      <c r="B451" t="s">
        <v>5</v>
      </c>
      <c r="C451" s="82" t="s">
        <v>677</v>
      </c>
      <c r="D451">
        <v>201511</v>
      </c>
      <c r="E451" s="1">
        <v>42305</v>
      </c>
      <c r="F451" s="1">
        <v>42339</v>
      </c>
      <c r="G451" t="s">
        <v>677</v>
      </c>
      <c r="H451" s="81">
        <v>69899</v>
      </c>
      <c r="I451" t="s">
        <v>6</v>
      </c>
      <c r="J451" s="3">
        <v>4227.8500000000004</v>
      </c>
    </row>
    <row r="452" spans="1:10" x14ac:dyDescent="0.25">
      <c r="A452" t="s">
        <v>676</v>
      </c>
      <c r="B452" t="s">
        <v>5</v>
      </c>
      <c r="C452" s="82" t="s">
        <v>677</v>
      </c>
      <c r="D452">
        <v>201512</v>
      </c>
      <c r="E452" s="1">
        <v>42339</v>
      </c>
      <c r="F452" s="1">
        <v>42369</v>
      </c>
      <c r="G452" t="s">
        <v>677</v>
      </c>
      <c r="H452" s="81">
        <v>57335</v>
      </c>
      <c r="I452" t="s">
        <v>6</v>
      </c>
      <c r="J452" s="3">
        <v>3621.98</v>
      </c>
    </row>
    <row r="453" spans="1:10" x14ac:dyDescent="0.25">
      <c r="A453" t="s">
        <v>676</v>
      </c>
      <c r="B453" t="s">
        <v>5</v>
      </c>
      <c r="C453" s="82" t="s">
        <v>677</v>
      </c>
      <c r="D453">
        <v>201601</v>
      </c>
      <c r="E453" s="1">
        <v>42369</v>
      </c>
      <c r="F453" s="1">
        <v>42401</v>
      </c>
      <c r="G453" t="s">
        <v>677</v>
      </c>
      <c r="H453" s="81">
        <v>60728</v>
      </c>
      <c r="I453" t="s">
        <v>6</v>
      </c>
      <c r="J453" s="3">
        <v>3798.95</v>
      </c>
    </row>
    <row r="454" spans="1:10" x14ac:dyDescent="0.25">
      <c r="A454" t="s">
        <v>676</v>
      </c>
      <c r="B454" t="s">
        <v>5</v>
      </c>
      <c r="C454" s="82" t="s">
        <v>677</v>
      </c>
      <c r="D454">
        <v>201602</v>
      </c>
      <c r="E454" s="1">
        <v>42401</v>
      </c>
      <c r="F454" s="1">
        <v>42430</v>
      </c>
      <c r="G454" t="s">
        <v>677</v>
      </c>
      <c r="H454" s="81">
        <v>62137</v>
      </c>
      <c r="I454" t="s">
        <v>6</v>
      </c>
      <c r="J454" s="3">
        <v>3792.14</v>
      </c>
    </row>
    <row r="455" spans="1:10" x14ac:dyDescent="0.25">
      <c r="A455" t="s">
        <v>676</v>
      </c>
      <c r="B455" t="s">
        <v>5</v>
      </c>
      <c r="C455" s="82" t="s">
        <v>677</v>
      </c>
      <c r="D455">
        <v>201603</v>
      </c>
      <c r="E455" s="1">
        <v>42430</v>
      </c>
      <c r="F455" s="1">
        <v>42460</v>
      </c>
      <c r="G455" t="s">
        <v>677</v>
      </c>
      <c r="H455" s="81">
        <v>59777</v>
      </c>
      <c r="I455" t="s">
        <v>6</v>
      </c>
      <c r="J455" s="3">
        <v>3837.59</v>
      </c>
    </row>
    <row r="456" spans="1:10" x14ac:dyDescent="0.25">
      <c r="A456" t="s">
        <v>676</v>
      </c>
      <c r="B456" t="s">
        <v>5</v>
      </c>
      <c r="C456" s="82" t="s">
        <v>677</v>
      </c>
      <c r="D456">
        <v>201604</v>
      </c>
      <c r="E456" s="1">
        <v>42460</v>
      </c>
      <c r="F456" s="1">
        <v>42489</v>
      </c>
      <c r="G456" t="s">
        <v>677</v>
      </c>
      <c r="H456" s="81">
        <v>58705</v>
      </c>
      <c r="I456" t="s">
        <v>6</v>
      </c>
      <c r="J456" s="3">
        <v>3536.97</v>
      </c>
    </row>
    <row r="457" spans="1:10" x14ac:dyDescent="0.25">
      <c r="A457" t="s">
        <v>676</v>
      </c>
      <c r="B457" t="s">
        <v>5</v>
      </c>
      <c r="C457" s="82" t="s">
        <v>677</v>
      </c>
      <c r="D457">
        <v>201605</v>
      </c>
      <c r="E457" s="1">
        <v>42489</v>
      </c>
      <c r="F457" s="1">
        <v>42521</v>
      </c>
      <c r="G457" t="s">
        <v>677</v>
      </c>
      <c r="H457" s="81">
        <v>58614</v>
      </c>
      <c r="I457" t="s">
        <v>6</v>
      </c>
      <c r="J457" s="3">
        <v>3645.74</v>
      </c>
    </row>
    <row r="458" spans="1:10" x14ac:dyDescent="0.25">
      <c r="A458" t="s">
        <v>676</v>
      </c>
      <c r="B458" t="s">
        <v>5</v>
      </c>
      <c r="C458" s="82" t="s">
        <v>677</v>
      </c>
      <c r="D458">
        <v>201606</v>
      </c>
      <c r="E458" s="1">
        <v>42521</v>
      </c>
      <c r="F458" s="1">
        <v>42550</v>
      </c>
      <c r="G458" t="s">
        <v>677</v>
      </c>
      <c r="H458" s="81">
        <v>51008</v>
      </c>
      <c r="I458" t="s">
        <v>6</v>
      </c>
      <c r="J458" s="3">
        <v>3062.12</v>
      </c>
    </row>
    <row r="459" spans="1:10" x14ac:dyDescent="0.25">
      <c r="A459" t="s">
        <v>676</v>
      </c>
      <c r="B459" t="s">
        <v>5</v>
      </c>
      <c r="C459" s="82" t="s">
        <v>678</v>
      </c>
      <c r="D459">
        <v>201507</v>
      </c>
      <c r="E459" s="1">
        <v>42185</v>
      </c>
      <c r="F459" s="1">
        <v>42216</v>
      </c>
      <c r="G459" t="s">
        <v>678</v>
      </c>
      <c r="H459" s="81">
        <v>47507</v>
      </c>
      <c r="I459" t="s">
        <v>6</v>
      </c>
      <c r="J459" s="3">
        <v>2786.67</v>
      </c>
    </row>
    <row r="460" spans="1:10" x14ac:dyDescent="0.25">
      <c r="A460" t="s">
        <v>676</v>
      </c>
      <c r="B460" t="s">
        <v>5</v>
      </c>
      <c r="C460" s="82" t="s">
        <v>678</v>
      </c>
      <c r="D460">
        <v>201508</v>
      </c>
      <c r="E460" s="1">
        <v>42216</v>
      </c>
      <c r="F460" s="1">
        <v>42243</v>
      </c>
      <c r="G460" t="s">
        <v>678</v>
      </c>
      <c r="H460" s="81">
        <v>39542</v>
      </c>
      <c r="I460" t="s">
        <v>6</v>
      </c>
      <c r="J460" s="3">
        <v>2397.79</v>
      </c>
    </row>
    <row r="461" spans="1:10" x14ac:dyDescent="0.25">
      <c r="A461" t="s">
        <v>676</v>
      </c>
      <c r="B461" t="s">
        <v>5</v>
      </c>
      <c r="C461" s="82" t="s">
        <v>678</v>
      </c>
      <c r="D461">
        <v>201509</v>
      </c>
      <c r="E461" s="1">
        <v>42243</v>
      </c>
      <c r="F461" s="1">
        <v>42276</v>
      </c>
      <c r="G461" t="s">
        <v>678</v>
      </c>
      <c r="H461" s="81">
        <v>57320</v>
      </c>
      <c r="I461" t="s">
        <v>6</v>
      </c>
      <c r="J461" s="3">
        <v>3353.5</v>
      </c>
    </row>
    <row r="462" spans="1:10" x14ac:dyDescent="0.25">
      <c r="A462" t="s">
        <v>676</v>
      </c>
      <c r="B462" t="s">
        <v>5</v>
      </c>
      <c r="C462" s="82" t="s">
        <v>678</v>
      </c>
      <c r="D462">
        <v>201510</v>
      </c>
      <c r="E462" s="1">
        <v>42276</v>
      </c>
      <c r="F462" s="1">
        <v>42305</v>
      </c>
      <c r="G462" t="s">
        <v>678</v>
      </c>
      <c r="H462" s="81">
        <v>38038</v>
      </c>
      <c r="I462" t="s">
        <v>6</v>
      </c>
      <c r="J462" s="3">
        <v>2274.48</v>
      </c>
    </row>
    <row r="463" spans="1:10" x14ac:dyDescent="0.25">
      <c r="A463" t="s">
        <v>676</v>
      </c>
      <c r="B463" t="s">
        <v>5</v>
      </c>
      <c r="C463" s="82" t="s">
        <v>678</v>
      </c>
      <c r="D463">
        <v>201511</v>
      </c>
      <c r="E463" s="1">
        <v>42305</v>
      </c>
      <c r="F463" s="1">
        <v>42339</v>
      </c>
      <c r="G463" t="s">
        <v>678</v>
      </c>
      <c r="H463" s="81">
        <v>70071</v>
      </c>
      <c r="I463" t="s">
        <v>6</v>
      </c>
      <c r="J463" s="3">
        <v>4238.25</v>
      </c>
    </row>
    <row r="464" spans="1:10" x14ac:dyDescent="0.25">
      <c r="A464" t="s">
        <v>676</v>
      </c>
      <c r="B464" t="s">
        <v>5</v>
      </c>
      <c r="C464" s="82" t="s">
        <v>678</v>
      </c>
      <c r="D464">
        <v>201512</v>
      </c>
      <c r="E464" s="1">
        <v>42339</v>
      </c>
      <c r="F464" s="1">
        <v>42369</v>
      </c>
      <c r="G464" t="s">
        <v>678</v>
      </c>
      <c r="H464" s="81">
        <v>51488</v>
      </c>
      <c r="I464" t="s">
        <v>6</v>
      </c>
      <c r="J464" s="3">
        <v>3252.62</v>
      </c>
    </row>
    <row r="465" spans="1:10" x14ac:dyDescent="0.25">
      <c r="A465" t="s">
        <v>676</v>
      </c>
      <c r="B465" t="s">
        <v>5</v>
      </c>
      <c r="C465" s="82" t="s">
        <v>678</v>
      </c>
      <c r="D465">
        <v>201601</v>
      </c>
      <c r="E465" s="1">
        <v>42369</v>
      </c>
      <c r="F465" s="1">
        <v>42401</v>
      </c>
      <c r="G465" t="s">
        <v>678</v>
      </c>
      <c r="H465" s="81">
        <v>56921</v>
      </c>
      <c r="I465" t="s">
        <v>6</v>
      </c>
      <c r="J465" s="3">
        <v>3560.8</v>
      </c>
    </row>
    <row r="466" spans="1:10" x14ac:dyDescent="0.25">
      <c r="A466" t="s">
        <v>676</v>
      </c>
      <c r="B466" t="s">
        <v>5</v>
      </c>
      <c r="C466" s="82" t="s">
        <v>678</v>
      </c>
      <c r="D466">
        <v>201602</v>
      </c>
      <c r="E466" s="1">
        <v>42401</v>
      </c>
      <c r="F466" s="1">
        <v>42430</v>
      </c>
      <c r="G466" t="s">
        <v>678</v>
      </c>
      <c r="H466" s="81">
        <v>56608</v>
      </c>
      <c r="I466" t="s">
        <v>6</v>
      </c>
      <c r="J466" s="3">
        <v>3454.71</v>
      </c>
    </row>
    <row r="467" spans="1:10" x14ac:dyDescent="0.25">
      <c r="A467" t="s">
        <v>676</v>
      </c>
      <c r="B467" t="s">
        <v>5</v>
      </c>
      <c r="C467" s="82" t="s">
        <v>678</v>
      </c>
      <c r="D467">
        <v>201603</v>
      </c>
      <c r="E467" s="1">
        <v>42430</v>
      </c>
      <c r="F467" s="1">
        <v>42460</v>
      </c>
      <c r="G467" t="s">
        <v>678</v>
      </c>
      <c r="H467" s="81">
        <v>53959</v>
      </c>
      <c r="I467" t="s">
        <v>6</v>
      </c>
      <c r="J467" s="3">
        <v>3464.09</v>
      </c>
    </row>
    <row r="468" spans="1:10" x14ac:dyDescent="0.25">
      <c r="A468" t="s">
        <v>676</v>
      </c>
      <c r="B468" t="s">
        <v>5</v>
      </c>
      <c r="C468" s="82" t="s">
        <v>678</v>
      </c>
      <c r="D468">
        <v>201604</v>
      </c>
      <c r="E468" s="1">
        <v>42460</v>
      </c>
      <c r="F468" s="1">
        <v>42489</v>
      </c>
      <c r="G468" t="s">
        <v>678</v>
      </c>
      <c r="H468" s="81">
        <v>53143</v>
      </c>
      <c r="I468" t="s">
        <v>6</v>
      </c>
      <c r="J468" s="3">
        <v>3201.86</v>
      </c>
    </row>
    <row r="469" spans="1:10" x14ac:dyDescent="0.25">
      <c r="A469" t="s">
        <v>676</v>
      </c>
      <c r="B469" t="s">
        <v>5</v>
      </c>
      <c r="C469" s="82" t="s">
        <v>678</v>
      </c>
      <c r="D469">
        <v>201605</v>
      </c>
      <c r="E469" s="1">
        <v>42489</v>
      </c>
      <c r="F469" s="1">
        <v>42521</v>
      </c>
      <c r="G469" t="s">
        <v>678</v>
      </c>
      <c r="H469" s="81">
        <v>51584</v>
      </c>
      <c r="I469" t="s">
        <v>6</v>
      </c>
      <c r="J469" s="3">
        <v>3208.48</v>
      </c>
    </row>
    <row r="470" spans="1:10" x14ac:dyDescent="0.25">
      <c r="A470" t="s">
        <v>676</v>
      </c>
      <c r="B470" t="s">
        <v>5</v>
      </c>
      <c r="C470" s="82" t="s">
        <v>678</v>
      </c>
      <c r="D470">
        <v>201606</v>
      </c>
      <c r="E470" s="1">
        <v>42521</v>
      </c>
      <c r="F470" s="1">
        <v>42550</v>
      </c>
      <c r="G470" t="s">
        <v>678</v>
      </c>
      <c r="H470" s="81">
        <v>42394</v>
      </c>
      <c r="I470" t="s">
        <v>6</v>
      </c>
      <c r="J470" s="3">
        <v>2545</v>
      </c>
    </row>
    <row r="471" spans="1:10" x14ac:dyDescent="0.25">
      <c r="A471" t="s">
        <v>586</v>
      </c>
      <c r="B471" t="s">
        <v>5</v>
      </c>
      <c r="C471" s="82">
        <v>3592197507</v>
      </c>
      <c r="D471">
        <v>201507</v>
      </c>
      <c r="E471" s="1">
        <v>42186</v>
      </c>
      <c r="F471" s="1">
        <v>42219</v>
      </c>
      <c r="G471" t="s">
        <v>647</v>
      </c>
      <c r="H471" s="81">
        <v>3103</v>
      </c>
      <c r="I471" t="s">
        <v>6</v>
      </c>
      <c r="J471" s="3">
        <v>288.18</v>
      </c>
    </row>
    <row r="472" spans="1:10" x14ac:dyDescent="0.25">
      <c r="A472" t="s">
        <v>586</v>
      </c>
      <c r="B472" t="s">
        <v>5</v>
      </c>
      <c r="C472" s="82">
        <v>3592197507</v>
      </c>
      <c r="D472">
        <v>201508</v>
      </c>
      <c r="E472" s="1">
        <v>42219</v>
      </c>
      <c r="F472" s="1">
        <v>42243</v>
      </c>
      <c r="G472" t="s">
        <v>647</v>
      </c>
      <c r="H472" s="81">
        <v>1806</v>
      </c>
      <c r="I472" t="s">
        <v>6</v>
      </c>
      <c r="J472" s="3">
        <v>169.95</v>
      </c>
    </row>
    <row r="473" spans="1:10" x14ac:dyDescent="0.25">
      <c r="A473" t="s">
        <v>586</v>
      </c>
      <c r="B473" t="s">
        <v>5</v>
      </c>
      <c r="C473" s="82">
        <v>3592197507</v>
      </c>
      <c r="D473">
        <v>201509</v>
      </c>
      <c r="E473" s="1">
        <v>42243</v>
      </c>
      <c r="F473" s="1">
        <v>42276</v>
      </c>
      <c r="G473" t="s">
        <v>647</v>
      </c>
      <c r="H473" s="81">
        <v>2693</v>
      </c>
      <c r="I473" t="s">
        <v>6</v>
      </c>
      <c r="J473" s="3">
        <v>249.47</v>
      </c>
    </row>
    <row r="474" spans="1:10" x14ac:dyDescent="0.25">
      <c r="A474" t="s">
        <v>586</v>
      </c>
      <c r="B474" t="s">
        <v>5</v>
      </c>
      <c r="C474" s="82">
        <v>3592197507</v>
      </c>
      <c r="D474">
        <v>201510</v>
      </c>
      <c r="E474" s="1">
        <v>42276</v>
      </c>
      <c r="F474" s="1">
        <v>42305</v>
      </c>
      <c r="G474" t="s">
        <v>647</v>
      </c>
      <c r="H474" s="81">
        <v>2192</v>
      </c>
      <c r="I474" t="s">
        <v>6</v>
      </c>
      <c r="J474" s="3">
        <v>204.69</v>
      </c>
    </row>
    <row r="475" spans="1:10" x14ac:dyDescent="0.25">
      <c r="A475" t="s">
        <v>586</v>
      </c>
      <c r="B475" t="s">
        <v>5</v>
      </c>
      <c r="C475" s="82">
        <v>3592197507</v>
      </c>
      <c r="D475">
        <v>201511</v>
      </c>
      <c r="E475" s="1">
        <v>42305</v>
      </c>
      <c r="F475" s="1">
        <v>42339</v>
      </c>
      <c r="G475" t="s">
        <v>647</v>
      </c>
      <c r="H475" s="81">
        <v>3733</v>
      </c>
      <c r="I475" t="s">
        <v>6</v>
      </c>
      <c r="J475" s="3">
        <v>341.46</v>
      </c>
    </row>
    <row r="476" spans="1:10" x14ac:dyDescent="0.25">
      <c r="A476" t="s">
        <v>586</v>
      </c>
      <c r="B476" t="s">
        <v>5</v>
      </c>
      <c r="C476" s="82">
        <v>3592197507</v>
      </c>
      <c r="D476">
        <v>201512</v>
      </c>
      <c r="E476" s="1">
        <v>42339</v>
      </c>
      <c r="F476" s="1">
        <v>42369</v>
      </c>
      <c r="G476" t="s">
        <v>647</v>
      </c>
      <c r="H476" s="81">
        <v>4916</v>
      </c>
      <c r="I476" t="s">
        <v>6</v>
      </c>
      <c r="J476" s="3">
        <v>424.71</v>
      </c>
    </row>
    <row r="477" spans="1:10" x14ac:dyDescent="0.25">
      <c r="A477" t="s">
        <v>586</v>
      </c>
      <c r="B477" t="s">
        <v>5</v>
      </c>
      <c r="C477" s="82">
        <v>3592197507</v>
      </c>
      <c r="D477">
        <v>201601</v>
      </c>
      <c r="E477" s="1">
        <v>42369</v>
      </c>
      <c r="F477" s="1">
        <v>42401</v>
      </c>
      <c r="G477" t="s">
        <v>647</v>
      </c>
      <c r="H477" s="81">
        <v>7368</v>
      </c>
      <c r="I477" t="s">
        <v>6</v>
      </c>
      <c r="J477" s="3">
        <v>624.78</v>
      </c>
    </row>
    <row r="478" spans="1:10" x14ac:dyDescent="0.25">
      <c r="A478" t="s">
        <v>586</v>
      </c>
      <c r="B478" t="s">
        <v>5</v>
      </c>
      <c r="C478" s="82">
        <v>3592197507</v>
      </c>
      <c r="D478">
        <v>201602</v>
      </c>
      <c r="E478" s="1">
        <v>42401</v>
      </c>
      <c r="F478" s="1">
        <v>42430</v>
      </c>
      <c r="G478" t="s">
        <v>647</v>
      </c>
      <c r="H478" s="81">
        <v>7750</v>
      </c>
      <c r="I478" t="s">
        <v>6</v>
      </c>
      <c r="J478" s="3">
        <v>643.39</v>
      </c>
    </row>
    <row r="479" spans="1:10" x14ac:dyDescent="0.25">
      <c r="A479" t="s">
        <v>586</v>
      </c>
      <c r="B479" t="s">
        <v>5</v>
      </c>
      <c r="C479" s="82">
        <v>3592197507</v>
      </c>
      <c r="D479">
        <v>201603</v>
      </c>
      <c r="E479" s="1">
        <v>42430</v>
      </c>
      <c r="F479" s="1">
        <v>42464</v>
      </c>
      <c r="G479" t="s">
        <v>647</v>
      </c>
      <c r="H479" s="81">
        <v>3711</v>
      </c>
      <c r="I479" t="s">
        <v>6</v>
      </c>
      <c r="J479" s="3">
        <v>339.16</v>
      </c>
    </row>
    <row r="480" spans="1:10" x14ac:dyDescent="0.25">
      <c r="A480" t="s">
        <v>586</v>
      </c>
      <c r="B480" t="s">
        <v>5</v>
      </c>
      <c r="C480" s="82">
        <v>3592197507</v>
      </c>
      <c r="D480">
        <v>201604</v>
      </c>
      <c r="E480" s="1">
        <v>42464</v>
      </c>
      <c r="F480" s="1">
        <v>42489</v>
      </c>
      <c r="G480" t="s">
        <v>647</v>
      </c>
      <c r="H480" s="81">
        <v>2412</v>
      </c>
      <c r="I480" t="s">
        <v>6</v>
      </c>
      <c r="J480" s="3">
        <v>222.98</v>
      </c>
    </row>
    <row r="481" spans="1:10" x14ac:dyDescent="0.25">
      <c r="A481" t="s">
        <v>586</v>
      </c>
      <c r="B481" t="s">
        <v>5</v>
      </c>
      <c r="C481" s="82">
        <v>3592197507</v>
      </c>
      <c r="D481">
        <v>201605</v>
      </c>
      <c r="E481" s="1">
        <v>42489</v>
      </c>
      <c r="F481" s="1">
        <v>42521</v>
      </c>
      <c r="G481" t="s">
        <v>647</v>
      </c>
      <c r="H481" s="81">
        <v>2357</v>
      </c>
      <c r="I481" t="s">
        <v>6</v>
      </c>
      <c r="J481" s="3">
        <v>221.35</v>
      </c>
    </row>
    <row r="482" spans="1:10" x14ac:dyDescent="0.25">
      <c r="A482" t="s">
        <v>586</v>
      </c>
      <c r="B482" t="s">
        <v>5</v>
      </c>
      <c r="C482" s="82">
        <v>3592197507</v>
      </c>
      <c r="D482">
        <v>201606</v>
      </c>
      <c r="E482" s="1">
        <v>42521</v>
      </c>
      <c r="F482" s="1">
        <v>42551</v>
      </c>
      <c r="G482" t="s">
        <v>647</v>
      </c>
      <c r="H482" s="81">
        <v>2699</v>
      </c>
      <c r="I482" t="s">
        <v>6</v>
      </c>
      <c r="J482" s="3">
        <v>252.05</v>
      </c>
    </row>
    <row r="483" spans="1:10" x14ac:dyDescent="0.25">
      <c r="A483" t="s">
        <v>586</v>
      </c>
      <c r="B483" t="s">
        <v>5</v>
      </c>
      <c r="C483" s="82">
        <v>7605344808</v>
      </c>
      <c r="D483">
        <v>201507</v>
      </c>
      <c r="E483" s="1">
        <v>42186</v>
      </c>
      <c r="F483" s="1">
        <v>42219</v>
      </c>
      <c r="G483" t="s">
        <v>648</v>
      </c>
      <c r="H483" s="81">
        <v>484</v>
      </c>
      <c r="I483" t="s">
        <v>6</v>
      </c>
      <c r="J483" s="3">
        <v>53.5</v>
      </c>
    </row>
    <row r="484" spans="1:10" x14ac:dyDescent="0.25">
      <c r="A484" t="s">
        <v>586</v>
      </c>
      <c r="B484" t="s">
        <v>5</v>
      </c>
      <c r="C484" s="82">
        <v>7605344808</v>
      </c>
      <c r="D484">
        <v>201508</v>
      </c>
      <c r="E484" s="1">
        <v>42219</v>
      </c>
      <c r="F484" s="1">
        <v>42243</v>
      </c>
      <c r="G484" t="s">
        <v>648</v>
      </c>
      <c r="H484" s="81">
        <v>317</v>
      </c>
      <c r="I484" t="s">
        <v>6</v>
      </c>
      <c r="J484" s="3">
        <v>36.51</v>
      </c>
    </row>
    <row r="485" spans="1:10" x14ac:dyDescent="0.25">
      <c r="A485" t="s">
        <v>586</v>
      </c>
      <c r="B485" t="s">
        <v>5</v>
      </c>
      <c r="C485" s="82">
        <v>7605344808</v>
      </c>
      <c r="D485">
        <v>201509</v>
      </c>
      <c r="E485" s="1">
        <v>42243</v>
      </c>
      <c r="F485" s="1">
        <v>42276</v>
      </c>
      <c r="G485" t="s">
        <v>648</v>
      </c>
      <c r="H485" s="81">
        <v>586</v>
      </c>
      <c r="I485" t="s">
        <v>6</v>
      </c>
      <c r="J485" s="3">
        <v>62.2</v>
      </c>
    </row>
    <row r="486" spans="1:10" x14ac:dyDescent="0.25">
      <c r="A486" t="s">
        <v>586</v>
      </c>
      <c r="B486" t="s">
        <v>5</v>
      </c>
      <c r="C486" s="82">
        <v>7605344808</v>
      </c>
      <c r="D486">
        <v>201510</v>
      </c>
      <c r="E486" s="1">
        <v>42276</v>
      </c>
      <c r="F486" s="1">
        <v>42305</v>
      </c>
      <c r="G486" t="s">
        <v>648</v>
      </c>
      <c r="H486" s="81">
        <v>779</v>
      </c>
      <c r="I486" t="s">
        <v>6</v>
      </c>
      <c r="J486" s="3">
        <v>79</v>
      </c>
    </row>
    <row r="487" spans="1:10" x14ac:dyDescent="0.25">
      <c r="A487" t="s">
        <v>586</v>
      </c>
      <c r="B487" t="s">
        <v>5</v>
      </c>
      <c r="C487" s="82">
        <v>7605344808</v>
      </c>
      <c r="D487">
        <v>201511</v>
      </c>
      <c r="E487" s="1">
        <v>42305</v>
      </c>
      <c r="F487" s="1">
        <v>42339</v>
      </c>
      <c r="G487" t="s">
        <v>648</v>
      </c>
      <c r="H487" s="81">
        <v>1726</v>
      </c>
      <c r="I487" t="s">
        <v>6</v>
      </c>
      <c r="J487" s="3">
        <v>163.33000000000001</v>
      </c>
    </row>
    <row r="488" spans="1:10" x14ac:dyDescent="0.25">
      <c r="A488" t="s">
        <v>586</v>
      </c>
      <c r="B488" t="s">
        <v>5</v>
      </c>
      <c r="C488" s="82">
        <v>7605344808</v>
      </c>
      <c r="D488">
        <v>201512</v>
      </c>
      <c r="E488" s="1">
        <v>42339</v>
      </c>
      <c r="F488" s="1">
        <v>42369</v>
      </c>
      <c r="G488" t="s">
        <v>648</v>
      </c>
      <c r="H488" s="81">
        <v>2036</v>
      </c>
      <c r="I488" t="s">
        <v>6</v>
      </c>
      <c r="J488" s="3">
        <v>190.84</v>
      </c>
    </row>
    <row r="489" spans="1:10" x14ac:dyDescent="0.25">
      <c r="A489" t="s">
        <v>586</v>
      </c>
      <c r="B489" t="s">
        <v>5</v>
      </c>
      <c r="C489" s="82">
        <v>7605344808</v>
      </c>
      <c r="D489">
        <v>201601</v>
      </c>
      <c r="E489" s="1">
        <v>42369</v>
      </c>
      <c r="F489" s="1">
        <v>42401</v>
      </c>
      <c r="G489" t="s">
        <v>648</v>
      </c>
      <c r="H489" s="81">
        <v>3747</v>
      </c>
      <c r="I489" t="s">
        <v>6</v>
      </c>
      <c r="J489" s="3">
        <v>327.66000000000003</v>
      </c>
    </row>
    <row r="490" spans="1:10" x14ac:dyDescent="0.25">
      <c r="A490" t="s">
        <v>586</v>
      </c>
      <c r="B490" t="s">
        <v>5</v>
      </c>
      <c r="C490" s="82">
        <v>7605344808</v>
      </c>
      <c r="D490">
        <v>201602</v>
      </c>
      <c r="E490" s="1">
        <v>42401</v>
      </c>
      <c r="F490" s="1">
        <v>42430</v>
      </c>
      <c r="G490" t="s">
        <v>648</v>
      </c>
      <c r="H490" s="81">
        <v>2801</v>
      </c>
      <c r="I490" t="s">
        <v>6</v>
      </c>
      <c r="J490" s="3">
        <v>258.39999999999998</v>
      </c>
    </row>
    <row r="491" spans="1:10" x14ac:dyDescent="0.25">
      <c r="A491" t="s">
        <v>586</v>
      </c>
      <c r="B491" t="s">
        <v>5</v>
      </c>
      <c r="C491" s="82">
        <v>7605344808</v>
      </c>
      <c r="D491">
        <v>201603</v>
      </c>
      <c r="E491" s="1">
        <v>42430</v>
      </c>
      <c r="F491" s="1">
        <v>42464</v>
      </c>
      <c r="G491" t="s">
        <v>648</v>
      </c>
      <c r="H491" s="81">
        <v>1376</v>
      </c>
      <c r="I491" t="s">
        <v>6</v>
      </c>
      <c r="J491" s="3">
        <v>132.13</v>
      </c>
    </row>
    <row r="492" spans="1:10" x14ac:dyDescent="0.25">
      <c r="A492" t="s">
        <v>586</v>
      </c>
      <c r="B492" t="s">
        <v>5</v>
      </c>
      <c r="C492" s="82">
        <v>7605344808</v>
      </c>
      <c r="D492">
        <v>201604</v>
      </c>
      <c r="E492" s="1">
        <v>42464</v>
      </c>
      <c r="F492" s="1">
        <v>42489</v>
      </c>
      <c r="G492" t="s">
        <v>648</v>
      </c>
      <c r="H492" s="81">
        <v>809</v>
      </c>
      <c r="I492" t="s">
        <v>6</v>
      </c>
      <c r="J492" s="3">
        <v>80.400000000000006</v>
      </c>
    </row>
    <row r="493" spans="1:10" x14ac:dyDescent="0.25">
      <c r="A493" t="s">
        <v>586</v>
      </c>
      <c r="B493" t="s">
        <v>5</v>
      </c>
      <c r="C493" s="82">
        <v>7605344808</v>
      </c>
      <c r="D493">
        <v>201605</v>
      </c>
      <c r="E493" s="1">
        <v>42489</v>
      </c>
      <c r="F493" s="1">
        <v>42521</v>
      </c>
      <c r="G493" t="s">
        <v>648</v>
      </c>
      <c r="H493" s="81">
        <v>875</v>
      </c>
      <c r="I493" t="s">
        <v>6</v>
      </c>
      <c r="J493" s="3">
        <v>88.55</v>
      </c>
    </row>
    <row r="494" spans="1:10" x14ac:dyDescent="0.25">
      <c r="A494" t="s">
        <v>586</v>
      </c>
      <c r="B494" t="s">
        <v>5</v>
      </c>
      <c r="C494" s="82">
        <v>7605344808</v>
      </c>
      <c r="D494">
        <v>201606</v>
      </c>
      <c r="E494" s="1">
        <v>42521</v>
      </c>
      <c r="F494" s="1">
        <v>42551</v>
      </c>
      <c r="G494" t="s">
        <v>648</v>
      </c>
      <c r="H494" s="81">
        <v>347</v>
      </c>
      <c r="I494" t="s">
        <v>6</v>
      </c>
      <c r="J494" s="3">
        <v>41.23</v>
      </c>
    </row>
    <row r="495" spans="1:10" x14ac:dyDescent="0.25">
      <c r="A495" t="s">
        <v>586</v>
      </c>
      <c r="B495" t="s">
        <v>5</v>
      </c>
      <c r="C495" s="82">
        <v>3602180006</v>
      </c>
      <c r="D495">
        <v>201507</v>
      </c>
      <c r="E495" s="1">
        <v>42186</v>
      </c>
      <c r="F495" s="1">
        <v>42219</v>
      </c>
      <c r="G495" t="s">
        <v>650</v>
      </c>
      <c r="H495" s="81">
        <v>347</v>
      </c>
      <c r="I495" t="s">
        <v>6</v>
      </c>
      <c r="J495" s="3">
        <v>41.22</v>
      </c>
    </row>
    <row r="496" spans="1:10" x14ac:dyDescent="0.25">
      <c r="A496" t="s">
        <v>586</v>
      </c>
      <c r="B496" t="s">
        <v>5</v>
      </c>
      <c r="C496" s="82">
        <v>3602180006</v>
      </c>
      <c r="D496">
        <v>201508</v>
      </c>
      <c r="E496" s="1">
        <v>42219</v>
      </c>
      <c r="F496" s="1">
        <v>42243</v>
      </c>
      <c r="G496" t="s">
        <v>650</v>
      </c>
      <c r="H496" s="81">
        <v>127</v>
      </c>
      <c r="I496" t="s">
        <v>6</v>
      </c>
      <c r="J496" s="3">
        <v>19.47</v>
      </c>
    </row>
    <row r="497" spans="1:10" x14ac:dyDescent="0.25">
      <c r="A497" t="s">
        <v>586</v>
      </c>
      <c r="B497" t="s">
        <v>5</v>
      </c>
      <c r="C497" s="82">
        <v>3602180006</v>
      </c>
      <c r="D497">
        <v>201509</v>
      </c>
      <c r="E497" s="1">
        <v>42243</v>
      </c>
      <c r="F497" s="1">
        <v>42276</v>
      </c>
      <c r="G497" t="s">
        <v>650</v>
      </c>
      <c r="H497" s="81">
        <v>198</v>
      </c>
      <c r="I497" t="s">
        <v>6</v>
      </c>
      <c r="J497" s="3">
        <v>27.72</v>
      </c>
    </row>
    <row r="498" spans="1:10" x14ac:dyDescent="0.25">
      <c r="A498" t="s">
        <v>586</v>
      </c>
      <c r="B498" t="s">
        <v>5</v>
      </c>
      <c r="C498" s="82">
        <v>3602180006</v>
      </c>
      <c r="D498">
        <v>201510</v>
      </c>
      <c r="E498" s="1">
        <v>42276</v>
      </c>
      <c r="F498" s="1">
        <v>42305</v>
      </c>
      <c r="G498" t="s">
        <v>650</v>
      </c>
      <c r="H498" s="81">
        <v>1019</v>
      </c>
      <c r="I498" t="s">
        <v>6</v>
      </c>
      <c r="J498" s="3">
        <v>100.58</v>
      </c>
    </row>
    <row r="499" spans="1:10" x14ac:dyDescent="0.25">
      <c r="A499" t="s">
        <v>586</v>
      </c>
      <c r="B499" t="s">
        <v>5</v>
      </c>
      <c r="C499" s="82">
        <v>3602180006</v>
      </c>
      <c r="D499">
        <v>201511</v>
      </c>
      <c r="E499" s="1">
        <v>42305</v>
      </c>
      <c r="F499" s="1">
        <v>42339</v>
      </c>
      <c r="G499" t="s">
        <v>650</v>
      </c>
      <c r="H499" s="81">
        <v>1527</v>
      </c>
      <c r="I499" t="s">
        <v>6</v>
      </c>
      <c r="J499" s="3">
        <v>145.66999999999999</v>
      </c>
    </row>
    <row r="500" spans="1:10" x14ac:dyDescent="0.25">
      <c r="A500" t="s">
        <v>586</v>
      </c>
      <c r="B500" t="s">
        <v>5</v>
      </c>
      <c r="C500" s="82">
        <v>3602180006</v>
      </c>
      <c r="D500">
        <v>201512</v>
      </c>
      <c r="E500" s="1">
        <v>42339</v>
      </c>
      <c r="F500" s="1">
        <v>42369</v>
      </c>
      <c r="G500" t="s">
        <v>650</v>
      </c>
      <c r="H500" s="81">
        <v>1494</v>
      </c>
      <c r="I500" t="s">
        <v>6</v>
      </c>
      <c r="J500" s="3">
        <v>142.72999999999999</v>
      </c>
    </row>
    <row r="501" spans="1:10" x14ac:dyDescent="0.25">
      <c r="A501" t="s">
        <v>586</v>
      </c>
      <c r="B501" t="s">
        <v>5</v>
      </c>
      <c r="C501" s="82">
        <v>3602180006</v>
      </c>
      <c r="D501">
        <v>201601</v>
      </c>
      <c r="E501" s="1">
        <v>42369</v>
      </c>
      <c r="F501" s="1">
        <v>42401</v>
      </c>
      <c r="G501" t="s">
        <v>650</v>
      </c>
      <c r="H501" s="81">
        <v>3608</v>
      </c>
      <c r="I501" t="s">
        <v>6</v>
      </c>
      <c r="J501" s="3">
        <v>318.05</v>
      </c>
    </row>
    <row r="502" spans="1:10" x14ac:dyDescent="0.25">
      <c r="A502" t="s">
        <v>586</v>
      </c>
      <c r="B502" t="s">
        <v>5</v>
      </c>
      <c r="C502" s="82">
        <v>3602180006</v>
      </c>
      <c r="D502">
        <v>201602</v>
      </c>
      <c r="E502" s="1">
        <v>42401</v>
      </c>
      <c r="F502" s="1">
        <v>42430</v>
      </c>
      <c r="G502" t="s">
        <v>650</v>
      </c>
      <c r="H502" s="81">
        <v>2687</v>
      </c>
      <c r="I502" t="s">
        <v>6</v>
      </c>
      <c r="J502" s="3">
        <v>254.38</v>
      </c>
    </row>
    <row r="503" spans="1:10" x14ac:dyDescent="0.25">
      <c r="A503" t="s">
        <v>586</v>
      </c>
      <c r="B503" t="s">
        <v>5</v>
      </c>
      <c r="C503" s="82">
        <v>3602180006</v>
      </c>
      <c r="D503">
        <v>201603</v>
      </c>
      <c r="E503" s="1">
        <v>42430</v>
      </c>
      <c r="F503" s="1">
        <v>42464</v>
      </c>
      <c r="G503" t="s">
        <v>650</v>
      </c>
      <c r="H503" s="81">
        <v>1902</v>
      </c>
      <c r="I503" t="s">
        <v>6</v>
      </c>
      <c r="J503" s="3">
        <v>178.79</v>
      </c>
    </row>
    <row r="504" spans="1:10" x14ac:dyDescent="0.25">
      <c r="A504" t="s">
        <v>586</v>
      </c>
      <c r="B504" t="s">
        <v>5</v>
      </c>
      <c r="C504" s="82">
        <v>3602180006</v>
      </c>
      <c r="D504">
        <v>201604</v>
      </c>
      <c r="E504" s="1">
        <v>42464</v>
      </c>
      <c r="F504" s="1">
        <v>42489</v>
      </c>
      <c r="G504" t="s">
        <v>650</v>
      </c>
      <c r="H504" s="81">
        <v>949</v>
      </c>
      <c r="I504" t="s">
        <v>6</v>
      </c>
      <c r="J504" s="3">
        <v>92.86</v>
      </c>
    </row>
    <row r="505" spans="1:10" x14ac:dyDescent="0.25">
      <c r="A505" t="s">
        <v>586</v>
      </c>
      <c r="B505" t="s">
        <v>5</v>
      </c>
      <c r="C505" s="82">
        <v>3602180006</v>
      </c>
      <c r="D505">
        <v>201605</v>
      </c>
      <c r="E505" s="1">
        <v>42489</v>
      </c>
      <c r="F505" s="1">
        <v>42521</v>
      </c>
      <c r="G505" t="s">
        <v>650</v>
      </c>
      <c r="H505" s="81">
        <v>533</v>
      </c>
      <c r="I505" t="s">
        <v>6</v>
      </c>
      <c r="J505" s="3">
        <v>57.89</v>
      </c>
    </row>
    <row r="506" spans="1:10" x14ac:dyDescent="0.25">
      <c r="A506" t="s">
        <v>586</v>
      </c>
      <c r="B506" t="s">
        <v>5</v>
      </c>
      <c r="C506" s="82">
        <v>3602180006</v>
      </c>
      <c r="D506">
        <v>201606</v>
      </c>
      <c r="E506" s="1">
        <v>42521</v>
      </c>
      <c r="F506" s="1">
        <v>42551</v>
      </c>
      <c r="G506" t="s">
        <v>650</v>
      </c>
      <c r="H506" s="81">
        <v>129</v>
      </c>
      <c r="I506" t="s">
        <v>6</v>
      </c>
      <c r="J506" s="3">
        <v>21.7</v>
      </c>
    </row>
    <row r="507" spans="1:10" x14ac:dyDescent="0.25">
      <c r="A507" t="s">
        <v>586</v>
      </c>
      <c r="B507" t="s">
        <v>5</v>
      </c>
      <c r="C507" s="82">
        <v>5432327509</v>
      </c>
      <c r="D507">
        <v>201507</v>
      </c>
      <c r="E507" s="1">
        <v>42186</v>
      </c>
      <c r="F507" s="1">
        <v>42219</v>
      </c>
      <c r="G507" t="s">
        <v>651</v>
      </c>
      <c r="H507" s="81">
        <v>539</v>
      </c>
      <c r="I507" t="s">
        <v>6</v>
      </c>
      <c r="J507" s="3">
        <v>58.44</v>
      </c>
    </row>
    <row r="508" spans="1:10" x14ac:dyDescent="0.25">
      <c r="A508" t="s">
        <v>586</v>
      </c>
      <c r="B508" t="s">
        <v>5</v>
      </c>
      <c r="C508" s="82">
        <v>5432327509</v>
      </c>
      <c r="D508">
        <v>201508</v>
      </c>
      <c r="E508" s="1">
        <v>42219</v>
      </c>
      <c r="F508" s="1">
        <v>42243</v>
      </c>
      <c r="G508" t="s">
        <v>651</v>
      </c>
      <c r="H508" s="81">
        <v>215</v>
      </c>
      <c r="I508" t="s">
        <v>6</v>
      </c>
      <c r="J508" s="3">
        <v>27.37</v>
      </c>
    </row>
    <row r="509" spans="1:10" x14ac:dyDescent="0.25">
      <c r="A509" t="s">
        <v>586</v>
      </c>
      <c r="B509" t="s">
        <v>5</v>
      </c>
      <c r="C509" s="82">
        <v>5432327509</v>
      </c>
      <c r="D509">
        <v>201509</v>
      </c>
      <c r="E509" s="1">
        <v>42243</v>
      </c>
      <c r="F509" s="1">
        <v>42276</v>
      </c>
      <c r="G509" t="s">
        <v>651</v>
      </c>
      <c r="H509" s="81">
        <v>454</v>
      </c>
      <c r="I509" t="s">
        <v>6</v>
      </c>
      <c r="J509" s="3">
        <v>50.46</v>
      </c>
    </row>
    <row r="510" spans="1:10" x14ac:dyDescent="0.25">
      <c r="A510" t="s">
        <v>586</v>
      </c>
      <c r="B510" t="s">
        <v>5</v>
      </c>
      <c r="C510" s="82">
        <v>5432327509</v>
      </c>
      <c r="D510">
        <v>201510</v>
      </c>
      <c r="E510" s="1">
        <v>42276</v>
      </c>
      <c r="F510" s="1">
        <v>42305</v>
      </c>
      <c r="G510" t="s">
        <v>651</v>
      </c>
      <c r="H510" s="81">
        <v>807</v>
      </c>
      <c r="I510" t="s">
        <v>6</v>
      </c>
      <c r="J510" s="3">
        <v>81.760000000000005</v>
      </c>
    </row>
    <row r="511" spans="1:10" x14ac:dyDescent="0.25">
      <c r="A511" t="s">
        <v>586</v>
      </c>
      <c r="B511" t="s">
        <v>5</v>
      </c>
      <c r="C511" s="82">
        <v>5432327509</v>
      </c>
      <c r="D511">
        <v>201511</v>
      </c>
      <c r="E511" s="1">
        <v>42305</v>
      </c>
      <c r="F511" s="1">
        <v>42339</v>
      </c>
      <c r="G511" t="s">
        <v>651</v>
      </c>
      <c r="H511" s="81">
        <v>2083</v>
      </c>
      <c r="I511" t="s">
        <v>6</v>
      </c>
      <c r="J511" s="3">
        <v>195.01</v>
      </c>
    </row>
    <row r="512" spans="1:10" x14ac:dyDescent="0.25">
      <c r="A512" t="s">
        <v>586</v>
      </c>
      <c r="B512" t="s">
        <v>5</v>
      </c>
      <c r="C512" s="82">
        <v>5432327509</v>
      </c>
      <c r="D512">
        <v>201512</v>
      </c>
      <c r="E512" s="1">
        <v>42339</v>
      </c>
      <c r="F512" s="1">
        <v>42369</v>
      </c>
      <c r="G512" t="s">
        <v>651</v>
      </c>
      <c r="H512" s="81">
        <v>2287</v>
      </c>
      <c r="I512" t="s">
        <v>6</v>
      </c>
      <c r="J512" s="3">
        <v>213.11</v>
      </c>
    </row>
    <row r="513" spans="1:10" x14ac:dyDescent="0.25">
      <c r="A513" t="s">
        <v>586</v>
      </c>
      <c r="B513" t="s">
        <v>5</v>
      </c>
      <c r="C513" s="82">
        <v>5432327509</v>
      </c>
      <c r="D513">
        <v>201601</v>
      </c>
      <c r="E513" s="1">
        <v>42369</v>
      </c>
      <c r="F513" s="1">
        <v>42401</v>
      </c>
      <c r="G513" t="s">
        <v>651</v>
      </c>
      <c r="H513" s="81">
        <v>4777</v>
      </c>
      <c r="I513" t="s">
        <v>6</v>
      </c>
      <c r="J513" s="3">
        <v>398.87</v>
      </c>
    </row>
    <row r="514" spans="1:10" x14ac:dyDescent="0.25">
      <c r="A514" t="s">
        <v>586</v>
      </c>
      <c r="B514" t="s">
        <v>5</v>
      </c>
      <c r="C514" s="82">
        <v>5432327509</v>
      </c>
      <c r="D514">
        <v>201602</v>
      </c>
      <c r="E514" s="1">
        <v>42401</v>
      </c>
      <c r="F514" s="1">
        <v>42430</v>
      </c>
      <c r="G514" t="s">
        <v>651</v>
      </c>
      <c r="H514" s="81">
        <v>3526</v>
      </c>
      <c r="I514" t="s">
        <v>6</v>
      </c>
      <c r="J514" s="3">
        <v>316.31</v>
      </c>
    </row>
    <row r="515" spans="1:10" x14ac:dyDescent="0.25">
      <c r="A515" t="s">
        <v>586</v>
      </c>
      <c r="B515" t="s">
        <v>5</v>
      </c>
      <c r="C515" s="82">
        <v>5432327509</v>
      </c>
      <c r="D515">
        <v>201603</v>
      </c>
      <c r="E515" s="1">
        <v>42430</v>
      </c>
      <c r="F515" s="1">
        <v>42464</v>
      </c>
      <c r="G515" t="s">
        <v>651</v>
      </c>
      <c r="H515" s="81">
        <v>1762</v>
      </c>
      <c r="I515" t="s">
        <v>6</v>
      </c>
      <c r="J515" s="3">
        <v>166.35</v>
      </c>
    </row>
    <row r="516" spans="1:10" x14ac:dyDescent="0.25">
      <c r="A516" t="s">
        <v>586</v>
      </c>
      <c r="B516" t="s">
        <v>5</v>
      </c>
      <c r="C516" s="82">
        <v>5432327509</v>
      </c>
      <c r="D516">
        <v>201604</v>
      </c>
      <c r="E516" s="1">
        <v>42464</v>
      </c>
      <c r="F516" s="1">
        <v>42489</v>
      </c>
      <c r="G516" t="s">
        <v>651</v>
      </c>
      <c r="H516" s="81">
        <v>1147</v>
      </c>
      <c r="I516" t="s">
        <v>6</v>
      </c>
      <c r="J516" s="3">
        <v>110.45</v>
      </c>
    </row>
    <row r="517" spans="1:10" x14ac:dyDescent="0.25">
      <c r="A517" t="s">
        <v>586</v>
      </c>
      <c r="B517" t="s">
        <v>5</v>
      </c>
      <c r="C517" s="82">
        <v>5432327509</v>
      </c>
      <c r="D517">
        <v>201605</v>
      </c>
      <c r="E517" s="1">
        <v>42489</v>
      </c>
      <c r="F517" s="1">
        <v>42521</v>
      </c>
      <c r="G517" t="s">
        <v>651</v>
      </c>
      <c r="H517" s="81">
        <v>683</v>
      </c>
      <c r="I517" t="s">
        <v>6</v>
      </c>
      <c r="J517" s="3">
        <v>71.349999999999994</v>
      </c>
    </row>
    <row r="518" spans="1:10" x14ac:dyDescent="0.25">
      <c r="A518" t="s">
        <v>586</v>
      </c>
      <c r="B518" t="s">
        <v>5</v>
      </c>
      <c r="C518" s="82">
        <v>5432327509</v>
      </c>
      <c r="D518">
        <v>201606</v>
      </c>
      <c r="E518" s="1">
        <v>42521</v>
      </c>
      <c r="F518" s="1">
        <v>42551</v>
      </c>
      <c r="G518" t="s">
        <v>651</v>
      </c>
      <c r="H518" s="81">
        <v>436</v>
      </c>
      <c r="I518" t="s">
        <v>6</v>
      </c>
      <c r="J518" s="3">
        <v>49.21</v>
      </c>
    </row>
    <row r="519" spans="1:10" x14ac:dyDescent="0.25">
      <c r="A519" t="s">
        <v>588</v>
      </c>
      <c r="B519" t="s">
        <v>5</v>
      </c>
      <c r="C519" s="82">
        <v>3612177505</v>
      </c>
      <c r="D519">
        <v>201507</v>
      </c>
      <c r="E519" s="1">
        <v>42186</v>
      </c>
      <c r="F519" s="1">
        <v>42219</v>
      </c>
      <c r="G519" t="s">
        <v>649</v>
      </c>
      <c r="H519" s="81">
        <v>1016</v>
      </c>
      <c r="I519" t="s">
        <v>6</v>
      </c>
      <c r="J519" s="3">
        <v>101.17</v>
      </c>
    </row>
    <row r="520" spans="1:10" x14ac:dyDescent="0.25">
      <c r="A520" t="s">
        <v>588</v>
      </c>
      <c r="B520" t="s">
        <v>5</v>
      </c>
      <c r="C520" s="82">
        <v>3612177505</v>
      </c>
      <c r="D520">
        <v>201508</v>
      </c>
      <c r="E520" s="1">
        <v>42219</v>
      </c>
      <c r="F520" s="1">
        <v>42243</v>
      </c>
      <c r="G520" t="s">
        <v>649</v>
      </c>
      <c r="H520" s="81">
        <v>616</v>
      </c>
      <c r="I520" t="s">
        <v>6</v>
      </c>
      <c r="J520" s="3">
        <v>63.28</v>
      </c>
    </row>
    <row r="521" spans="1:10" x14ac:dyDescent="0.25">
      <c r="A521" t="s">
        <v>588</v>
      </c>
      <c r="B521" t="s">
        <v>5</v>
      </c>
      <c r="C521" s="82">
        <v>3612177505</v>
      </c>
      <c r="D521">
        <v>201509</v>
      </c>
      <c r="E521" s="1">
        <v>42243</v>
      </c>
      <c r="F521" s="1">
        <v>42276</v>
      </c>
      <c r="G521" t="s">
        <v>649</v>
      </c>
      <c r="H521" s="81">
        <v>857</v>
      </c>
      <c r="I521" t="s">
        <v>6</v>
      </c>
      <c r="J521" s="3">
        <v>86.29</v>
      </c>
    </row>
    <row r="522" spans="1:10" x14ac:dyDescent="0.25">
      <c r="A522" t="s">
        <v>588</v>
      </c>
      <c r="B522" t="s">
        <v>5</v>
      </c>
      <c r="C522" s="82">
        <v>3612177505</v>
      </c>
      <c r="D522">
        <v>201510</v>
      </c>
      <c r="E522" s="1">
        <v>42276</v>
      </c>
      <c r="F522" s="1">
        <v>42305</v>
      </c>
      <c r="G522" t="s">
        <v>649</v>
      </c>
      <c r="H522" s="81">
        <v>527</v>
      </c>
      <c r="I522" t="s">
        <v>6</v>
      </c>
      <c r="J522" s="3">
        <v>56.91</v>
      </c>
    </row>
    <row r="523" spans="1:10" x14ac:dyDescent="0.25">
      <c r="A523" t="s">
        <v>588</v>
      </c>
      <c r="B523" t="s">
        <v>5</v>
      </c>
      <c r="C523" s="82">
        <v>3612177505</v>
      </c>
      <c r="D523">
        <v>201511</v>
      </c>
      <c r="E523" s="1">
        <v>42305</v>
      </c>
      <c r="F523" s="1">
        <v>42339</v>
      </c>
      <c r="G523" t="s">
        <v>649</v>
      </c>
      <c r="H523" s="81">
        <v>472</v>
      </c>
      <c r="I523" t="s">
        <v>6</v>
      </c>
      <c r="J523" s="3">
        <v>52.02</v>
      </c>
    </row>
    <row r="524" spans="1:10" x14ac:dyDescent="0.25">
      <c r="A524" t="s">
        <v>588</v>
      </c>
      <c r="B524" t="s">
        <v>5</v>
      </c>
      <c r="C524" s="82">
        <v>3612177505</v>
      </c>
      <c r="D524">
        <v>201512</v>
      </c>
      <c r="E524" s="1">
        <v>42339</v>
      </c>
      <c r="F524" s="1">
        <v>42369</v>
      </c>
      <c r="G524" t="s">
        <v>649</v>
      </c>
      <c r="H524" s="81">
        <v>408</v>
      </c>
      <c r="I524" t="s">
        <v>6</v>
      </c>
      <c r="J524" s="3">
        <v>46.35</v>
      </c>
    </row>
    <row r="525" spans="1:10" x14ac:dyDescent="0.25">
      <c r="A525" t="s">
        <v>588</v>
      </c>
      <c r="B525" t="s">
        <v>5</v>
      </c>
      <c r="C525" s="82">
        <v>3612177505</v>
      </c>
      <c r="D525">
        <v>201601</v>
      </c>
      <c r="E525" s="1">
        <v>42369</v>
      </c>
      <c r="F525" s="1">
        <v>42401</v>
      </c>
      <c r="G525" t="s">
        <v>649</v>
      </c>
      <c r="H525" s="81">
        <v>770</v>
      </c>
      <c r="I525" t="s">
        <v>6</v>
      </c>
      <c r="J525" s="3">
        <v>78.38</v>
      </c>
    </row>
    <row r="526" spans="1:10" x14ac:dyDescent="0.25">
      <c r="A526" t="s">
        <v>588</v>
      </c>
      <c r="B526" t="s">
        <v>5</v>
      </c>
      <c r="C526" s="82">
        <v>3612177505</v>
      </c>
      <c r="D526">
        <v>201602</v>
      </c>
      <c r="E526" s="1">
        <v>42401</v>
      </c>
      <c r="F526" s="1">
        <v>42430</v>
      </c>
      <c r="G526" t="s">
        <v>649</v>
      </c>
      <c r="H526" s="81">
        <v>192</v>
      </c>
      <c r="I526" t="s">
        <v>6</v>
      </c>
      <c r="J526" s="3">
        <v>27.16</v>
      </c>
    </row>
    <row r="527" spans="1:10" x14ac:dyDescent="0.25">
      <c r="A527" t="s">
        <v>588</v>
      </c>
      <c r="B527" t="s">
        <v>5</v>
      </c>
      <c r="C527" s="82">
        <v>3612177505</v>
      </c>
      <c r="D527">
        <v>201603</v>
      </c>
      <c r="E527" s="1">
        <v>42430</v>
      </c>
      <c r="F527" s="1">
        <v>42464</v>
      </c>
      <c r="G527" t="s">
        <v>649</v>
      </c>
      <c r="H527" s="81">
        <v>496</v>
      </c>
      <c r="I527" t="s">
        <v>6</v>
      </c>
      <c r="J527" s="3">
        <v>54.11</v>
      </c>
    </row>
    <row r="528" spans="1:10" x14ac:dyDescent="0.25">
      <c r="A528" t="s">
        <v>588</v>
      </c>
      <c r="B528" t="s">
        <v>5</v>
      </c>
      <c r="C528" s="82">
        <v>3612177505</v>
      </c>
      <c r="D528">
        <v>201604</v>
      </c>
      <c r="E528" s="1">
        <v>42464</v>
      </c>
      <c r="F528" s="1">
        <v>42489</v>
      </c>
      <c r="G528" t="s">
        <v>649</v>
      </c>
      <c r="H528" s="81">
        <v>419</v>
      </c>
      <c r="I528" t="s">
        <v>6</v>
      </c>
      <c r="J528" s="3">
        <v>45.72</v>
      </c>
    </row>
    <row r="529" spans="1:10" x14ac:dyDescent="0.25">
      <c r="A529" t="s">
        <v>588</v>
      </c>
      <c r="B529" t="s">
        <v>5</v>
      </c>
      <c r="C529" s="82">
        <v>3612177505</v>
      </c>
      <c r="D529">
        <v>201605</v>
      </c>
      <c r="E529" s="1">
        <v>42489</v>
      </c>
      <c r="F529" s="1">
        <v>42521</v>
      </c>
      <c r="G529" t="s">
        <v>649</v>
      </c>
      <c r="H529" s="81">
        <v>552</v>
      </c>
      <c r="I529" t="s">
        <v>6</v>
      </c>
      <c r="J529" s="3">
        <v>59.61</v>
      </c>
    </row>
    <row r="530" spans="1:10" x14ac:dyDescent="0.25">
      <c r="A530" t="s">
        <v>588</v>
      </c>
      <c r="B530" t="s">
        <v>5</v>
      </c>
      <c r="C530" s="82">
        <v>3612177505</v>
      </c>
      <c r="D530">
        <v>201606</v>
      </c>
      <c r="E530" s="1">
        <v>42521</v>
      </c>
      <c r="F530" s="1">
        <v>42551</v>
      </c>
      <c r="G530" t="s">
        <v>649</v>
      </c>
      <c r="H530" s="81">
        <v>1023</v>
      </c>
      <c r="I530" t="s">
        <v>6</v>
      </c>
      <c r="J530" s="3">
        <v>101.83</v>
      </c>
    </row>
    <row r="531" spans="1:10" x14ac:dyDescent="0.25">
      <c r="A531" t="s">
        <v>497</v>
      </c>
      <c r="B531" t="s">
        <v>5</v>
      </c>
      <c r="C531" s="82" t="s">
        <v>535</v>
      </c>
      <c r="D531">
        <v>201507</v>
      </c>
      <c r="E531" s="1">
        <v>42185</v>
      </c>
      <c r="F531" s="1">
        <v>42216</v>
      </c>
      <c r="G531" t="s">
        <v>536</v>
      </c>
      <c r="H531" s="81">
        <v>100990</v>
      </c>
      <c r="I531" t="s">
        <v>6</v>
      </c>
      <c r="J531" s="3">
        <v>5923.88</v>
      </c>
    </row>
    <row r="532" spans="1:10" x14ac:dyDescent="0.25">
      <c r="A532" t="s">
        <v>497</v>
      </c>
      <c r="B532" t="s">
        <v>5</v>
      </c>
      <c r="C532" s="82" t="s">
        <v>535</v>
      </c>
      <c r="D532">
        <v>201508</v>
      </c>
      <c r="E532" s="1">
        <v>42216</v>
      </c>
      <c r="F532" s="1">
        <v>42243</v>
      </c>
      <c r="G532" t="s">
        <v>536</v>
      </c>
      <c r="H532" s="81">
        <v>40265</v>
      </c>
      <c r="I532" t="s">
        <v>6</v>
      </c>
      <c r="J532" s="3">
        <v>2441.64</v>
      </c>
    </row>
    <row r="533" spans="1:10" x14ac:dyDescent="0.25">
      <c r="A533" t="s">
        <v>497</v>
      </c>
      <c r="B533" t="s">
        <v>5</v>
      </c>
      <c r="C533" s="82" t="s">
        <v>535</v>
      </c>
      <c r="D533">
        <v>201509</v>
      </c>
      <c r="E533" s="1">
        <v>42243</v>
      </c>
      <c r="F533" s="1">
        <v>42276</v>
      </c>
      <c r="G533" t="s">
        <v>536</v>
      </c>
      <c r="H533" s="81">
        <v>104223</v>
      </c>
      <c r="I533" t="s">
        <v>6</v>
      </c>
      <c r="J533" s="3">
        <v>6097.55</v>
      </c>
    </row>
    <row r="534" spans="1:10" x14ac:dyDescent="0.25">
      <c r="A534" t="s">
        <v>497</v>
      </c>
      <c r="B534" t="s">
        <v>5</v>
      </c>
      <c r="C534" s="82" t="s">
        <v>535</v>
      </c>
      <c r="D534">
        <v>201510</v>
      </c>
      <c r="E534" s="1">
        <v>42276</v>
      </c>
      <c r="F534" s="1">
        <v>42305</v>
      </c>
      <c r="G534" t="s">
        <v>536</v>
      </c>
      <c r="H534" s="81">
        <v>56714</v>
      </c>
      <c r="I534" t="s">
        <v>6</v>
      </c>
      <c r="J534" s="3">
        <v>3391.21</v>
      </c>
    </row>
    <row r="535" spans="1:10" x14ac:dyDescent="0.25">
      <c r="A535" t="s">
        <v>497</v>
      </c>
      <c r="B535" t="s">
        <v>5</v>
      </c>
      <c r="C535" s="82" t="s">
        <v>535</v>
      </c>
      <c r="D535">
        <v>201511</v>
      </c>
      <c r="E535" s="1">
        <v>42305</v>
      </c>
      <c r="F535" s="1">
        <v>42339</v>
      </c>
      <c r="G535" t="s">
        <v>536</v>
      </c>
      <c r="H535" s="81">
        <v>96391</v>
      </c>
      <c r="I535" t="s">
        <v>6</v>
      </c>
      <c r="J535" s="3">
        <v>5830.22</v>
      </c>
    </row>
    <row r="536" spans="1:10" x14ac:dyDescent="0.25">
      <c r="A536" t="s">
        <v>497</v>
      </c>
      <c r="B536" t="s">
        <v>5</v>
      </c>
      <c r="C536" s="82" t="s">
        <v>535</v>
      </c>
      <c r="D536">
        <v>201512</v>
      </c>
      <c r="E536" s="1">
        <v>42339</v>
      </c>
      <c r="F536" s="1">
        <v>42369</v>
      </c>
      <c r="G536" t="s">
        <v>536</v>
      </c>
      <c r="H536" s="81">
        <v>63980</v>
      </c>
      <c r="I536" t="s">
        <v>6</v>
      </c>
      <c r="J536" s="3">
        <v>4041.76</v>
      </c>
    </row>
    <row r="537" spans="1:10" x14ac:dyDescent="0.25">
      <c r="A537" t="s">
        <v>497</v>
      </c>
      <c r="B537" t="s">
        <v>5</v>
      </c>
      <c r="C537" s="82" t="s">
        <v>535</v>
      </c>
      <c r="D537">
        <v>201601</v>
      </c>
      <c r="E537" s="1">
        <v>42369</v>
      </c>
      <c r="F537" s="1">
        <v>42401</v>
      </c>
      <c r="G537" t="s">
        <v>536</v>
      </c>
      <c r="H537" s="81">
        <v>68314</v>
      </c>
      <c r="I537" t="s">
        <v>6</v>
      </c>
      <c r="J537" s="3">
        <v>4273.51</v>
      </c>
    </row>
    <row r="538" spans="1:10" x14ac:dyDescent="0.25">
      <c r="A538" t="s">
        <v>497</v>
      </c>
      <c r="B538" t="s">
        <v>5</v>
      </c>
      <c r="C538" s="82" t="s">
        <v>535</v>
      </c>
      <c r="D538">
        <v>201602</v>
      </c>
      <c r="E538" s="1">
        <v>42401</v>
      </c>
      <c r="F538" s="1">
        <v>42430</v>
      </c>
      <c r="G538" t="s">
        <v>536</v>
      </c>
      <c r="H538" s="81">
        <v>74259</v>
      </c>
      <c r="I538" t="s">
        <v>6</v>
      </c>
      <c r="J538" s="3">
        <v>4531.93</v>
      </c>
    </row>
    <row r="539" spans="1:10" x14ac:dyDescent="0.25">
      <c r="A539" t="s">
        <v>497</v>
      </c>
      <c r="B539" t="s">
        <v>5</v>
      </c>
      <c r="C539" s="82" t="s">
        <v>535</v>
      </c>
      <c r="D539">
        <v>201603</v>
      </c>
      <c r="E539" s="1">
        <v>42430</v>
      </c>
      <c r="F539" s="1">
        <v>42460</v>
      </c>
      <c r="G539" t="s">
        <v>536</v>
      </c>
      <c r="H539" s="81">
        <v>80643</v>
      </c>
      <c r="I539" t="s">
        <v>6</v>
      </c>
      <c r="J539" s="3">
        <v>5177.16</v>
      </c>
    </row>
    <row r="540" spans="1:10" x14ac:dyDescent="0.25">
      <c r="A540" t="s">
        <v>497</v>
      </c>
      <c r="B540" t="s">
        <v>5</v>
      </c>
      <c r="C540" s="82" t="s">
        <v>535</v>
      </c>
      <c r="D540">
        <v>201604</v>
      </c>
      <c r="E540" s="1">
        <v>42460</v>
      </c>
      <c r="F540" s="1">
        <v>42489</v>
      </c>
      <c r="G540" t="s">
        <v>536</v>
      </c>
      <c r="H540" s="81">
        <v>80687</v>
      </c>
      <c r="I540" t="s">
        <v>6</v>
      </c>
      <c r="J540" s="3">
        <v>4861.3900000000003</v>
      </c>
    </row>
    <row r="541" spans="1:10" x14ac:dyDescent="0.25">
      <c r="A541" t="s">
        <v>497</v>
      </c>
      <c r="B541" t="s">
        <v>5</v>
      </c>
      <c r="C541" s="82" t="s">
        <v>535</v>
      </c>
      <c r="D541">
        <v>201605</v>
      </c>
      <c r="E541" s="1">
        <v>42489</v>
      </c>
      <c r="F541" s="1">
        <v>42521</v>
      </c>
      <c r="G541" t="s">
        <v>536</v>
      </c>
      <c r="H541" s="81">
        <v>87883</v>
      </c>
      <c r="I541" t="s">
        <v>6</v>
      </c>
      <c r="J541" s="3">
        <v>5466.24</v>
      </c>
    </row>
    <row r="542" spans="1:10" x14ac:dyDescent="0.25">
      <c r="A542" t="s">
        <v>497</v>
      </c>
      <c r="B542" t="s">
        <v>5</v>
      </c>
      <c r="C542" s="82" t="s">
        <v>535</v>
      </c>
      <c r="D542">
        <v>201606</v>
      </c>
      <c r="E542" s="1">
        <v>42521</v>
      </c>
      <c r="F542" s="1">
        <v>42550</v>
      </c>
      <c r="G542" t="s">
        <v>536</v>
      </c>
      <c r="H542" s="81">
        <v>92864</v>
      </c>
      <c r="I542" t="s">
        <v>6</v>
      </c>
      <c r="J542" s="3">
        <v>5574.82</v>
      </c>
    </row>
    <row r="543" spans="1:10" x14ac:dyDescent="0.25">
      <c r="A543" t="s">
        <v>594</v>
      </c>
      <c r="B543" t="s">
        <v>5</v>
      </c>
      <c r="C543" s="82" t="s">
        <v>705</v>
      </c>
      <c r="D543">
        <v>201507</v>
      </c>
      <c r="E543" s="1">
        <v>42185</v>
      </c>
      <c r="F543" s="1">
        <v>42216</v>
      </c>
      <c r="G543" t="s">
        <v>706</v>
      </c>
      <c r="H543" s="81">
        <v>12174</v>
      </c>
      <c r="I543" t="s">
        <v>6</v>
      </c>
      <c r="J543" s="3">
        <v>714.1</v>
      </c>
    </row>
    <row r="544" spans="1:10" x14ac:dyDescent="0.25">
      <c r="A544" t="s">
        <v>594</v>
      </c>
      <c r="B544" t="s">
        <v>5</v>
      </c>
      <c r="C544" s="82" t="s">
        <v>705</v>
      </c>
      <c r="D544">
        <v>201508</v>
      </c>
      <c r="E544" s="1">
        <v>42216</v>
      </c>
      <c r="F544" s="1">
        <v>42243</v>
      </c>
      <c r="G544" t="s">
        <v>706</v>
      </c>
      <c r="H544" s="81">
        <v>10635</v>
      </c>
      <c r="I544" t="s">
        <v>6</v>
      </c>
      <c r="J544" s="3">
        <v>644.9</v>
      </c>
    </row>
    <row r="545" spans="1:10" x14ac:dyDescent="0.25">
      <c r="A545" t="s">
        <v>594</v>
      </c>
      <c r="B545" t="s">
        <v>5</v>
      </c>
      <c r="C545" s="82" t="s">
        <v>705</v>
      </c>
      <c r="D545">
        <v>201509</v>
      </c>
      <c r="E545" s="1">
        <v>42243</v>
      </c>
      <c r="F545" s="1">
        <v>42276</v>
      </c>
      <c r="G545" t="s">
        <v>706</v>
      </c>
      <c r="H545" s="81">
        <v>9590</v>
      </c>
      <c r="I545" t="s">
        <v>6</v>
      </c>
      <c r="J545" s="3">
        <v>561.05999999999995</v>
      </c>
    </row>
    <row r="546" spans="1:10" x14ac:dyDescent="0.25">
      <c r="A546" t="s">
        <v>594</v>
      </c>
      <c r="B546" t="s">
        <v>5</v>
      </c>
      <c r="C546" s="82" t="s">
        <v>705</v>
      </c>
      <c r="D546">
        <v>201510</v>
      </c>
      <c r="E546" s="1">
        <v>42276</v>
      </c>
      <c r="F546" s="1">
        <v>42305</v>
      </c>
      <c r="G546" t="s">
        <v>706</v>
      </c>
      <c r="H546" s="81">
        <v>6106</v>
      </c>
      <c r="I546" t="s">
        <v>6</v>
      </c>
      <c r="J546" s="3">
        <v>365.11</v>
      </c>
    </row>
    <row r="547" spans="1:10" x14ac:dyDescent="0.25">
      <c r="A547" t="s">
        <v>594</v>
      </c>
      <c r="B547" t="s">
        <v>5</v>
      </c>
      <c r="C547" s="82" t="s">
        <v>705</v>
      </c>
      <c r="D547">
        <v>201511</v>
      </c>
      <c r="E547" s="1">
        <v>42305</v>
      </c>
      <c r="F547" s="1">
        <v>42339</v>
      </c>
      <c r="G547" t="s">
        <v>706</v>
      </c>
      <c r="H547" s="81">
        <v>6576</v>
      </c>
      <c r="I547" t="s">
        <v>6</v>
      </c>
      <c r="J547" s="3">
        <v>397.75</v>
      </c>
    </row>
    <row r="548" spans="1:10" x14ac:dyDescent="0.25">
      <c r="A548" t="s">
        <v>594</v>
      </c>
      <c r="B548" t="s">
        <v>5</v>
      </c>
      <c r="C548" s="82" t="s">
        <v>705</v>
      </c>
      <c r="D548">
        <v>201512</v>
      </c>
      <c r="E548" s="1">
        <v>42339</v>
      </c>
      <c r="F548" s="1">
        <v>42369</v>
      </c>
      <c r="G548" t="s">
        <v>706</v>
      </c>
      <c r="H548" s="81">
        <v>4756</v>
      </c>
      <c r="I548" t="s">
        <v>6</v>
      </c>
      <c r="J548" s="3">
        <v>300.45</v>
      </c>
    </row>
    <row r="549" spans="1:10" x14ac:dyDescent="0.25">
      <c r="A549" t="s">
        <v>594</v>
      </c>
      <c r="B549" t="s">
        <v>5</v>
      </c>
      <c r="C549" s="82" t="s">
        <v>705</v>
      </c>
      <c r="D549">
        <v>201601</v>
      </c>
      <c r="E549" s="1">
        <v>42369</v>
      </c>
      <c r="F549" s="1">
        <v>42401</v>
      </c>
      <c r="G549" t="s">
        <v>706</v>
      </c>
      <c r="H549" s="81">
        <v>6405</v>
      </c>
      <c r="I549" t="s">
        <v>6</v>
      </c>
      <c r="J549" s="3">
        <v>400.68</v>
      </c>
    </row>
    <row r="550" spans="1:10" x14ac:dyDescent="0.25">
      <c r="A550" t="s">
        <v>594</v>
      </c>
      <c r="B550" t="s">
        <v>5</v>
      </c>
      <c r="C550" s="82" t="s">
        <v>705</v>
      </c>
      <c r="D550">
        <v>201602</v>
      </c>
      <c r="E550" s="1">
        <v>42401</v>
      </c>
      <c r="F550" s="1">
        <v>42430</v>
      </c>
      <c r="G550" t="s">
        <v>706</v>
      </c>
      <c r="H550" s="81">
        <v>5924</v>
      </c>
      <c r="I550" t="s">
        <v>6</v>
      </c>
      <c r="J550" s="3">
        <v>361.53</v>
      </c>
    </row>
    <row r="551" spans="1:10" x14ac:dyDescent="0.25">
      <c r="A551" t="s">
        <v>594</v>
      </c>
      <c r="B551" t="s">
        <v>5</v>
      </c>
      <c r="C551" s="82" t="s">
        <v>705</v>
      </c>
      <c r="D551">
        <v>201603</v>
      </c>
      <c r="E551" s="1">
        <v>42430</v>
      </c>
      <c r="F551" s="1">
        <v>42460</v>
      </c>
      <c r="G551" t="s">
        <v>706</v>
      </c>
      <c r="H551" s="81">
        <v>5622</v>
      </c>
      <c r="I551" t="s">
        <v>6</v>
      </c>
      <c r="J551" s="3">
        <v>360.92</v>
      </c>
    </row>
    <row r="552" spans="1:10" x14ac:dyDescent="0.25">
      <c r="A552" t="s">
        <v>594</v>
      </c>
      <c r="B552" t="s">
        <v>5</v>
      </c>
      <c r="C552" s="82" t="s">
        <v>705</v>
      </c>
      <c r="D552">
        <v>201604</v>
      </c>
      <c r="E552" s="1">
        <v>42460</v>
      </c>
      <c r="F552" s="1">
        <v>42489</v>
      </c>
      <c r="G552" t="s">
        <v>706</v>
      </c>
      <c r="H552" s="81">
        <v>5315</v>
      </c>
      <c r="I552" t="s">
        <v>6</v>
      </c>
      <c r="J552" s="3">
        <v>320.23</v>
      </c>
    </row>
    <row r="553" spans="1:10" x14ac:dyDescent="0.25">
      <c r="A553" t="s">
        <v>594</v>
      </c>
      <c r="B553" t="s">
        <v>5</v>
      </c>
      <c r="C553" s="82" t="s">
        <v>705</v>
      </c>
      <c r="D553">
        <v>201605</v>
      </c>
      <c r="E553" s="1">
        <v>42489</v>
      </c>
      <c r="F553" s="1">
        <v>42521</v>
      </c>
      <c r="G553" t="s">
        <v>706</v>
      </c>
      <c r="H553" s="81">
        <v>6524</v>
      </c>
      <c r="I553" t="s">
        <v>6</v>
      </c>
      <c r="J553" s="3">
        <v>405.79</v>
      </c>
    </row>
    <row r="554" spans="1:10" x14ac:dyDescent="0.25">
      <c r="A554" t="s">
        <v>594</v>
      </c>
      <c r="B554" t="s">
        <v>5</v>
      </c>
      <c r="C554" s="82" t="s">
        <v>705</v>
      </c>
      <c r="D554">
        <v>201606</v>
      </c>
      <c r="E554" s="1">
        <v>42521</v>
      </c>
      <c r="F554" s="1">
        <v>42550</v>
      </c>
      <c r="G554" t="s">
        <v>706</v>
      </c>
      <c r="H554" s="81">
        <v>7710</v>
      </c>
      <c r="I554" t="s">
        <v>6</v>
      </c>
      <c r="J554" s="3">
        <v>462.85</v>
      </c>
    </row>
    <row r="555" spans="1:10" x14ac:dyDescent="0.25">
      <c r="A555" t="s">
        <v>663</v>
      </c>
      <c r="B555" t="s">
        <v>5</v>
      </c>
      <c r="C555" s="82" t="s">
        <v>664</v>
      </c>
      <c r="D555">
        <v>201507</v>
      </c>
      <c r="E555" s="1">
        <v>42185</v>
      </c>
      <c r="F555" s="1">
        <v>42216</v>
      </c>
      <c r="G555" t="s">
        <v>665</v>
      </c>
      <c r="H555" s="81">
        <v>6734</v>
      </c>
      <c r="I555" t="s">
        <v>6</v>
      </c>
      <c r="J555" s="3">
        <v>395</v>
      </c>
    </row>
    <row r="556" spans="1:10" x14ac:dyDescent="0.25">
      <c r="A556" t="s">
        <v>663</v>
      </c>
      <c r="B556" t="s">
        <v>5</v>
      </c>
      <c r="C556" s="82" t="s">
        <v>664</v>
      </c>
      <c r="D556">
        <v>201508</v>
      </c>
      <c r="E556" s="1">
        <v>42216</v>
      </c>
      <c r="F556" s="1">
        <v>42243</v>
      </c>
      <c r="G556" t="s">
        <v>665</v>
      </c>
      <c r="H556" s="81">
        <v>6210</v>
      </c>
      <c r="I556" t="s">
        <v>6</v>
      </c>
      <c r="J556" s="3">
        <v>376.57</v>
      </c>
    </row>
    <row r="557" spans="1:10" x14ac:dyDescent="0.25">
      <c r="A557" t="s">
        <v>663</v>
      </c>
      <c r="B557" t="s">
        <v>5</v>
      </c>
      <c r="C557" s="82" t="s">
        <v>664</v>
      </c>
      <c r="D557">
        <v>201509</v>
      </c>
      <c r="E557" s="1">
        <v>42243</v>
      </c>
      <c r="F557" s="1">
        <v>42276</v>
      </c>
      <c r="G557" t="s">
        <v>665</v>
      </c>
      <c r="H557" s="81">
        <v>10347</v>
      </c>
      <c r="I557" t="s">
        <v>6</v>
      </c>
      <c r="J557" s="3">
        <v>605.35</v>
      </c>
    </row>
    <row r="558" spans="1:10" x14ac:dyDescent="0.25">
      <c r="A558" t="s">
        <v>663</v>
      </c>
      <c r="B558" t="s">
        <v>5</v>
      </c>
      <c r="C558" s="82" t="s">
        <v>664</v>
      </c>
      <c r="D558">
        <v>201510</v>
      </c>
      <c r="E558" s="1">
        <v>42276</v>
      </c>
      <c r="F558" s="1">
        <v>42305</v>
      </c>
      <c r="G558" t="s">
        <v>665</v>
      </c>
      <c r="H558" s="81">
        <v>8740</v>
      </c>
      <c r="I558" t="s">
        <v>6</v>
      </c>
      <c r="J558" s="3">
        <v>522.61</v>
      </c>
    </row>
    <row r="559" spans="1:10" x14ac:dyDescent="0.25">
      <c r="A559" t="s">
        <v>663</v>
      </c>
      <c r="B559" t="s">
        <v>5</v>
      </c>
      <c r="C559" s="82" t="s">
        <v>664</v>
      </c>
      <c r="D559">
        <v>201511</v>
      </c>
      <c r="E559" s="1">
        <v>42305</v>
      </c>
      <c r="F559" s="1">
        <v>42339</v>
      </c>
      <c r="G559" t="s">
        <v>665</v>
      </c>
      <c r="H559" s="81">
        <v>10456</v>
      </c>
      <c r="I559" t="s">
        <v>6</v>
      </c>
      <c r="J559" s="3">
        <v>632.42999999999995</v>
      </c>
    </row>
    <row r="560" spans="1:10" x14ac:dyDescent="0.25">
      <c r="A560" t="s">
        <v>663</v>
      </c>
      <c r="B560" t="s">
        <v>5</v>
      </c>
      <c r="C560" s="82" t="s">
        <v>664</v>
      </c>
      <c r="D560">
        <v>201512</v>
      </c>
      <c r="E560" s="1">
        <v>42339</v>
      </c>
      <c r="F560" s="1">
        <v>42369</v>
      </c>
      <c r="G560" t="s">
        <v>665</v>
      </c>
      <c r="H560" s="81">
        <v>7056</v>
      </c>
      <c r="I560" t="s">
        <v>6</v>
      </c>
      <c r="J560" s="3">
        <v>445.74</v>
      </c>
    </row>
    <row r="561" spans="1:10" x14ac:dyDescent="0.25">
      <c r="A561" t="s">
        <v>663</v>
      </c>
      <c r="B561" t="s">
        <v>5</v>
      </c>
      <c r="C561" s="82" t="s">
        <v>664</v>
      </c>
      <c r="D561">
        <v>201601</v>
      </c>
      <c r="E561" s="1">
        <v>42369</v>
      </c>
      <c r="F561" s="1">
        <v>42401</v>
      </c>
      <c r="G561" t="s">
        <v>665</v>
      </c>
      <c r="H561" s="81">
        <v>10219</v>
      </c>
      <c r="I561" t="s">
        <v>6</v>
      </c>
      <c r="J561" s="3">
        <v>639.27</v>
      </c>
    </row>
    <row r="562" spans="1:10" x14ac:dyDescent="0.25">
      <c r="A562" t="s">
        <v>663</v>
      </c>
      <c r="B562" t="s">
        <v>5</v>
      </c>
      <c r="C562" s="82" t="s">
        <v>664</v>
      </c>
      <c r="D562">
        <v>201602</v>
      </c>
      <c r="E562" s="1">
        <v>42401</v>
      </c>
      <c r="F562" s="1">
        <v>42430</v>
      </c>
      <c r="G562" t="s">
        <v>665</v>
      </c>
      <c r="H562" s="81">
        <v>10321</v>
      </c>
      <c r="I562" t="s">
        <v>6</v>
      </c>
      <c r="J562" s="3">
        <v>629.88</v>
      </c>
    </row>
    <row r="563" spans="1:10" x14ac:dyDescent="0.25">
      <c r="A563" t="s">
        <v>663</v>
      </c>
      <c r="B563" t="s">
        <v>5</v>
      </c>
      <c r="C563" s="82" t="s">
        <v>664</v>
      </c>
      <c r="D563">
        <v>201603</v>
      </c>
      <c r="E563" s="1">
        <v>42430</v>
      </c>
      <c r="F563" s="1">
        <v>42460</v>
      </c>
      <c r="G563" t="s">
        <v>665</v>
      </c>
      <c r="H563" s="81">
        <v>8242</v>
      </c>
      <c r="I563" t="s">
        <v>6</v>
      </c>
      <c r="J563" s="3">
        <v>529.12</v>
      </c>
    </row>
    <row r="564" spans="1:10" x14ac:dyDescent="0.25">
      <c r="A564" t="s">
        <v>663</v>
      </c>
      <c r="B564" t="s">
        <v>5</v>
      </c>
      <c r="C564" s="82" t="s">
        <v>664</v>
      </c>
      <c r="D564">
        <v>201604</v>
      </c>
      <c r="E564" s="1">
        <v>42460</v>
      </c>
      <c r="F564" s="1">
        <v>42489</v>
      </c>
      <c r="G564" t="s">
        <v>665</v>
      </c>
      <c r="H564" s="81">
        <v>8767</v>
      </c>
      <c r="I564" t="s">
        <v>6</v>
      </c>
      <c r="J564" s="3">
        <v>528.21</v>
      </c>
    </row>
    <row r="565" spans="1:10" x14ac:dyDescent="0.25">
      <c r="A565" t="s">
        <v>663</v>
      </c>
      <c r="B565" t="s">
        <v>5</v>
      </c>
      <c r="C565" s="82" t="s">
        <v>664</v>
      </c>
      <c r="D565">
        <v>201605</v>
      </c>
      <c r="E565" s="1">
        <v>42489</v>
      </c>
      <c r="F565" s="1">
        <v>42521</v>
      </c>
      <c r="G565" t="s">
        <v>665</v>
      </c>
      <c r="H565" s="81">
        <v>7548</v>
      </c>
      <c r="I565" t="s">
        <v>6</v>
      </c>
      <c r="J565" s="3">
        <v>469.48</v>
      </c>
    </row>
    <row r="566" spans="1:10" x14ac:dyDescent="0.25">
      <c r="A566" t="s">
        <v>663</v>
      </c>
      <c r="B566" t="s">
        <v>5</v>
      </c>
      <c r="C566" s="82" t="s">
        <v>664</v>
      </c>
      <c r="D566">
        <v>201606</v>
      </c>
      <c r="E566" s="1">
        <v>42521</v>
      </c>
      <c r="F566" s="1">
        <v>42550</v>
      </c>
      <c r="G566" t="s">
        <v>665</v>
      </c>
      <c r="H566" s="81">
        <v>6687</v>
      </c>
      <c r="I566" t="s">
        <v>6</v>
      </c>
      <c r="J566" s="3">
        <v>401.43</v>
      </c>
    </row>
    <row r="567" spans="1:10" x14ac:dyDescent="0.25">
      <c r="A567" t="s">
        <v>8</v>
      </c>
      <c r="B567" t="s">
        <v>5</v>
      </c>
      <c r="C567" s="82">
        <v>9845692186</v>
      </c>
      <c r="D567">
        <v>201512</v>
      </c>
      <c r="H567" s="2">
        <v>0</v>
      </c>
      <c r="I567" s="2" t="s">
        <v>6</v>
      </c>
      <c r="J567" s="4">
        <v>20.399999999999999</v>
      </c>
    </row>
    <row r="568" spans="1:10" x14ac:dyDescent="0.25">
      <c r="A568" t="s">
        <v>8</v>
      </c>
      <c r="B568" t="s">
        <v>5</v>
      </c>
      <c r="C568" s="82">
        <v>9845692186</v>
      </c>
      <c r="D568">
        <v>201601</v>
      </c>
      <c r="H568" s="2">
        <v>0</v>
      </c>
      <c r="I568" s="2" t="s">
        <v>6</v>
      </c>
      <c r="J568" s="4">
        <v>10.130000000000001</v>
      </c>
    </row>
    <row r="569" spans="1:10" x14ac:dyDescent="0.25">
      <c r="A569" t="s">
        <v>8</v>
      </c>
      <c r="B569" t="s">
        <v>5</v>
      </c>
      <c r="C569" s="82">
        <v>9845692186</v>
      </c>
      <c r="D569">
        <v>201602</v>
      </c>
      <c r="H569" s="2">
        <v>0</v>
      </c>
      <c r="I569" s="2" t="s">
        <v>6</v>
      </c>
      <c r="J569" s="4">
        <v>10.130000000000001</v>
      </c>
    </row>
    <row r="570" spans="1:10" x14ac:dyDescent="0.25">
      <c r="A570" t="s">
        <v>8</v>
      </c>
      <c r="B570" t="s">
        <v>5</v>
      </c>
      <c r="C570" s="82">
        <v>9845692186</v>
      </c>
      <c r="D570">
        <v>201603</v>
      </c>
      <c r="H570" s="2">
        <v>0</v>
      </c>
      <c r="I570" s="2" t="s">
        <v>6</v>
      </c>
      <c r="J570" s="4">
        <v>10.130000000000001</v>
      </c>
    </row>
    <row r="571" spans="1:10" x14ac:dyDescent="0.25">
      <c r="A571" t="s">
        <v>8</v>
      </c>
      <c r="B571" t="s">
        <v>5</v>
      </c>
      <c r="C571" s="82">
        <v>9845692186</v>
      </c>
      <c r="D571">
        <v>201604</v>
      </c>
      <c r="H571" s="2">
        <v>0</v>
      </c>
      <c r="I571" s="2" t="s">
        <v>6</v>
      </c>
      <c r="J571" s="4">
        <v>10.130000000000001</v>
      </c>
    </row>
    <row r="572" spans="1:10" x14ac:dyDescent="0.25">
      <c r="A572" t="s">
        <v>8</v>
      </c>
      <c r="B572" t="s">
        <v>5</v>
      </c>
      <c r="C572" s="82">
        <v>9845692186</v>
      </c>
      <c r="D572">
        <v>201605</v>
      </c>
      <c r="H572" s="2">
        <v>0</v>
      </c>
      <c r="I572" s="2" t="s">
        <v>6</v>
      </c>
      <c r="J572" s="4">
        <v>10.130000000000001</v>
      </c>
    </row>
    <row r="573" spans="1:10" x14ac:dyDescent="0.25">
      <c r="A573" t="s">
        <v>641</v>
      </c>
      <c r="B573" t="s">
        <v>5</v>
      </c>
      <c r="C573" s="82">
        <v>1090106707</v>
      </c>
      <c r="D573">
        <v>201507</v>
      </c>
      <c r="H573" s="81">
        <v>9200</v>
      </c>
      <c r="I573" t="s">
        <v>6</v>
      </c>
      <c r="J573" s="3">
        <v>791.64</v>
      </c>
    </row>
    <row r="574" spans="1:10" x14ac:dyDescent="0.25">
      <c r="A574" t="s">
        <v>641</v>
      </c>
      <c r="B574" t="s">
        <v>5</v>
      </c>
      <c r="C574" s="82">
        <v>1090106707</v>
      </c>
      <c r="D574">
        <v>201508</v>
      </c>
      <c r="H574" s="81">
        <v>9100</v>
      </c>
      <c r="I574" t="s">
        <v>6</v>
      </c>
      <c r="J574" s="3">
        <v>784.64</v>
      </c>
    </row>
    <row r="575" spans="1:10" x14ac:dyDescent="0.25">
      <c r="A575" t="s">
        <v>641</v>
      </c>
      <c r="B575" t="s">
        <v>5</v>
      </c>
      <c r="C575" s="82">
        <v>1090106707</v>
      </c>
      <c r="D575">
        <v>201509</v>
      </c>
      <c r="H575" s="81">
        <v>11380</v>
      </c>
      <c r="I575" t="s">
        <v>6</v>
      </c>
      <c r="J575" s="3">
        <v>935.71</v>
      </c>
    </row>
    <row r="576" spans="1:10" x14ac:dyDescent="0.25">
      <c r="A576" t="s">
        <v>641</v>
      </c>
      <c r="B576" t="s">
        <v>5</v>
      </c>
      <c r="C576" s="82">
        <v>1090106707</v>
      </c>
      <c r="D576">
        <v>201510</v>
      </c>
      <c r="H576" s="81">
        <v>12120</v>
      </c>
      <c r="I576" t="s">
        <v>6</v>
      </c>
      <c r="J576" s="3">
        <v>986.06</v>
      </c>
    </row>
    <row r="577" spans="1:10" x14ac:dyDescent="0.25">
      <c r="A577" t="s">
        <v>641</v>
      </c>
      <c r="B577" t="s">
        <v>5</v>
      </c>
      <c r="C577" s="82">
        <v>1090106707</v>
      </c>
      <c r="D577">
        <v>201511</v>
      </c>
      <c r="H577" s="81">
        <v>14660</v>
      </c>
      <c r="I577" t="s">
        <v>6</v>
      </c>
      <c r="J577" s="3">
        <v>1163.92</v>
      </c>
    </row>
    <row r="578" spans="1:10" x14ac:dyDescent="0.25">
      <c r="A578" t="s">
        <v>641</v>
      </c>
      <c r="B578" t="s">
        <v>5</v>
      </c>
      <c r="C578" s="82">
        <v>1090106707</v>
      </c>
      <c r="D578">
        <v>201512</v>
      </c>
      <c r="H578" s="81">
        <v>14540</v>
      </c>
      <c r="I578" t="s">
        <v>6</v>
      </c>
      <c r="J578" s="3">
        <v>1155.3699999999999</v>
      </c>
    </row>
    <row r="579" spans="1:10" x14ac:dyDescent="0.25">
      <c r="A579" t="s">
        <v>641</v>
      </c>
      <c r="B579" t="s">
        <v>5</v>
      </c>
      <c r="C579" s="82">
        <v>1090106707</v>
      </c>
      <c r="D579">
        <v>201601</v>
      </c>
      <c r="H579" s="81">
        <v>12960</v>
      </c>
      <c r="I579" t="s">
        <v>6</v>
      </c>
      <c r="J579" s="3">
        <v>1044.51</v>
      </c>
    </row>
    <row r="580" spans="1:10" x14ac:dyDescent="0.25">
      <c r="A580" t="s">
        <v>641</v>
      </c>
      <c r="B580" t="s">
        <v>5</v>
      </c>
      <c r="C580" s="82">
        <v>1090106707</v>
      </c>
      <c r="D580">
        <v>201602</v>
      </c>
      <c r="H580" s="81">
        <v>1540</v>
      </c>
      <c r="I580" t="s">
        <v>6</v>
      </c>
      <c r="J580" s="3">
        <v>877.19</v>
      </c>
    </row>
    <row r="581" spans="1:10" x14ac:dyDescent="0.25">
      <c r="A581" t="s">
        <v>641</v>
      </c>
      <c r="B581" t="s">
        <v>5</v>
      </c>
      <c r="C581" s="82">
        <v>1090106707</v>
      </c>
      <c r="D581">
        <v>201603</v>
      </c>
      <c r="H581" s="81">
        <v>12700</v>
      </c>
      <c r="I581" t="s">
        <v>6</v>
      </c>
      <c r="J581" s="3">
        <v>1027.01</v>
      </c>
    </row>
    <row r="582" spans="1:10" x14ac:dyDescent="0.25">
      <c r="A582" t="s">
        <v>641</v>
      </c>
      <c r="B582" t="s">
        <v>5</v>
      </c>
      <c r="C582" s="82">
        <v>1090106707</v>
      </c>
      <c r="D582">
        <v>201604</v>
      </c>
      <c r="H582" s="81">
        <v>9040</v>
      </c>
      <c r="I582" t="s">
        <v>6</v>
      </c>
      <c r="J582" s="3">
        <v>776.85</v>
      </c>
    </row>
    <row r="583" spans="1:10" x14ac:dyDescent="0.25">
      <c r="A583" t="s">
        <v>641</v>
      </c>
      <c r="B583" t="s">
        <v>5</v>
      </c>
      <c r="C583" s="82">
        <v>1090106707</v>
      </c>
      <c r="D583">
        <v>201605</v>
      </c>
      <c r="H583" s="81">
        <v>8900</v>
      </c>
      <c r="I583" t="s">
        <v>6</v>
      </c>
      <c r="J583" s="3">
        <v>772.82</v>
      </c>
    </row>
    <row r="584" spans="1:10" x14ac:dyDescent="0.25">
      <c r="A584" t="s">
        <v>641</v>
      </c>
      <c r="B584" t="s">
        <v>5</v>
      </c>
      <c r="C584" s="82">
        <v>1090106707</v>
      </c>
      <c r="D584">
        <v>201606</v>
      </c>
      <c r="H584" s="81">
        <v>8040</v>
      </c>
      <c r="I584" t="s">
        <v>6</v>
      </c>
      <c r="J584" s="3">
        <v>712.49</v>
      </c>
    </row>
    <row r="585" spans="1:10" x14ac:dyDescent="0.25">
      <c r="A585" t="s">
        <v>682</v>
      </c>
      <c r="B585" t="s">
        <v>5</v>
      </c>
      <c r="C585" s="82" t="s">
        <v>683</v>
      </c>
      <c r="D585">
        <v>201507</v>
      </c>
      <c r="E585" s="1">
        <v>42185</v>
      </c>
      <c r="F585" s="1">
        <v>42216</v>
      </c>
      <c r="G585" t="s">
        <v>684</v>
      </c>
      <c r="H585" s="81">
        <v>5660</v>
      </c>
      <c r="I585" t="s">
        <v>6</v>
      </c>
      <c r="J585" s="3">
        <v>332</v>
      </c>
    </row>
    <row r="586" spans="1:10" x14ac:dyDescent="0.25">
      <c r="A586" t="s">
        <v>682</v>
      </c>
      <c r="B586" t="s">
        <v>5</v>
      </c>
      <c r="C586" s="82" t="s">
        <v>683</v>
      </c>
      <c r="D586">
        <v>201508</v>
      </c>
      <c r="E586" s="1">
        <v>42216</v>
      </c>
      <c r="F586" s="1">
        <v>42243</v>
      </c>
      <c r="G586" t="s">
        <v>684</v>
      </c>
      <c r="H586" s="81">
        <v>5155</v>
      </c>
      <c r="I586" t="s">
        <v>6</v>
      </c>
      <c r="J586" s="3">
        <v>312.58999999999997</v>
      </c>
    </row>
    <row r="587" spans="1:10" x14ac:dyDescent="0.25">
      <c r="A587" t="s">
        <v>682</v>
      </c>
      <c r="B587" t="s">
        <v>5</v>
      </c>
      <c r="C587" s="82" t="s">
        <v>683</v>
      </c>
      <c r="D587">
        <v>201509</v>
      </c>
      <c r="E587" s="1">
        <v>42243</v>
      </c>
      <c r="F587" s="1">
        <v>42276</v>
      </c>
      <c r="G587" t="s">
        <v>684</v>
      </c>
      <c r="H587" s="81">
        <v>6115</v>
      </c>
      <c r="I587" t="s">
        <v>6</v>
      </c>
      <c r="J587" s="3">
        <v>357.76</v>
      </c>
    </row>
    <row r="588" spans="1:10" x14ac:dyDescent="0.25">
      <c r="A588" t="s">
        <v>682</v>
      </c>
      <c r="B588" t="s">
        <v>5</v>
      </c>
      <c r="C588" s="82" t="s">
        <v>683</v>
      </c>
      <c r="D588">
        <v>201510</v>
      </c>
      <c r="E588" s="1">
        <v>42276</v>
      </c>
      <c r="F588" s="1">
        <v>42305</v>
      </c>
      <c r="G588" t="s">
        <v>684</v>
      </c>
      <c r="H588" s="81">
        <v>7946</v>
      </c>
      <c r="I588" t="s">
        <v>6</v>
      </c>
      <c r="J588" s="3">
        <v>475.13</v>
      </c>
    </row>
    <row r="589" spans="1:10" x14ac:dyDescent="0.25">
      <c r="A589" t="s">
        <v>682</v>
      </c>
      <c r="B589" t="s">
        <v>5</v>
      </c>
      <c r="C589" s="82" t="s">
        <v>683</v>
      </c>
      <c r="D589">
        <v>201511</v>
      </c>
      <c r="E589" s="1">
        <v>42305</v>
      </c>
      <c r="F589" s="1">
        <v>42339</v>
      </c>
      <c r="G589" t="s">
        <v>684</v>
      </c>
      <c r="H589" s="81">
        <v>17937</v>
      </c>
      <c r="I589" t="s">
        <v>6</v>
      </c>
      <c r="J589" s="3">
        <v>1084.92</v>
      </c>
    </row>
    <row r="590" spans="1:10" x14ac:dyDescent="0.25">
      <c r="A590" t="s">
        <v>682</v>
      </c>
      <c r="B590" t="s">
        <v>5</v>
      </c>
      <c r="C590" s="82" t="s">
        <v>683</v>
      </c>
      <c r="D590">
        <v>201512</v>
      </c>
      <c r="E590" s="1">
        <v>42339</v>
      </c>
      <c r="F590" s="1">
        <v>42369</v>
      </c>
      <c r="G590" t="s">
        <v>684</v>
      </c>
      <c r="H590" s="81">
        <v>12163</v>
      </c>
      <c r="I590" t="s">
        <v>6</v>
      </c>
      <c r="J590" s="3">
        <v>768.36</v>
      </c>
    </row>
    <row r="591" spans="1:10" x14ac:dyDescent="0.25">
      <c r="A591" t="s">
        <v>682</v>
      </c>
      <c r="B591" t="s">
        <v>5</v>
      </c>
      <c r="C591" s="82" t="s">
        <v>683</v>
      </c>
      <c r="D591">
        <v>201601</v>
      </c>
      <c r="E591" s="1">
        <v>42369</v>
      </c>
      <c r="F591" s="1">
        <v>42401</v>
      </c>
      <c r="G591" t="s">
        <v>684</v>
      </c>
      <c r="H591" s="81">
        <v>24116</v>
      </c>
      <c r="I591" t="s">
        <v>6</v>
      </c>
      <c r="J591" s="3">
        <v>1508.62</v>
      </c>
    </row>
    <row r="592" spans="1:10" x14ac:dyDescent="0.25">
      <c r="A592" t="s">
        <v>682</v>
      </c>
      <c r="B592" t="s">
        <v>5</v>
      </c>
      <c r="C592" s="82" t="s">
        <v>683</v>
      </c>
      <c r="D592">
        <v>201602</v>
      </c>
      <c r="E592" s="1">
        <v>42401</v>
      </c>
      <c r="F592" s="1">
        <v>42430</v>
      </c>
      <c r="G592" t="s">
        <v>684</v>
      </c>
      <c r="H592" s="81">
        <v>19358</v>
      </c>
      <c r="I592" t="s">
        <v>6</v>
      </c>
      <c r="J592" s="3">
        <v>1181.3900000000001</v>
      </c>
    </row>
    <row r="593" spans="1:10" x14ac:dyDescent="0.25">
      <c r="A593" t="s">
        <v>682</v>
      </c>
      <c r="B593" t="s">
        <v>5</v>
      </c>
      <c r="C593" s="82" t="s">
        <v>683</v>
      </c>
      <c r="D593">
        <v>201603</v>
      </c>
      <c r="E593" s="1">
        <v>42430</v>
      </c>
      <c r="F593" s="1">
        <v>42460</v>
      </c>
      <c r="G593" t="s">
        <v>684</v>
      </c>
      <c r="H593" s="81">
        <v>10882</v>
      </c>
      <c r="I593" t="s">
        <v>6</v>
      </c>
      <c r="J593" s="3">
        <v>698.61</v>
      </c>
    </row>
    <row r="594" spans="1:10" x14ac:dyDescent="0.25">
      <c r="A594" t="s">
        <v>682</v>
      </c>
      <c r="B594" t="s">
        <v>5</v>
      </c>
      <c r="C594" s="82" t="s">
        <v>683</v>
      </c>
      <c r="D594">
        <v>201604</v>
      </c>
      <c r="E594" s="1">
        <v>42460</v>
      </c>
      <c r="F594" s="1">
        <v>42489</v>
      </c>
      <c r="G594" t="s">
        <v>684</v>
      </c>
      <c r="H594" s="81">
        <v>8154</v>
      </c>
      <c r="I594" t="s">
        <v>6</v>
      </c>
      <c r="J594" s="3">
        <v>491.28</v>
      </c>
    </row>
    <row r="595" spans="1:10" x14ac:dyDescent="0.25">
      <c r="A595" t="s">
        <v>682</v>
      </c>
      <c r="B595" t="s">
        <v>5</v>
      </c>
      <c r="C595" s="82" t="s">
        <v>683</v>
      </c>
      <c r="D595">
        <v>201605</v>
      </c>
      <c r="E595" s="1">
        <v>42489</v>
      </c>
      <c r="F595" s="1">
        <v>42521</v>
      </c>
      <c r="G595" t="s">
        <v>684</v>
      </c>
      <c r="H595" s="81">
        <v>6581</v>
      </c>
      <c r="I595" t="s">
        <v>6</v>
      </c>
      <c r="J595" s="3">
        <v>409.33</v>
      </c>
    </row>
    <row r="596" spans="1:10" x14ac:dyDescent="0.25">
      <c r="A596" t="s">
        <v>682</v>
      </c>
      <c r="B596" t="s">
        <v>5</v>
      </c>
      <c r="C596" s="82" t="s">
        <v>683</v>
      </c>
      <c r="D596">
        <v>201606</v>
      </c>
      <c r="E596" s="1">
        <v>42521</v>
      </c>
      <c r="F596" s="1">
        <v>42550</v>
      </c>
      <c r="G596" t="s">
        <v>684</v>
      </c>
      <c r="H596" s="81">
        <v>12459</v>
      </c>
      <c r="I596" t="s">
        <v>6</v>
      </c>
      <c r="J596" s="3">
        <v>747.94</v>
      </c>
    </row>
    <row r="597" spans="1:10" x14ac:dyDescent="0.25">
      <c r="E597" s="1"/>
      <c r="F597" s="1"/>
      <c r="H597" s="96">
        <f>SUM(H3:H596)</f>
        <v>33597622</v>
      </c>
      <c r="I597" t="s">
        <v>6</v>
      </c>
      <c r="J597" s="95">
        <f>SUM(J3:J596)</f>
        <v>2058708.9099999988</v>
      </c>
    </row>
    <row r="598" spans="1:10" x14ac:dyDescent="0.25">
      <c r="E598" s="1"/>
      <c r="F598" s="1"/>
      <c r="G598" s="20" t="s">
        <v>732</v>
      </c>
      <c r="H598" s="113">
        <v>-417643</v>
      </c>
      <c r="I598" t="s">
        <v>6</v>
      </c>
      <c r="J598" s="95">
        <v>-25409.02</v>
      </c>
    </row>
    <row r="599" spans="1:10" ht="15.75" thickBot="1" x14ac:dyDescent="0.3">
      <c r="E599" s="1"/>
      <c r="F599" s="1"/>
      <c r="G599" s="20" t="s">
        <v>737</v>
      </c>
      <c r="H599" s="97">
        <v>-290748</v>
      </c>
      <c r="I599" t="s">
        <v>6</v>
      </c>
      <c r="J599" s="98">
        <v>-17828.509999999998</v>
      </c>
    </row>
    <row r="600" spans="1:10" ht="15.75" thickBot="1" x14ac:dyDescent="0.3">
      <c r="H600" s="91">
        <f>SUM(H597:H599)</f>
        <v>32889231</v>
      </c>
      <c r="I600" t="s">
        <v>6</v>
      </c>
      <c r="J600" s="6">
        <f>SUM(J597:J599)</f>
        <v>2015471.3799999987</v>
      </c>
    </row>
    <row r="601" spans="1:10" ht="15.75" thickBot="1" x14ac:dyDescent="0.3">
      <c r="E601" s="1"/>
      <c r="F601" s="1"/>
      <c r="H601" s="91">
        <f>32889231*3412/1000000</f>
        <v>112218.056172</v>
      </c>
      <c r="I601" t="s">
        <v>12</v>
      </c>
      <c r="J601" s="3"/>
    </row>
    <row r="602" spans="1:10" x14ac:dyDescent="0.25">
      <c r="E602" s="1"/>
      <c r="F602" s="1"/>
      <c r="H602" s="81"/>
      <c r="J602" s="3"/>
    </row>
    <row r="603" spans="1:10" x14ac:dyDescent="0.25">
      <c r="A603" t="s">
        <v>57</v>
      </c>
      <c r="B603" t="s">
        <v>71</v>
      </c>
      <c r="C603" s="82" t="s">
        <v>704</v>
      </c>
      <c r="D603">
        <v>201507</v>
      </c>
      <c r="E603" s="1">
        <v>42185</v>
      </c>
      <c r="F603" s="1">
        <v>42216</v>
      </c>
      <c r="G603" t="s">
        <v>704</v>
      </c>
      <c r="H603" s="81">
        <v>556</v>
      </c>
      <c r="I603" t="s">
        <v>12</v>
      </c>
      <c r="J603" s="3">
        <v>6271.24</v>
      </c>
    </row>
    <row r="604" spans="1:10" x14ac:dyDescent="0.25">
      <c r="A604" t="s">
        <v>57</v>
      </c>
      <c r="B604" t="s">
        <v>71</v>
      </c>
      <c r="C604" s="82" t="s">
        <v>704</v>
      </c>
      <c r="D604">
        <v>201508</v>
      </c>
      <c r="E604" s="1">
        <v>42216</v>
      </c>
      <c r="F604" s="1">
        <v>42243</v>
      </c>
      <c r="G604" t="s">
        <v>704</v>
      </c>
      <c r="H604" s="81">
        <v>551</v>
      </c>
      <c r="I604" t="s">
        <v>12</v>
      </c>
      <c r="J604" s="3">
        <v>6329.69</v>
      </c>
    </row>
    <row r="605" spans="1:10" x14ac:dyDescent="0.25">
      <c r="A605" t="s">
        <v>57</v>
      </c>
      <c r="B605" t="s">
        <v>71</v>
      </c>
      <c r="C605" s="82" t="s">
        <v>704</v>
      </c>
      <c r="D605">
        <v>201509</v>
      </c>
      <c r="E605" s="1">
        <v>42243</v>
      </c>
      <c r="F605" s="1">
        <v>42276</v>
      </c>
      <c r="G605" t="s">
        <v>704</v>
      </c>
      <c r="H605" s="81">
        <v>673</v>
      </c>
      <c r="I605" t="s">
        <v>12</v>
      </c>
      <c r="J605" s="3">
        <v>7657.21</v>
      </c>
    </row>
    <row r="606" spans="1:10" x14ac:dyDescent="0.25">
      <c r="A606" t="s">
        <v>57</v>
      </c>
      <c r="B606" t="s">
        <v>71</v>
      </c>
      <c r="C606" s="82" t="s">
        <v>704</v>
      </c>
      <c r="D606">
        <v>201510</v>
      </c>
      <c r="E606" s="1">
        <v>42276</v>
      </c>
      <c r="F606" s="1">
        <v>42305</v>
      </c>
      <c r="G606" t="s">
        <v>704</v>
      </c>
      <c r="H606" s="81">
        <v>761</v>
      </c>
      <c r="I606" t="s">
        <v>12</v>
      </c>
      <c r="J606" s="3">
        <v>6163.72</v>
      </c>
    </row>
    <row r="607" spans="1:10" x14ac:dyDescent="0.25">
      <c r="A607" t="s">
        <v>57</v>
      </c>
      <c r="B607" t="s">
        <v>71</v>
      </c>
      <c r="C607" s="82" t="s">
        <v>704</v>
      </c>
      <c r="D607">
        <v>201511</v>
      </c>
      <c r="E607" s="1">
        <v>42305</v>
      </c>
      <c r="F607" s="1">
        <v>42339</v>
      </c>
      <c r="G607" t="s">
        <v>704</v>
      </c>
      <c r="H607" s="81">
        <v>873</v>
      </c>
      <c r="I607" t="s">
        <v>12</v>
      </c>
      <c r="J607" s="3">
        <v>5851.14</v>
      </c>
    </row>
    <row r="608" spans="1:10" x14ac:dyDescent="0.25">
      <c r="A608" t="s">
        <v>57</v>
      </c>
      <c r="B608" t="s">
        <v>71</v>
      </c>
      <c r="C608" s="82" t="s">
        <v>704</v>
      </c>
      <c r="D608">
        <v>201512</v>
      </c>
      <c r="E608" s="1">
        <v>42339</v>
      </c>
      <c r="F608" s="1">
        <v>42369</v>
      </c>
      <c r="G608" t="s">
        <v>704</v>
      </c>
      <c r="H608" s="81">
        <v>910</v>
      </c>
      <c r="I608" t="s">
        <v>12</v>
      </c>
      <c r="J608" s="3">
        <v>5574.62</v>
      </c>
    </row>
    <row r="609" spans="1:10" x14ac:dyDescent="0.25">
      <c r="A609" t="s">
        <v>57</v>
      </c>
      <c r="B609" t="s">
        <v>71</v>
      </c>
      <c r="C609" s="82" t="s">
        <v>704</v>
      </c>
      <c r="D609">
        <v>201601</v>
      </c>
      <c r="E609" s="1">
        <v>42369</v>
      </c>
      <c r="F609" s="1">
        <v>42401</v>
      </c>
      <c r="G609" t="s">
        <v>704</v>
      </c>
      <c r="H609" s="81">
        <v>1375</v>
      </c>
      <c r="I609" t="s">
        <v>12</v>
      </c>
      <c r="J609" s="3">
        <v>7316.76</v>
      </c>
    </row>
    <row r="610" spans="1:10" x14ac:dyDescent="0.25">
      <c r="A610" t="s">
        <v>57</v>
      </c>
      <c r="B610" t="s">
        <v>71</v>
      </c>
      <c r="C610" s="82" t="s">
        <v>704</v>
      </c>
      <c r="D610">
        <v>201602</v>
      </c>
      <c r="E610" s="1">
        <v>42401</v>
      </c>
      <c r="F610" s="1">
        <v>42430</v>
      </c>
      <c r="G610" t="s">
        <v>704</v>
      </c>
      <c r="H610" s="81">
        <v>1075</v>
      </c>
      <c r="I610" t="s">
        <v>12</v>
      </c>
      <c r="J610" s="3">
        <v>5988.94</v>
      </c>
    </row>
    <row r="611" spans="1:10" x14ac:dyDescent="0.25">
      <c r="A611" t="s">
        <v>57</v>
      </c>
      <c r="B611" t="s">
        <v>71</v>
      </c>
      <c r="C611" s="82" t="s">
        <v>704</v>
      </c>
      <c r="D611">
        <v>201603</v>
      </c>
      <c r="E611" s="1">
        <v>42430</v>
      </c>
      <c r="F611" s="1">
        <v>42460</v>
      </c>
      <c r="G611" t="s">
        <v>704</v>
      </c>
      <c r="H611" s="81">
        <v>1118</v>
      </c>
      <c r="I611" t="s">
        <v>12</v>
      </c>
      <c r="J611" s="3">
        <v>6054.19</v>
      </c>
    </row>
    <row r="612" spans="1:10" x14ac:dyDescent="0.25">
      <c r="A612" t="s">
        <v>57</v>
      </c>
      <c r="B612" t="s">
        <v>71</v>
      </c>
      <c r="C612" s="82" t="s">
        <v>704</v>
      </c>
      <c r="D612">
        <v>201604</v>
      </c>
      <c r="E612" s="1">
        <v>42460</v>
      </c>
      <c r="F612" s="1">
        <v>42489</v>
      </c>
      <c r="G612" t="s">
        <v>704</v>
      </c>
      <c r="H612" s="81">
        <v>726</v>
      </c>
      <c r="I612" t="s">
        <v>12</v>
      </c>
      <c r="J612" s="3">
        <v>5434.41</v>
      </c>
    </row>
    <row r="613" spans="1:10" x14ac:dyDescent="0.25">
      <c r="A613" t="s">
        <v>57</v>
      </c>
      <c r="B613" t="s">
        <v>71</v>
      </c>
      <c r="C613" s="82" t="s">
        <v>704</v>
      </c>
      <c r="D613">
        <v>201605</v>
      </c>
      <c r="E613" s="1">
        <v>42489</v>
      </c>
      <c r="F613" s="1">
        <v>42521</v>
      </c>
      <c r="G613" t="s">
        <v>704</v>
      </c>
      <c r="H613" s="81">
        <v>484</v>
      </c>
      <c r="I613" t="s">
        <v>12</v>
      </c>
      <c r="J613" s="3">
        <v>4461.1099999999997</v>
      </c>
    </row>
    <row r="614" spans="1:10" x14ac:dyDescent="0.25">
      <c r="A614" t="s">
        <v>57</v>
      </c>
      <c r="B614" t="s">
        <v>71</v>
      </c>
      <c r="C614" s="82" t="s">
        <v>704</v>
      </c>
      <c r="D614">
        <v>201606</v>
      </c>
      <c r="E614" s="1">
        <v>42521</v>
      </c>
      <c r="F614" s="1">
        <v>42550</v>
      </c>
      <c r="G614" t="s">
        <v>704</v>
      </c>
      <c r="H614" s="81">
        <v>557</v>
      </c>
      <c r="I614" t="s">
        <v>12</v>
      </c>
      <c r="J614" s="3">
        <v>6071.83</v>
      </c>
    </row>
    <row r="615" spans="1:10" x14ac:dyDescent="0.25">
      <c r="A615" t="s">
        <v>691</v>
      </c>
      <c r="B615" t="s">
        <v>71</v>
      </c>
      <c r="C615" s="82" t="s">
        <v>694</v>
      </c>
      <c r="D615">
        <v>201507</v>
      </c>
      <c r="E615" s="1">
        <v>42185</v>
      </c>
      <c r="F615" s="1">
        <v>42216</v>
      </c>
      <c r="G615" t="s">
        <v>694</v>
      </c>
      <c r="H615" s="81">
        <v>217</v>
      </c>
      <c r="I615" t="s">
        <v>12</v>
      </c>
      <c r="J615" s="3">
        <v>2447.59</v>
      </c>
    </row>
    <row r="616" spans="1:10" x14ac:dyDescent="0.25">
      <c r="A616" t="s">
        <v>691</v>
      </c>
      <c r="B616" t="s">
        <v>71</v>
      </c>
      <c r="C616" s="82" t="s">
        <v>694</v>
      </c>
      <c r="D616">
        <v>201508</v>
      </c>
      <c r="E616" s="1">
        <v>42216</v>
      </c>
      <c r="F616" s="1">
        <v>42243</v>
      </c>
      <c r="G616" t="s">
        <v>694</v>
      </c>
      <c r="H616" s="81">
        <v>215</v>
      </c>
      <c r="I616" t="s">
        <v>12</v>
      </c>
      <c r="J616" s="3">
        <v>2469.84</v>
      </c>
    </row>
    <row r="617" spans="1:10" x14ac:dyDescent="0.25">
      <c r="A617" t="s">
        <v>691</v>
      </c>
      <c r="B617" t="s">
        <v>71</v>
      </c>
      <c r="C617" s="82" t="s">
        <v>694</v>
      </c>
      <c r="D617">
        <v>201509</v>
      </c>
      <c r="E617" s="1">
        <v>42243</v>
      </c>
      <c r="F617" s="1">
        <v>42276</v>
      </c>
      <c r="G617" t="s">
        <v>694</v>
      </c>
      <c r="H617" s="81">
        <v>263</v>
      </c>
      <c r="I617" t="s">
        <v>12</v>
      </c>
      <c r="J617" s="3">
        <v>2992.34</v>
      </c>
    </row>
    <row r="618" spans="1:10" x14ac:dyDescent="0.25">
      <c r="A618" t="s">
        <v>691</v>
      </c>
      <c r="B618" t="s">
        <v>71</v>
      </c>
      <c r="C618" s="82" t="s">
        <v>694</v>
      </c>
      <c r="D618">
        <v>201510</v>
      </c>
      <c r="E618" s="1">
        <v>42276</v>
      </c>
      <c r="F618" s="1">
        <v>42305</v>
      </c>
      <c r="G618" t="s">
        <v>694</v>
      </c>
      <c r="H618" s="81">
        <v>297</v>
      </c>
      <c r="I618" t="s">
        <v>12</v>
      </c>
      <c r="J618" s="3">
        <v>2405.5500000000002</v>
      </c>
    </row>
    <row r="619" spans="1:10" x14ac:dyDescent="0.25">
      <c r="A619" t="s">
        <v>691</v>
      </c>
      <c r="B619" t="s">
        <v>71</v>
      </c>
      <c r="C619" s="82" t="s">
        <v>694</v>
      </c>
      <c r="D619">
        <v>201511</v>
      </c>
      <c r="E619" s="1">
        <v>42305</v>
      </c>
      <c r="F619" s="1">
        <v>42339</v>
      </c>
      <c r="G619" t="s">
        <v>694</v>
      </c>
      <c r="H619" s="81">
        <v>341</v>
      </c>
      <c r="I619" t="s">
        <v>12</v>
      </c>
      <c r="J619" s="3">
        <v>2285.5</v>
      </c>
    </row>
    <row r="620" spans="1:10" x14ac:dyDescent="0.25">
      <c r="A620" t="s">
        <v>691</v>
      </c>
      <c r="B620" t="s">
        <v>71</v>
      </c>
      <c r="C620" s="82" t="s">
        <v>694</v>
      </c>
      <c r="D620">
        <v>201512</v>
      </c>
      <c r="E620" s="1">
        <v>42339</v>
      </c>
      <c r="F620" s="1">
        <v>42369</v>
      </c>
      <c r="G620" t="s">
        <v>694</v>
      </c>
      <c r="H620" s="81">
        <v>355</v>
      </c>
      <c r="I620" t="s">
        <v>12</v>
      </c>
      <c r="J620" s="3">
        <v>2174.71</v>
      </c>
    </row>
    <row r="621" spans="1:10" x14ac:dyDescent="0.25">
      <c r="A621" t="s">
        <v>691</v>
      </c>
      <c r="B621" t="s">
        <v>71</v>
      </c>
      <c r="C621" s="82" t="s">
        <v>694</v>
      </c>
      <c r="D621">
        <v>201601</v>
      </c>
      <c r="E621" s="1">
        <v>42369</v>
      </c>
      <c r="F621" s="1">
        <v>42401</v>
      </c>
      <c r="G621" t="s">
        <v>694</v>
      </c>
      <c r="H621" s="81">
        <v>536</v>
      </c>
      <c r="I621" t="s">
        <v>12</v>
      </c>
      <c r="J621" s="3">
        <v>2852.2</v>
      </c>
    </row>
    <row r="622" spans="1:10" x14ac:dyDescent="0.25">
      <c r="A622" t="s">
        <v>691</v>
      </c>
      <c r="B622" t="s">
        <v>71</v>
      </c>
      <c r="C622" s="82" t="s">
        <v>694</v>
      </c>
      <c r="D622">
        <v>201602</v>
      </c>
      <c r="E622" s="1">
        <v>42401</v>
      </c>
      <c r="F622" s="1">
        <v>42430</v>
      </c>
      <c r="G622" t="s">
        <v>694</v>
      </c>
      <c r="H622" s="81">
        <v>419</v>
      </c>
      <c r="I622" t="s">
        <v>12</v>
      </c>
      <c r="J622" s="3">
        <v>2334.29</v>
      </c>
    </row>
    <row r="623" spans="1:10" x14ac:dyDescent="0.25">
      <c r="A623" t="s">
        <v>691</v>
      </c>
      <c r="B623" t="s">
        <v>71</v>
      </c>
      <c r="C623" s="82" t="s">
        <v>694</v>
      </c>
      <c r="D623">
        <v>201603</v>
      </c>
      <c r="E623" s="1">
        <v>42430</v>
      </c>
      <c r="F623" s="1">
        <v>42460</v>
      </c>
      <c r="G623" t="s">
        <v>694</v>
      </c>
      <c r="H623" s="81">
        <v>436</v>
      </c>
      <c r="I623" t="s">
        <v>12</v>
      </c>
      <c r="J623" s="3">
        <v>2361.0300000000002</v>
      </c>
    </row>
    <row r="624" spans="1:10" x14ac:dyDescent="0.25">
      <c r="A624" t="s">
        <v>691</v>
      </c>
      <c r="B624" t="s">
        <v>71</v>
      </c>
      <c r="C624" s="82" t="s">
        <v>694</v>
      </c>
      <c r="D624">
        <v>201604</v>
      </c>
      <c r="E624" s="1">
        <v>42460</v>
      </c>
      <c r="F624" s="1">
        <v>42489</v>
      </c>
      <c r="G624" t="s">
        <v>694</v>
      </c>
      <c r="H624" s="81">
        <v>283</v>
      </c>
      <c r="I624" t="s">
        <v>12</v>
      </c>
      <c r="J624" s="3">
        <v>2118.37</v>
      </c>
    </row>
    <row r="625" spans="1:10" x14ac:dyDescent="0.25">
      <c r="A625" t="s">
        <v>691</v>
      </c>
      <c r="B625" t="s">
        <v>71</v>
      </c>
      <c r="C625" s="82" t="s">
        <v>694</v>
      </c>
      <c r="D625">
        <v>201605</v>
      </c>
      <c r="E625" s="1">
        <v>42489</v>
      </c>
      <c r="F625" s="1">
        <v>42521</v>
      </c>
      <c r="G625" t="s">
        <v>694</v>
      </c>
      <c r="H625" s="81">
        <v>189</v>
      </c>
      <c r="I625" t="s">
        <v>12</v>
      </c>
      <c r="J625" s="3">
        <v>1742.04</v>
      </c>
    </row>
    <row r="626" spans="1:10" x14ac:dyDescent="0.25">
      <c r="A626" t="s">
        <v>691</v>
      </c>
      <c r="B626" t="s">
        <v>71</v>
      </c>
      <c r="C626" s="82" t="s">
        <v>694</v>
      </c>
      <c r="D626">
        <v>201606</v>
      </c>
      <c r="E626" s="1">
        <v>42521</v>
      </c>
      <c r="F626" s="1">
        <v>42550</v>
      </c>
      <c r="G626" t="s">
        <v>694</v>
      </c>
      <c r="H626" s="81">
        <v>217</v>
      </c>
      <c r="I626" t="s">
        <v>12</v>
      </c>
      <c r="J626" s="3">
        <v>2365.5100000000002</v>
      </c>
    </row>
    <row r="627" spans="1:10" x14ac:dyDescent="0.25">
      <c r="A627" t="s">
        <v>542</v>
      </c>
      <c r="B627" t="s">
        <v>71</v>
      </c>
      <c r="C627" s="82" t="s">
        <v>544</v>
      </c>
      <c r="D627">
        <v>201507</v>
      </c>
      <c r="E627" s="1">
        <v>42185</v>
      </c>
      <c r="F627" s="1">
        <v>42216</v>
      </c>
      <c r="G627" t="s">
        <v>544</v>
      </c>
      <c r="H627" s="81">
        <v>346</v>
      </c>
      <c r="I627" t="s">
        <v>12</v>
      </c>
      <c r="J627" s="3">
        <v>3902.61</v>
      </c>
    </row>
    <row r="628" spans="1:10" x14ac:dyDescent="0.25">
      <c r="A628" t="s">
        <v>542</v>
      </c>
      <c r="B628" t="s">
        <v>71</v>
      </c>
      <c r="C628" s="82" t="s">
        <v>544</v>
      </c>
      <c r="D628">
        <v>201508</v>
      </c>
      <c r="E628" s="1">
        <v>42216</v>
      </c>
      <c r="F628" s="1">
        <v>42243</v>
      </c>
      <c r="G628" t="s">
        <v>544</v>
      </c>
      <c r="H628" s="81">
        <v>343</v>
      </c>
      <c r="I628" t="s">
        <v>12</v>
      </c>
      <c r="J628" s="3">
        <v>3940.26</v>
      </c>
    </row>
    <row r="629" spans="1:10" x14ac:dyDescent="0.25">
      <c r="A629" t="s">
        <v>542</v>
      </c>
      <c r="B629" t="s">
        <v>71</v>
      </c>
      <c r="C629" s="82" t="s">
        <v>544</v>
      </c>
      <c r="D629">
        <v>201509</v>
      </c>
      <c r="E629" s="1">
        <v>42243</v>
      </c>
      <c r="F629" s="1">
        <v>42276</v>
      </c>
      <c r="G629" t="s">
        <v>544</v>
      </c>
      <c r="H629" s="81">
        <v>419</v>
      </c>
      <c r="I629" t="s">
        <v>12</v>
      </c>
      <c r="J629" s="3">
        <v>4767.2700000000004</v>
      </c>
    </row>
    <row r="630" spans="1:10" x14ac:dyDescent="0.25">
      <c r="A630" t="s">
        <v>542</v>
      </c>
      <c r="B630" t="s">
        <v>71</v>
      </c>
      <c r="C630" s="82" t="s">
        <v>544</v>
      </c>
      <c r="D630">
        <v>201510</v>
      </c>
      <c r="E630" s="1">
        <v>42276</v>
      </c>
      <c r="F630" s="1">
        <v>42305</v>
      </c>
      <c r="G630" t="s">
        <v>544</v>
      </c>
      <c r="H630" s="81">
        <v>473</v>
      </c>
      <c r="I630" t="s">
        <v>12</v>
      </c>
      <c r="J630" s="3">
        <v>3831.07</v>
      </c>
    </row>
    <row r="631" spans="1:10" x14ac:dyDescent="0.25">
      <c r="A631" t="s">
        <v>542</v>
      </c>
      <c r="B631" t="s">
        <v>71</v>
      </c>
      <c r="C631" s="82" t="s">
        <v>544</v>
      </c>
      <c r="D631">
        <v>201511</v>
      </c>
      <c r="E631" s="1">
        <v>42305</v>
      </c>
      <c r="F631" s="1">
        <v>42339</v>
      </c>
      <c r="G631" t="s">
        <v>544</v>
      </c>
      <c r="H631" s="81">
        <v>543</v>
      </c>
      <c r="I631" t="s">
        <v>12</v>
      </c>
      <c r="J631" s="3">
        <v>3639.37</v>
      </c>
    </row>
    <row r="632" spans="1:10" x14ac:dyDescent="0.25">
      <c r="A632" t="s">
        <v>542</v>
      </c>
      <c r="B632" t="s">
        <v>71</v>
      </c>
      <c r="C632" s="82" t="s">
        <v>544</v>
      </c>
      <c r="D632">
        <v>201512</v>
      </c>
      <c r="E632" s="1">
        <v>42339</v>
      </c>
      <c r="F632" s="1">
        <v>42369</v>
      </c>
      <c r="G632" t="s">
        <v>544</v>
      </c>
      <c r="H632" s="81">
        <v>567</v>
      </c>
      <c r="I632" t="s">
        <v>12</v>
      </c>
      <c r="J632" s="3">
        <v>3473.42</v>
      </c>
    </row>
    <row r="633" spans="1:10" x14ac:dyDescent="0.25">
      <c r="A633" t="s">
        <v>542</v>
      </c>
      <c r="B633" t="s">
        <v>71</v>
      </c>
      <c r="C633" s="82" t="s">
        <v>544</v>
      </c>
      <c r="D633">
        <v>201601</v>
      </c>
      <c r="E633" s="1">
        <v>42369</v>
      </c>
      <c r="F633" s="1">
        <v>42401</v>
      </c>
      <c r="G633" t="s">
        <v>544</v>
      </c>
      <c r="H633" s="81">
        <v>856</v>
      </c>
      <c r="I633" t="s">
        <v>12</v>
      </c>
      <c r="J633" s="3">
        <v>4555.01</v>
      </c>
    </row>
    <row r="634" spans="1:10" x14ac:dyDescent="0.25">
      <c r="A634" t="s">
        <v>542</v>
      </c>
      <c r="B634" t="s">
        <v>71</v>
      </c>
      <c r="C634" s="82" t="s">
        <v>544</v>
      </c>
      <c r="D634">
        <v>201602</v>
      </c>
      <c r="E634" s="1">
        <v>42401</v>
      </c>
      <c r="F634" s="1">
        <v>42430</v>
      </c>
      <c r="G634" t="s">
        <v>544</v>
      </c>
      <c r="H634" s="81">
        <v>669</v>
      </c>
      <c r="I634" t="s">
        <v>12</v>
      </c>
      <c r="J634" s="3">
        <v>3727.07</v>
      </c>
    </row>
    <row r="635" spans="1:10" x14ac:dyDescent="0.25">
      <c r="A635" t="s">
        <v>542</v>
      </c>
      <c r="B635" t="s">
        <v>71</v>
      </c>
      <c r="C635" s="82" t="s">
        <v>544</v>
      </c>
      <c r="D635">
        <v>201603</v>
      </c>
      <c r="E635" s="1">
        <v>42430</v>
      </c>
      <c r="F635" s="1">
        <v>42460</v>
      </c>
      <c r="G635" t="s">
        <v>544</v>
      </c>
      <c r="H635" s="81">
        <v>696</v>
      </c>
      <c r="I635" t="s">
        <v>12</v>
      </c>
      <c r="J635" s="3">
        <v>3768.98</v>
      </c>
    </row>
    <row r="636" spans="1:10" x14ac:dyDescent="0.25">
      <c r="A636" t="s">
        <v>542</v>
      </c>
      <c r="B636" t="s">
        <v>71</v>
      </c>
      <c r="C636" s="82" t="s">
        <v>544</v>
      </c>
      <c r="D636">
        <v>201604</v>
      </c>
      <c r="E636" s="1">
        <v>42460</v>
      </c>
      <c r="F636" s="1">
        <v>42489</v>
      </c>
      <c r="G636" t="s">
        <v>544</v>
      </c>
      <c r="H636" s="81">
        <v>452</v>
      </c>
      <c r="I636" t="s">
        <v>12</v>
      </c>
      <c r="J636" s="3">
        <v>3383.41</v>
      </c>
    </row>
    <row r="637" spans="1:10" x14ac:dyDescent="0.25">
      <c r="A637" t="s">
        <v>542</v>
      </c>
      <c r="B637" t="s">
        <v>71</v>
      </c>
      <c r="C637" s="82" t="s">
        <v>544</v>
      </c>
      <c r="D637">
        <v>201605</v>
      </c>
      <c r="E637" s="1">
        <v>42489</v>
      </c>
      <c r="F637" s="1">
        <v>42521</v>
      </c>
      <c r="G637" t="s">
        <v>544</v>
      </c>
      <c r="H637" s="81">
        <v>301</v>
      </c>
      <c r="I637" t="s">
        <v>12</v>
      </c>
      <c r="J637" s="3">
        <v>2774.37</v>
      </c>
    </row>
    <row r="638" spans="1:10" x14ac:dyDescent="0.25">
      <c r="A638" t="s">
        <v>542</v>
      </c>
      <c r="B638" t="s">
        <v>71</v>
      </c>
      <c r="C638" s="82" t="s">
        <v>544</v>
      </c>
      <c r="D638">
        <v>201606</v>
      </c>
      <c r="E638" s="1">
        <v>42521</v>
      </c>
      <c r="F638" s="1">
        <v>42550</v>
      </c>
      <c r="G638" t="s">
        <v>544</v>
      </c>
      <c r="H638" s="81">
        <v>347</v>
      </c>
      <c r="I638" t="s">
        <v>12</v>
      </c>
      <c r="J638" s="3">
        <v>3782.63</v>
      </c>
    </row>
    <row r="639" spans="1:10" x14ac:dyDescent="0.25">
      <c r="A639" t="s">
        <v>652</v>
      </c>
      <c r="B639" t="s">
        <v>71</v>
      </c>
      <c r="C639" s="82" t="s">
        <v>695</v>
      </c>
      <c r="D639">
        <v>201507</v>
      </c>
      <c r="E639" s="1">
        <v>42185</v>
      </c>
      <c r="F639" s="1">
        <v>42216</v>
      </c>
      <c r="G639" t="s">
        <v>695</v>
      </c>
      <c r="H639" s="81">
        <v>26</v>
      </c>
      <c r="I639" t="s">
        <v>12</v>
      </c>
      <c r="J639" s="3">
        <v>293.26</v>
      </c>
    </row>
    <row r="640" spans="1:10" x14ac:dyDescent="0.25">
      <c r="A640" t="s">
        <v>652</v>
      </c>
      <c r="B640" t="s">
        <v>71</v>
      </c>
      <c r="C640" s="82" t="s">
        <v>695</v>
      </c>
      <c r="D640">
        <v>201508</v>
      </c>
      <c r="E640" s="1">
        <v>42216</v>
      </c>
      <c r="F640" s="1">
        <v>42243</v>
      </c>
      <c r="G640" t="s">
        <v>695</v>
      </c>
      <c r="H640" s="81">
        <v>26</v>
      </c>
      <c r="I640" t="s">
        <v>12</v>
      </c>
      <c r="J640" s="3">
        <v>298.68</v>
      </c>
    </row>
    <row r="641" spans="1:10" x14ac:dyDescent="0.25">
      <c r="A641" t="s">
        <v>652</v>
      </c>
      <c r="B641" t="s">
        <v>71</v>
      </c>
      <c r="C641" s="82" t="s">
        <v>695</v>
      </c>
      <c r="D641">
        <v>201509</v>
      </c>
      <c r="E641" s="1">
        <v>42243</v>
      </c>
      <c r="F641" s="1">
        <v>42276</v>
      </c>
      <c r="G641" t="s">
        <v>695</v>
      </c>
      <c r="H641" s="81">
        <v>32</v>
      </c>
      <c r="I641" t="s">
        <v>12</v>
      </c>
      <c r="J641" s="3">
        <v>364.09</v>
      </c>
    </row>
    <row r="642" spans="1:10" x14ac:dyDescent="0.25">
      <c r="A642" t="s">
        <v>652</v>
      </c>
      <c r="B642" t="s">
        <v>71</v>
      </c>
      <c r="C642" s="82" t="s">
        <v>695</v>
      </c>
      <c r="D642">
        <v>201510</v>
      </c>
      <c r="E642" s="1">
        <v>42276</v>
      </c>
      <c r="F642" s="1">
        <v>42305</v>
      </c>
      <c r="G642" t="s">
        <v>695</v>
      </c>
      <c r="H642" s="81">
        <v>36</v>
      </c>
      <c r="I642" t="s">
        <v>12</v>
      </c>
      <c r="J642" s="3">
        <v>291.58</v>
      </c>
    </row>
    <row r="643" spans="1:10" x14ac:dyDescent="0.25">
      <c r="A643" t="s">
        <v>652</v>
      </c>
      <c r="B643" t="s">
        <v>71</v>
      </c>
      <c r="C643" s="82" t="s">
        <v>695</v>
      </c>
      <c r="D643">
        <v>201511</v>
      </c>
      <c r="E643" s="1">
        <v>42305</v>
      </c>
      <c r="F643" s="1">
        <v>42339</v>
      </c>
      <c r="G643" t="s">
        <v>695</v>
      </c>
      <c r="H643" s="81">
        <v>41</v>
      </c>
      <c r="I643" t="s">
        <v>12</v>
      </c>
      <c r="J643" s="3">
        <v>274.8</v>
      </c>
    </row>
    <row r="644" spans="1:10" x14ac:dyDescent="0.25">
      <c r="A644" t="s">
        <v>652</v>
      </c>
      <c r="B644" t="s">
        <v>71</v>
      </c>
      <c r="C644" s="82" t="s">
        <v>695</v>
      </c>
      <c r="D644">
        <v>201512</v>
      </c>
      <c r="E644" s="1">
        <v>42339</v>
      </c>
      <c r="F644" s="1">
        <v>42369</v>
      </c>
      <c r="G644" t="s">
        <v>695</v>
      </c>
      <c r="H644" s="81">
        <v>43</v>
      </c>
      <c r="I644" t="s">
        <v>12</v>
      </c>
      <c r="J644" s="3">
        <v>263.42</v>
      </c>
    </row>
    <row r="645" spans="1:10" x14ac:dyDescent="0.25">
      <c r="A645" t="s">
        <v>652</v>
      </c>
      <c r="B645" t="s">
        <v>71</v>
      </c>
      <c r="C645" s="82" t="s">
        <v>695</v>
      </c>
      <c r="D645">
        <v>201601</v>
      </c>
      <c r="E645" s="1">
        <v>42369</v>
      </c>
      <c r="F645" s="1">
        <v>42401</v>
      </c>
      <c r="G645" t="s">
        <v>695</v>
      </c>
      <c r="H645" s="81">
        <v>65</v>
      </c>
      <c r="I645" t="s">
        <v>12</v>
      </c>
      <c r="J645" s="3">
        <v>345.88</v>
      </c>
    </row>
    <row r="646" spans="1:10" x14ac:dyDescent="0.25">
      <c r="A646" t="s">
        <v>652</v>
      </c>
      <c r="B646" t="s">
        <v>71</v>
      </c>
      <c r="C646" s="82" t="s">
        <v>695</v>
      </c>
      <c r="D646">
        <v>201602</v>
      </c>
      <c r="E646" s="1">
        <v>42401</v>
      </c>
      <c r="F646" s="1">
        <v>42430</v>
      </c>
      <c r="G646" t="s">
        <v>695</v>
      </c>
      <c r="H646" s="81">
        <v>51</v>
      </c>
      <c r="I646" t="s">
        <v>12</v>
      </c>
      <c r="J646" s="3">
        <v>284.13</v>
      </c>
    </row>
    <row r="647" spans="1:10" x14ac:dyDescent="0.25">
      <c r="A647" t="s">
        <v>652</v>
      </c>
      <c r="B647" t="s">
        <v>71</v>
      </c>
      <c r="C647" s="82" t="s">
        <v>695</v>
      </c>
      <c r="D647">
        <v>201603</v>
      </c>
      <c r="E647" s="1">
        <v>42430</v>
      </c>
      <c r="F647" s="1">
        <v>42460</v>
      </c>
      <c r="G647" t="s">
        <v>695</v>
      </c>
      <c r="H647" s="81">
        <v>53</v>
      </c>
      <c r="I647" t="s">
        <v>12</v>
      </c>
      <c r="J647" s="3">
        <v>287.01</v>
      </c>
    </row>
    <row r="648" spans="1:10" x14ac:dyDescent="0.25">
      <c r="A648" t="s">
        <v>652</v>
      </c>
      <c r="B648" t="s">
        <v>71</v>
      </c>
      <c r="C648" s="82" t="s">
        <v>695</v>
      </c>
      <c r="D648">
        <v>201604</v>
      </c>
      <c r="E648" s="1">
        <v>42460</v>
      </c>
      <c r="F648" s="1">
        <v>42489</v>
      </c>
      <c r="G648" t="s">
        <v>695</v>
      </c>
      <c r="H648" s="81">
        <v>34</v>
      </c>
      <c r="I648" t="s">
        <v>12</v>
      </c>
      <c r="J648" s="3">
        <v>254.5</v>
      </c>
    </row>
    <row r="649" spans="1:10" x14ac:dyDescent="0.25">
      <c r="A649" t="s">
        <v>652</v>
      </c>
      <c r="B649" t="s">
        <v>71</v>
      </c>
      <c r="C649" s="82" t="s">
        <v>695</v>
      </c>
      <c r="D649">
        <v>201605</v>
      </c>
      <c r="E649" s="1">
        <v>42489</v>
      </c>
      <c r="F649" s="1">
        <v>42521</v>
      </c>
      <c r="G649" t="s">
        <v>695</v>
      </c>
      <c r="H649" s="81">
        <v>23</v>
      </c>
      <c r="I649" t="s">
        <v>12</v>
      </c>
      <c r="J649" s="3">
        <v>211.99</v>
      </c>
    </row>
    <row r="650" spans="1:10" x14ac:dyDescent="0.25">
      <c r="A650" t="s">
        <v>652</v>
      </c>
      <c r="B650" t="s">
        <v>71</v>
      </c>
      <c r="C650" s="82" t="s">
        <v>695</v>
      </c>
      <c r="D650">
        <v>201606</v>
      </c>
      <c r="E650" s="1">
        <v>42521</v>
      </c>
      <c r="F650" s="1">
        <v>42550</v>
      </c>
      <c r="G650" t="s">
        <v>695</v>
      </c>
      <c r="H650" s="81">
        <v>26</v>
      </c>
      <c r="I650" t="s">
        <v>12</v>
      </c>
      <c r="J650" s="3">
        <v>283.42</v>
      </c>
    </row>
    <row r="651" spans="1:10" x14ac:dyDescent="0.25">
      <c r="A651" t="s">
        <v>707</v>
      </c>
      <c r="B651" t="s">
        <v>71</v>
      </c>
      <c r="C651" s="82" t="s">
        <v>708</v>
      </c>
      <c r="D651">
        <v>201507</v>
      </c>
      <c r="E651" s="1">
        <v>42185</v>
      </c>
      <c r="F651" s="1">
        <v>42216</v>
      </c>
      <c r="G651" t="s">
        <v>708</v>
      </c>
      <c r="H651" s="81">
        <v>48</v>
      </c>
      <c r="I651" t="s">
        <v>12</v>
      </c>
      <c r="J651" s="3">
        <v>541.4</v>
      </c>
    </row>
    <row r="652" spans="1:10" x14ac:dyDescent="0.25">
      <c r="A652" t="s">
        <v>707</v>
      </c>
      <c r="B652" t="s">
        <v>71</v>
      </c>
      <c r="C652" s="82" t="s">
        <v>708</v>
      </c>
      <c r="D652">
        <v>201508</v>
      </c>
      <c r="E652" s="1">
        <v>42216</v>
      </c>
      <c r="F652" s="1">
        <v>42243</v>
      </c>
      <c r="G652" t="s">
        <v>708</v>
      </c>
      <c r="H652" s="81">
        <v>48</v>
      </c>
      <c r="I652" t="s">
        <v>12</v>
      </c>
      <c r="J652" s="3">
        <v>551.41</v>
      </c>
    </row>
    <row r="653" spans="1:10" x14ac:dyDescent="0.25">
      <c r="A653" t="s">
        <v>707</v>
      </c>
      <c r="B653" t="s">
        <v>71</v>
      </c>
      <c r="C653" s="82" t="s">
        <v>708</v>
      </c>
      <c r="D653">
        <v>201509</v>
      </c>
      <c r="E653" s="1">
        <v>42243</v>
      </c>
      <c r="F653" s="1">
        <v>42276</v>
      </c>
      <c r="G653" t="s">
        <v>708</v>
      </c>
      <c r="H653" s="81">
        <v>58</v>
      </c>
      <c r="I653" t="s">
        <v>12</v>
      </c>
      <c r="J653" s="3">
        <v>659.91</v>
      </c>
    </row>
    <row r="654" spans="1:10" x14ac:dyDescent="0.25">
      <c r="A654" t="s">
        <v>707</v>
      </c>
      <c r="B654" t="s">
        <v>71</v>
      </c>
      <c r="C654" s="82" t="s">
        <v>708</v>
      </c>
      <c r="D654">
        <v>201510</v>
      </c>
      <c r="E654" s="1">
        <v>42276</v>
      </c>
      <c r="F654" s="1">
        <v>42305</v>
      </c>
      <c r="G654" t="s">
        <v>708</v>
      </c>
      <c r="H654" s="81">
        <v>66</v>
      </c>
      <c r="I654" t="s">
        <v>12</v>
      </c>
      <c r="J654" s="3">
        <v>534.57000000000005</v>
      </c>
    </row>
    <row r="655" spans="1:10" x14ac:dyDescent="0.25">
      <c r="A655" t="s">
        <v>707</v>
      </c>
      <c r="B655" t="s">
        <v>71</v>
      </c>
      <c r="C655" s="82" t="s">
        <v>708</v>
      </c>
      <c r="D655">
        <v>201511</v>
      </c>
      <c r="E655" s="1">
        <v>42305</v>
      </c>
      <c r="F655" s="1">
        <v>42339</v>
      </c>
      <c r="G655" t="s">
        <v>708</v>
      </c>
      <c r="H655" s="81">
        <v>76</v>
      </c>
      <c r="I655" t="s">
        <v>12</v>
      </c>
      <c r="J655" s="3">
        <v>509.38</v>
      </c>
    </row>
    <row r="656" spans="1:10" x14ac:dyDescent="0.25">
      <c r="A656" t="s">
        <v>707</v>
      </c>
      <c r="B656" t="s">
        <v>71</v>
      </c>
      <c r="C656" s="82" t="s">
        <v>708</v>
      </c>
      <c r="D656">
        <v>201512</v>
      </c>
      <c r="E656" s="1">
        <v>42339</v>
      </c>
      <c r="F656" s="1">
        <v>42369</v>
      </c>
      <c r="G656" t="s">
        <v>708</v>
      </c>
      <c r="H656" s="81">
        <v>79</v>
      </c>
      <c r="I656" t="s">
        <v>12</v>
      </c>
      <c r="J656" s="3">
        <v>483.95</v>
      </c>
    </row>
    <row r="657" spans="1:10" x14ac:dyDescent="0.25">
      <c r="A657" t="s">
        <v>707</v>
      </c>
      <c r="B657" t="s">
        <v>71</v>
      </c>
      <c r="C657" s="82" t="s">
        <v>708</v>
      </c>
      <c r="D657">
        <v>201601</v>
      </c>
      <c r="E657" s="1">
        <v>42369</v>
      </c>
      <c r="F657" s="1">
        <v>42401</v>
      </c>
      <c r="G657" t="s">
        <v>708</v>
      </c>
      <c r="H657" s="81">
        <v>119</v>
      </c>
      <c r="I657" t="s">
        <v>12</v>
      </c>
      <c r="J657" s="3">
        <v>633.23</v>
      </c>
    </row>
    <row r="658" spans="1:10" x14ac:dyDescent="0.25">
      <c r="A658" t="s">
        <v>707</v>
      </c>
      <c r="B658" t="s">
        <v>71</v>
      </c>
      <c r="C658" s="82" t="s">
        <v>708</v>
      </c>
      <c r="D658">
        <v>201602</v>
      </c>
      <c r="E658" s="1">
        <v>42401</v>
      </c>
      <c r="F658" s="1">
        <v>42430</v>
      </c>
      <c r="G658" t="s">
        <v>708</v>
      </c>
      <c r="H658" s="81">
        <v>93</v>
      </c>
      <c r="I658" t="s">
        <v>12</v>
      </c>
      <c r="J658" s="3">
        <v>518.11</v>
      </c>
    </row>
    <row r="659" spans="1:10" x14ac:dyDescent="0.25">
      <c r="A659" t="s">
        <v>707</v>
      </c>
      <c r="B659" t="s">
        <v>71</v>
      </c>
      <c r="C659" s="82" t="s">
        <v>708</v>
      </c>
      <c r="D659">
        <v>201603</v>
      </c>
      <c r="E659" s="1">
        <v>42430</v>
      </c>
      <c r="F659" s="1">
        <v>42460</v>
      </c>
      <c r="G659" t="s">
        <v>708</v>
      </c>
      <c r="H659" s="81">
        <v>97</v>
      </c>
      <c r="I659" t="s">
        <v>12</v>
      </c>
      <c r="J659" s="3">
        <v>525.27</v>
      </c>
    </row>
    <row r="660" spans="1:10" x14ac:dyDescent="0.25">
      <c r="A660" t="s">
        <v>707</v>
      </c>
      <c r="B660" t="s">
        <v>71</v>
      </c>
      <c r="C660" s="82" t="s">
        <v>708</v>
      </c>
      <c r="D660">
        <v>201604</v>
      </c>
      <c r="E660" s="1">
        <v>42460</v>
      </c>
      <c r="F660" s="1">
        <v>42489</v>
      </c>
      <c r="G660" t="s">
        <v>708</v>
      </c>
      <c r="H660" s="81">
        <v>63</v>
      </c>
      <c r="I660" t="s">
        <v>12</v>
      </c>
      <c r="J660" s="3">
        <v>471.58</v>
      </c>
    </row>
    <row r="661" spans="1:10" x14ac:dyDescent="0.25">
      <c r="A661" t="s">
        <v>707</v>
      </c>
      <c r="B661" t="s">
        <v>71</v>
      </c>
      <c r="C661" s="82" t="s">
        <v>708</v>
      </c>
      <c r="D661">
        <v>201605</v>
      </c>
      <c r="E661" s="1">
        <v>42489</v>
      </c>
      <c r="F661" s="1">
        <v>42521</v>
      </c>
      <c r="G661" t="s">
        <v>708</v>
      </c>
      <c r="H661" s="81">
        <v>42</v>
      </c>
      <c r="I661" t="s">
        <v>12</v>
      </c>
      <c r="J661" s="3">
        <v>387.12</v>
      </c>
    </row>
    <row r="662" spans="1:10" x14ac:dyDescent="0.25">
      <c r="A662" t="s">
        <v>707</v>
      </c>
      <c r="B662" t="s">
        <v>71</v>
      </c>
      <c r="C662" s="82" t="s">
        <v>708</v>
      </c>
      <c r="D662">
        <v>201606</v>
      </c>
      <c r="E662" s="1">
        <v>42521</v>
      </c>
      <c r="F662" s="1">
        <v>42550</v>
      </c>
      <c r="G662" t="s">
        <v>708</v>
      </c>
      <c r="H662" s="81">
        <v>48</v>
      </c>
      <c r="I662" t="s">
        <v>12</v>
      </c>
      <c r="J662" s="3">
        <v>523.25</v>
      </c>
    </row>
    <row r="663" spans="1:10" x14ac:dyDescent="0.25">
      <c r="A663" t="s">
        <v>500</v>
      </c>
      <c r="B663" t="s">
        <v>71</v>
      </c>
      <c r="C663" s="82" t="s">
        <v>545</v>
      </c>
      <c r="D663">
        <v>201507</v>
      </c>
      <c r="E663" s="1">
        <v>42185</v>
      </c>
      <c r="F663" s="1">
        <v>42216</v>
      </c>
      <c r="G663" t="s">
        <v>545</v>
      </c>
      <c r="H663" s="81">
        <v>51</v>
      </c>
      <c r="I663" t="s">
        <v>12</v>
      </c>
      <c r="J663" s="3">
        <v>575.24</v>
      </c>
    </row>
    <row r="664" spans="1:10" x14ac:dyDescent="0.25">
      <c r="A664" t="s">
        <v>500</v>
      </c>
      <c r="B664" t="s">
        <v>71</v>
      </c>
      <c r="C664" s="82" t="s">
        <v>545</v>
      </c>
      <c r="D664">
        <v>201508</v>
      </c>
      <c r="E664" s="1">
        <v>42216</v>
      </c>
      <c r="F664" s="1">
        <v>42243</v>
      </c>
      <c r="G664" t="s">
        <v>545</v>
      </c>
      <c r="H664" s="81">
        <v>50</v>
      </c>
      <c r="I664" t="s">
        <v>12</v>
      </c>
      <c r="J664" s="3">
        <v>574.38</v>
      </c>
    </row>
    <row r="665" spans="1:10" x14ac:dyDescent="0.25">
      <c r="A665" t="s">
        <v>500</v>
      </c>
      <c r="B665" t="s">
        <v>71</v>
      </c>
      <c r="C665" s="82" t="s">
        <v>545</v>
      </c>
      <c r="D665">
        <v>201509</v>
      </c>
      <c r="E665" s="1">
        <v>42243</v>
      </c>
      <c r="F665" s="1">
        <v>42276</v>
      </c>
      <c r="G665" t="s">
        <v>545</v>
      </c>
      <c r="H665" s="81">
        <v>62</v>
      </c>
      <c r="I665" t="s">
        <v>12</v>
      </c>
      <c r="J665" s="3">
        <v>705.42</v>
      </c>
    </row>
    <row r="666" spans="1:10" x14ac:dyDescent="0.25">
      <c r="A666" t="s">
        <v>500</v>
      </c>
      <c r="B666" t="s">
        <v>71</v>
      </c>
      <c r="C666" s="82" t="s">
        <v>545</v>
      </c>
      <c r="D666">
        <v>201510</v>
      </c>
      <c r="E666" s="1">
        <v>42276</v>
      </c>
      <c r="F666" s="1">
        <v>42305</v>
      </c>
      <c r="G666" t="s">
        <v>545</v>
      </c>
      <c r="H666" s="81">
        <v>70</v>
      </c>
      <c r="I666" t="s">
        <v>12</v>
      </c>
      <c r="J666" s="3">
        <v>566.97</v>
      </c>
    </row>
    <row r="667" spans="1:10" x14ac:dyDescent="0.25">
      <c r="A667" t="s">
        <v>500</v>
      </c>
      <c r="B667" t="s">
        <v>71</v>
      </c>
      <c r="C667" s="82" t="s">
        <v>545</v>
      </c>
      <c r="D667">
        <v>201511</v>
      </c>
      <c r="E667" s="1">
        <v>42305</v>
      </c>
      <c r="F667" s="1">
        <v>42339</v>
      </c>
      <c r="G667" t="s">
        <v>545</v>
      </c>
      <c r="H667" s="81">
        <v>80</v>
      </c>
      <c r="I667" t="s">
        <v>12</v>
      </c>
      <c r="J667" s="3">
        <v>536.19000000000005</v>
      </c>
    </row>
    <row r="668" spans="1:10" x14ac:dyDescent="0.25">
      <c r="A668" t="s">
        <v>500</v>
      </c>
      <c r="B668" t="s">
        <v>71</v>
      </c>
      <c r="C668" s="82" t="s">
        <v>545</v>
      </c>
      <c r="D668">
        <v>201512</v>
      </c>
      <c r="E668" s="1">
        <v>42339</v>
      </c>
      <c r="F668" s="1">
        <v>42369</v>
      </c>
      <c r="G668" t="s">
        <v>545</v>
      </c>
      <c r="H668" s="81">
        <v>83</v>
      </c>
      <c r="I668" t="s">
        <v>12</v>
      </c>
      <c r="J668" s="3">
        <v>508.45</v>
      </c>
    </row>
    <row r="669" spans="1:10" x14ac:dyDescent="0.25">
      <c r="A669" t="s">
        <v>500</v>
      </c>
      <c r="B669" t="s">
        <v>71</v>
      </c>
      <c r="C669" s="82" t="s">
        <v>545</v>
      </c>
      <c r="D669">
        <v>201601</v>
      </c>
      <c r="E669" s="1">
        <v>42369</v>
      </c>
      <c r="F669" s="1">
        <v>42401</v>
      </c>
      <c r="G669" t="s">
        <v>545</v>
      </c>
      <c r="H669" s="81">
        <v>126</v>
      </c>
      <c r="I669" t="s">
        <v>12</v>
      </c>
      <c r="J669" s="3">
        <v>670.48</v>
      </c>
    </row>
    <row r="670" spans="1:10" x14ac:dyDescent="0.25">
      <c r="A670" t="s">
        <v>500</v>
      </c>
      <c r="B670" t="s">
        <v>71</v>
      </c>
      <c r="C670" s="82" t="s">
        <v>545</v>
      </c>
      <c r="D670">
        <v>201602</v>
      </c>
      <c r="E670" s="1">
        <v>42401</v>
      </c>
      <c r="F670" s="1">
        <v>42430</v>
      </c>
      <c r="G670" t="s">
        <v>545</v>
      </c>
      <c r="H670" s="81">
        <v>98</v>
      </c>
      <c r="I670" t="s">
        <v>12</v>
      </c>
      <c r="J670" s="3">
        <v>545.97</v>
      </c>
    </row>
    <row r="671" spans="1:10" x14ac:dyDescent="0.25">
      <c r="A671" t="s">
        <v>500</v>
      </c>
      <c r="B671" t="s">
        <v>71</v>
      </c>
      <c r="C671" s="82" t="s">
        <v>545</v>
      </c>
      <c r="D671">
        <v>201603</v>
      </c>
      <c r="E671" s="1">
        <v>42430</v>
      </c>
      <c r="F671" s="1">
        <v>42460</v>
      </c>
      <c r="G671" t="s">
        <v>545</v>
      </c>
      <c r="H671" s="81">
        <v>102</v>
      </c>
      <c r="I671" t="s">
        <v>12</v>
      </c>
      <c r="J671" s="3">
        <v>552.35</v>
      </c>
    </row>
    <row r="672" spans="1:10" x14ac:dyDescent="0.25">
      <c r="A672" t="s">
        <v>500</v>
      </c>
      <c r="B672" t="s">
        <v>71</v>
      </c>
      <c r="C672" s="82" t="s">
        <v>545</v>
      </c>
      <c r="D672">
        <v>201604</v>
      </c>
      <c r="E672" s="1">
        <v>42460</v>
      </c>
      <c r="F672" s="1">
        <v>42489</v>
      </c>
      <c r="G672" t="s">
        <v>545</v>
      </c>
      <c r="H672" s="81">
        <v>66</v>
      </c>
      <c r="I672" t="s">
        <v>12</v>
      </c>
      <c r="J672" s="3">
        <v>494.04</v>
      </c>
    </row>
    <row r="673" spans="1:10" x14ac:dyDescent="0.25">
      <c r="A673" t="s">
        <v>500</v>
      </c>
      <c r="B673" t="s">
        <v>71</v>
      </c>
      <c r="C673" s="82" t="s">
        <v>545</v>
      </c>
      <c r="D673">
        <v>201605</v>
      </c>
      <c r="E673" s="1">
        <v>42489</v>
      </c>
      <c r="F673" s="1">
        <v>42521</v>
      </c>
      <c r="G673" t="s">
        <v>545</v>
      </c>
      <c r="H673" s="81">
        <v>44</v>
      </c>
      <c r="I673" t="s">
        <v>12</v>
      </c>
      <c r="J673" s="3">
        <v>405.56</v>
      </c>
    </row>
    <row r="674" spans="1:10" x14ac:dyDescent="0.25">
      <c r="A674" t="s">
        <v>500</v>
      </c>
      <c r="B674" t="s">
        <v>71</v>
      </c>
      <c r="C674" s="82" t="s">
        <v>545</v>
      </c>
      <c r="D674">
        <v>201606</v>
      </c>
      <c r="E674" s="1">
        <v>42521</v>
      </c>
      <c r="F674" s="1">
        <v>42550</v>
      </c>
      <c r="G674" t="s">
        <v>545</v>
      </c>
      <c r="H674" s="81">
        <v>51</v>
      </c>
      <c r="I674" t="s">
        <v>12</v>
      </c>
      <c r="J674" s="3">
        <v>555.95000000000005</v>
      </c>
    </row>
    <row r="675" spans="1:10" x14ac:dyDescent="0.25">
      <c r="A675" t="s">
        <v>539</v>
      </c>
      <c r="B675" t="s">
        <v>71</v>
      </c>
      <c r="C675" s="82" t="s">
        <v>546</v>
      </c>
      <c r="D675">
        <v>201507</v>
      </c>
      <c r="E675" s="1">
        <v>42185</v>
      </c>
      <c r="F675" s="1">
        <v>42216</v>
      </c>
      <c r="G675" t="s">
        <v>546</v>
      </c>
      <c r="H675" s="81">
        <v>700</v>
      </c>
      <c r="I675" t="s">
        <v>12</v>
      </c>
      <c r="J675" s="3">
        <v>7895.45</v>
      </c>
    </row>
    <row r="676" spans="1:10" x14ac:dyDescent="0.25">
      <c r="A676" t="s">
        <v>539</v>
      </c>
      <c r="B676" t="s">
        <v>71</v>
      </c>
      <c r="C676" s="82" t="s">
        <v>546</v>
      </c>
      <c r="D676">
        <v>201508</v>
      </c>
      <c r="E676" s="1">
        <v>42216</v>
      </c>
      <c r="F676" s="1">
        <v>42243</v>
      </c>
      <c r="G676" t="s">
        <v>546</v>
      </c>
      <c r="H676" s="81">
        <v>693</v>
      </c>
      <c r="I676" t="s">
        <v>12</v>
      </c>
      <c r="J676" s="3">
        <v>7960.93</v>
      </c>
    </row>
    <row r="677" spans="1:10" x14ac:dyDescent="0.25">
      <c r="A677" t="s">
        <v>539</v>
      </c>
      <c r="B677" t="s">
        <v>71</v>
      </c>
      <c r="C677" s="82" t="s">
        <v>546</v>
      </c>
      <c r="D677">
        <v>201509</v>
      </c>
      <c r="E677" s="1">
        <v>42243</v>
      </c>
      <c r="F677" s="1">
        <v>42276</v>
      </c>
      <c r="G677" t="s">
        <v>546</v>
      </c>
      <c r="H677" s="81">
        <v>846</v>
      </c>
      <c r="I677" t="s">
        <v>12</v>
      </c>
      <c r="J677" s="3">
        <v>9625.5499999999993</v>
      </c>
    </row>
    <row r="678" spans="1:10" x14ac:dyDescent="0.25">
      <c r="A678" t="s">
        <v>539</v>
      </c>
      <c r="B678" t="s">
        <v>71</v>
      </c>
      <c r="C678" s="82" t="s">
        <v>546</v>
      </c>
      <c r="D678">
        <v>201510</v>
      </c>
      <c r="E678" s="1">
        <v>42276</v>
      </c>
      <c r="F678" s="1">
        <v>42305</v>
      </c>
      <c r="G678" t="s">
        <v>546</v>
      </c>
      <c r="H678" s="81">
        <v>957</v>
      </c>
      <c r="I678" t="s">
        <v>12</v>
      </c>
      <c r="J678" s="3">
        <v>7751.23</v>
      </c>
    </row>
    <row r="679" spans="1:10" x14ac:dyDescent="0.25">
      <c r="A679" t="s">
        <v>539</v>
      </c>
      <c r="B679" t="s">
        <v>71</v>
      </c>
      <c r="C679" s="82" t="s">
        <v>546</v>
      </c>
      <c r="D679">
        <v>201511</v>
      </c>
      <c r="E679" s="1">
        <v>42305</v>
      </c>
      <c r="F679" s="1">
        <v>42339</v>
      </c>
      <c r="G679" t="s">
        <v>546</v>
      </c>
      <c r="H679" s="81">
        <v>1098</v>
      </c>
      <c r="I679" t="s">
        <v>12</v>
      </c>
      <c r="J679" s="3">
        <v>7359.16</v>
      </c>
    </row>
    <row r="680" spans="1:10" x14ac:dyDescent="0.25">
      <c r="A680" t="s">
        <v>539</v>
      </c>
      <c r="B680" t="s">
        <v>71</v>
      </c>
      <c r="C680" s="82" t="s">
        <v>546</v>
      </c>
      <c r="D680">
        <v>201512</v>
      </c>
      <c r="E680" s="1">
        <v>42339</v>
      </c>
      <c r="F680" s="1">
        <v>42369</v>
      </c>
      <c r="G680" t="s">
        <v>546</v>
      </c>
      <c r="H680" s="81">
        <v>1145</v>
      </c>
      <c r="I680" t="s">
        <v>12</v>
      </c>
      <c r="J680" s="3">
        <v>7014.22</v>
      </c>
    </row>
    <row r="681" spans="1:10" x14ac:dyDescent="0.25">
      <c r="A681" t="s">
        <v>539</v>
      </c>
      <c r="B681" t="s">
        <v>71</v>
      </c>
      <c r="C681" s="82" t="s">
        <v>546</v>
      </c>
      <c r="D681">
        <v>201601</v>
      </c>
      <c r="E681" s="1">
        <v>42369</v>
      </c>
      <c r="F681" s="1">
        <v>42401</v>
      </c>
      <c r="G681" t="s">
        <v>546</v>
      </c>
      <c r="H681" s="81">
        <v>1730</v>
      </c>
      <c r="I681" t="s">
        <v>12</v>
      </c>
      <c r="J681" s="3">
        <v>9205.81</v>
      </c>
    </row>
    <row r="682" spans="1:10" x14ac:dyDescent="0.25">
      <c r="A682" t="s">
        <v>539</v>
      </c>
      <c r="B682" t="s">
        <v>71</v>
      </c>
      <c r="C682" s="82" t="s">
        <v>546</v>
      </c>
      <c r="D682">
        <v>201602</v>
      </c>
      <c r="E682" s="1">
        <v>42401</v>
      </c>
      <c r="F682" s="1">
        <v>42430</v>
      </c>
      <c r="G682" t="s">
        <v>546</v>
      </c>
      <c r="H682" s="81">
        <v>1352</v>
      </c>
      <c r="I682" t="s">
        <v>12</v>
      </c>
      <c r="J682" s="3">
        <v>7532.13</v>
      </c>
    </row>
    <row r="683" spans="1:10" x14ac:dyDescent="0.25">
      <c r="A683" t="s">
        <v>539</v>
      </c>
      <c r="B683" t="s">
        <v>71</v>
      </c>
      <c r="C683" s="82" t="s">
        <v>546</v>
      </c>
      <c r="D683">
        <v>201603</v>
      </c>
      <c r="E683" s="1">
        <v>42430</v>
      </c>
      <c r="F683" s="1">
        <v>42460</v>
      </c>
      <c r="G683" t="s">
        <v>546</v>
      </c>
      <c r="H683" s="81">
        <v>1406</v>
      </c>
      <c r="I683" t="s">
        <v>12</v>
      </c>
      <c r="J683" s="3">
        <v>7613.77</v>
      </c>
    </row>
    <row r="684" spans="1:10" x14ac:dyDescent="0.25">
      <c r="A684" t="s">
        <v>539</v>
      </c>
      <c r="B684" t="s">
        <v>71</v>
      </c>
      <c r="C684" s="82" t="s">
        <v>546</v>
      </c>
      <c r="D684">
        <v>201604</v>
      </c>
      <c r="E684" s="1">
        <v>42460</v>
      </c>
      <c r="F684" s="1">
        <v>42489</v>
      </c>
      <c r="G684" t="s">
        <v>546</v>
      </c>
      <c r="H684" s="81">
        <v>913</v>
      </c>
      <c r="I684" t="s">
        <v>12</v>
      </c>
      <c r="J684" s="3">
        <v>6834.19</v>
      </c>
    </row>
    <row r="685" spans="1:10" x14ac:dyDescent="0.25">
      <c r="A685" t="s">
        <v>539</v>
      </c>
      <c r="B685" t="s">
        <v>71</v>
      </c>
      <c r="C685" s="82" t="s">
        <v>546</v>
      </c>
      <c r="D685">
        <v>201605</v>
      </c>
      <c r="E685" s="1">
        <v>42489</v>
      </c>
      <c r="F685" s="1">
        <v>42521</v>
      </c>
      <c r="G685" t="s">
        <v>546</v>
      </c>
      <c r="H685" s="81">
        <v>609</v>
      </c>
      <c r="I685" t="s">
        <v>12</v>
      </c>
      <c r="J685" s="3">
        <v>5613.26</v>
      </c>
    </row>
    <row r="686" spans="1:10" x14ac:dyDescent="0.25">
      <c r="A686" t="s">
        <v>539</v>
      </c>
      <c r="B686" t="s">
        <v>71</v>
      </c>
      <c r="C686" s="82" t="s">
        <v>546</v>
      </c>
      <c r="D686">
        <v>201606</v>
      </c>
      <c r="E686" s="1">
        <v>42521</v>
      </c>
      <c r="F686" s="1">
        <v>42550</v>
      </c>
      <c r="G686" t="s">
        <v>546</v>
      </c>
      <c r="H686" s="81">
        <v>701</v>
      </c>
      <c r="I686" t="s">
        <v>12</v>
      </c>
      <c r="J686" s="3">
        <v>7641.57</v>
      </c>
    </row>
    <row r="687" spans="1:10" x14ac:dyDescent="0.25">
      <c r="A687" t="s">
        <v>502</v>
      </c>
      <c r="B687" t="s">
        <v>71</v>
      </c>
      <c r="C687" s="82" t="s">
        <v>547</v>
      </c>
      <c r="D687">
        <v>201507</v>
      </c>
      <c r="E687" s="1">
        <v>42185</v>
      </c>
      <c r="F687" s="1">
        <v>42216</v>
      </c>
      <c r="G687" t="s">
        <v>547</v>
      </c>
      <c r="H687" s="81">
        <v>387</v>
      </c>
      <c r="I687" t="s">
        <v>12</v>
      </c>
      <c r="J687" s="3">
        <v>4365.05</v>
      </c>
    </row>
    <row r="688" spans="1:10" x14ac:dyDescent="0.25">
      <c r="A688" t="s">
        <v>502</v>
      </c>
      <c r="B688" t="s">
        <v>71</v>
      </c>
      <c r="C688" s="82" t="s">
        <v>547</v>
      </c>
      <c r="D688">
        <v>201508</v>
      </c>
      <c r="E688" s="1">
        <v>42216</v>
      </c>
      <c r="F688" s="1">
        <v>42243</v>
      </c>
      <c r="G688" t="s">
        <v>547</v>
      </c>
      <c r="H688" s="81">
        <v>383</v>
      </c>
      <c r="I688" t="s">
        <v>12</v>
      </c>
      <c r="J688" s="3">
        <v>4399.7700000000004</v>
      </c>
    </row>
    <row r="689" spans="1:10" x14ac:dyDescent="0.25">
      <c r="A689" t="s">
        <v>502</v>
      </c>
      <c r="B689" t="s">
        <v>71</v>
      </c>
      <c r="C689" s="82" t="s">
        <v>547</v>
      </c>
      <c r="D689">
        <v>201509</v>
      </c>
      <c r="E689" s="1">
        <v>42243</v>
      </c>
      <c r="F689" s="1">
        <v>42276</v>
      </c>
      <c r="G689" t="s">
        <v>547</v>
      </c>
      <c r="H689" s="81">
        <v>468</v>
      </c>
      <c r="I689" t="s">
        <v>12</v>
      </c>
      <c r="J689" s="3">
        <v>5324.77</v>
      </c>
    </row>
    <row r="690" spans="1:10" x14ac:dyDescent="0.25">
      <c r="A690" t="s">
        <v>502</v>
      </c>
      <c r="B690" t="s">
        <v>71</v>
      </c>
      <c r="C690" s="82" t="s">
        <v>547</v>
      </c>
      <c r="D690">
        <v>201510</v>
      </c>
      <c r="E690" s="1">
        <v>42276</v>
      </c>
      <c r="F690" s="1">
        <v>42305</v>
      </c>
      <c r="G690" t="s">
        <v>547</v>
      </c>
      <c r="H690" s="81">
        <v>529</v>
      </c>
      <c r="I690" t="s">
        <v>12</v>
      </c>
      <c r="J690" s="3">
        <v>4284.6400000000003</v>
      </c>
    </row>
    <row r="691" spans="1:10" x14ac:dyDescent="0.25">
      <c r="A691" t="s">
        <v>502</v>
      </c>
      <c r="B691" t="s">
        <v>71</v>
      </c>
      <c r="C691" s="82" t="s">
        <v>547</v>
      </c>
      <c r="D691">
        <v>201511</v>
      </c>
      <c r="E691" s="1">
        <v>42305</v>
      </c>
      <c r="F691" s="1">
        <v>42339</v>
      </c>
      <c r="G691" t="s">
        <v>547</v>
      </c>
      <c r="H691" s="81">
        <v>608</v>
      </c>
      <c r="I691" t="s">
        <v>12</v>
      </c>
      <c r="J691" s="3">
        <v>4075.02</v>
      </c>
    </row>
    <row r="692" spans="1:10" x14ac:dyDescent="0.25">
      <c r="A692" t="s">
        <v>502</v>
      </c>
      <c r="B692" t="s">
        <v>71</v>
      </c>
      <c r="C692" s="82" t="s">
        <v>547</v>
      </c>
      <c r="D692">
        <v>201512</v>
      </c>
      <c r="E692" s="1">
        <v>42339</v>
      </c>
      <c r="F692" s="1">
        <v>42369</v>
      </c>
      <c r="G692" t="s">
        <v>547</v>
      </c>
      <c r="H692" s="81">
        <v>633</v>
      </c>
      <c r="I692" t="s">
        <v>12</v>
      </c>
      <c r="J692" s="3">
        <v>3877.73</v>
      </c>
    </row>
    <row r="693" spans="1:10" x14ac:dyDescent="0.25">
      <c r="A693" t="s">
        <v>502</v>
      </c>
      <c r="B693" t="s">
        <v>71</v>
      </c>
      <c r="C693" s="82" t="s">
        <v>547</v>
      </c>
      <c r="D693">
        <v>201601</v>
      </c>
      <c r="E693" s="1">
        <v>42369</v>
      </c>
      <c r="F693" s="1">
        <v>42401</v>
      </c>
      <c r="G693" t="s">
        <v>547</v>
      </c>
      <c r="H693" s="81">
        <v>957</v>
      </c>
      <c r="I693" t="s">
        <v>12</v>
      </c>
      <c r="J693" s="3">
        <v>5092.46</v>
      </c>
    </row>
    <row r="694" spans="1:10" x14ac:dyDescent="0.25">
      <c r="A694" t="s">
        <v>502</v>
      </c>
      <c r="B694" t="s">
        <v>71</v>
      </c>
      <c r="C694" s="82" t="s">
        <v>547</v>
      </c>
      <c r="D694">
        <v>201602</v>
      </c>
      <c r="E694" s="1">
        <v>42401</v>
      </c>
      <c r="F694" s="1">
        <v>42430</v>
      </c>
      <c r="G694" t="s">
        <v>547</v>
      </c>
      <c r="H694" s="81">
        <v>748</v>
      </c>
      <c r="I694" t="s">
        <v>12</v>
      </c>
      <c r="J694" s="3">
        <v>4167.1899999999996</v>
      </c>
    </row>
    <row r="695" spans="1:10" x14ac:dyDescent="0.25">
      <c r="A695" t="s">
        <v>502</v>
      </c>
      <c r="B695" t="s">
        <v>71</v>
      </c>
      <c r="C695" s="82" t="s">
        <v>547</v>
      </c>
      <c r="D695">
        <v>201603</v>
      </c>
      <c r="E695" s="1">
        <v>42430</v>
      </c>
      <c r="F695" s="1">
        <v>42460</v>
      </c>
      <c r="G695" t="s">
        <v>547</v>
      </c>
      <c r="H695" s="81">
        <v>778</v>
      </c>
      <c r="I695" t="s">
        <v>12</v>
      </c>
      <c r="J695" s="3">
        <v>4213.03</v>
      </c>
    </row>
    <row r="696" spans="1:10" x14ac:dyDescent="0.25">
      <c r="A696" t="s">
        <v>502</v>
      </c>
      <c r="B696" t="s">
        <v>71</v>
      </c>
      <c r="C696" s="82" t="s">
        <v>547</v>
      </c>
      <c r="D696">
        <v>201604</v>
      </c>
      <c r="E696" s="1">
        <v>42460</v>
      </c>
      <c r="F696" s="1">
        <v>42489</v>
      </c>
      <c r="G696" t="s">
        <v>547</v>
      </c>
      <c r="H696" s="81">
        <v>505</v>
      </c>
      <c r="I696" t="s">
        <v>12</v>
      </c>
      <c r="J696" s="3">
        <v>3780.14</v>
      </c>
    </row>
    <row r="697" spans="1:10" x14ac:dyDescent="0.25">
      <c r="A697" t="s">
        <v>502</v>
      </c>
      <c r="B697" t="s">
        <v>71</v>
      </c>
      <c r="C697" s="82" t="s">
        <v>547</v>
      </c>
      <c r="D697">
        <v>201605</v>
      </c>
      <c r="E697" s="1">
        <v>42489</v>
      </c>
      <c r="F697" s="1">
        <v>42521</v>
      </c>
      <c r="G697" t="s">
        <v>547</v>
      </c>
      <c r="H697" s="81">
        <v>337</v>
      </c>
      <c r="I697" t="s">
        <v>12</v>
      </c>
      <c r="J697" s="3">
        <v>3106.19</v>
      </c>
    </row>
    <row r="698" spans="1:10" x14ac:dyDescent="0.25">
      <c r="A698" t="s">
        <v>502</v>
      </c>
      <c r="B698" t="s">
        <v>71</v>
      </c>
      <c r="C698" s="82" t="s">
        <v>547</v>
      </c>
      <c r="D698">
        <v>201606</v>
      </c>
      <c r="E698" s="1">
        <v>42521</v>
      </c>
      <c r="F698" s="1">
        <v>42550</v>
      </c>
      <c r="G698" t="s">
        <v>547</v>
      </c>
      <c r="H698" s="81">
        <v>387</v>
      </c>
      <c r="I698" t="s">
        <v>12</v>
      </c>
      <c r="J698" s="3">
        <v>4218.67</v>
      </c>
    </row>
    <row r="699" spans="1:10" s="124" customFormat="1" x14ac:dyDescent="0.25">
      <c r="A699" s="124" t="s">
        <v>532</v>
      </c>
      <c r="B699" s="124" t="s">
        <v>71</v>
      </c>
      <c r="C699" s="125" t="s">
        <v>559</v>
      </c>
      <c r="D699" s="124">
        <v>201507</v>
      </c>
      <c r="E699" s="126">
        <v>42185</v>
      </c>
      <c r="F699" s="126">
        <v>42216</v>
      </c>
      <c r="G699" s="124" t="s">
        <v>559</v>
      </c>
      <c r="H699" s="127">
        <v>638</v>
      </c>
      <c r="I699" s="124" t="s">
        <v>12</v>
      </c>
      <c r="J699" s="128">
        <v>7196.14</v>
      </c>
    </row>
    <row r="700" spans="1:10" s="124" customFormat="1" x14ac:dyDescent="0.25">
      <c r="A700" s="124" t="s">
        <v>532</v>
      </c>
      <c r="B700" s="124" t="s">
        <v>71</v>
      </c>
      <c r="C700" s="125" t="s">
        <v>559</v>
      </c>
      <c r="D700" s="124">
        <v>201508</v>
      </c>
      <c r="E700" s="126">
        <v>42216</v>
      </c>
      <c r="F700" s="126">
        <v>42243</v>
      </c>
      <c r="G700" s="124" t="s">
        <v>559</v>
      </c>
      <c r="H700" s="127">
        <v>632</v>
      </c>
      <c r="I700" s="124" t="s">
        <v>12</v>
      </c>
      <c r="J700" s="128">
        <v>7260.19</v>
      </c>
    </row>
    <row r="701" spans="1:10" s="124" customFormat="1" x14ac:dyDescent="0.25">
      <c r="A701" s="124" t="s">
        <v>532</v>
      </c>
      <c r="B701" s="124" t="s">
        <v>71</v>
      </c>
      <c r="C701" s="125" t="s">
        <v>559</v>
      </c>
      <c r="D701" s="124">
        <v>201509</v>
      </c>
      <c r="E701" s="126">
        <v>42243</v>
      </c>
      <c r="F701" s="126">
        <v>42276</v>
      </c>
      <c r="G701" s="124" t="s">
        <v>559</v>
      </c>
      <c r="H701" s="127">
        <v>772</v>
      </c>
      <c r="I701" s="124" t="s">
        <v>12</v>
      </c>
      <c r="J701" s="128">
        <v>8783.6</v>
      </c>
    </row>
    <row r="702" spans="1:10" s="124" customFormat="1" x14ac:dyDescent="0.25">
      <c r="A702" s="124" t="s">
        <v>532</v>
      </c>
      <c r="B702" s="124" t="s">
        <v>71</v>
      </c>
      <c r="C702" s="125" t="s">
        <v>559</v>
      </c>
      <c r="D702" s="124">
        <v>201510</v>
      </c>
      <c r="E702" s="126">
        <v>42276</v>
      </c>
      <c r="F702" s="126">
        <v>42305</v>
      </c>
      <c r="G702" s="124" t="s">
        <v>559</v>
      </c>
      <c r="H702" s="127">
        <v>872</v>
      </c>
      <c r="I702" s="124" t="s">
        <v>12</v>
      </c>
      <c r="J702" s="128">
        <v>7062.77</v>
      </c>
    </row>
    <row r="703" spans="1:10" s="124" customFormat="1" x14ac:dyDescent="0.25">
      <c r="A703" s="124" t="s">
        <v>532</v>
      </c>
      <c r="B703" s="124" t="s">
        <v>71</v>
      </c>
      <c r="C703" s="125" t="s">
        <v>559</v>
      </c>
      <c r="D703" s="124">
        <v>201511</v>
      </c>
      <c r="E703" s="126">
        <v>42305</v>
      </c>
      <c r="F703" s="126">
        <v>42339</v>
      </c>
      <c r="G703" s="124" t="s">
        <v>559</v>
      </c>
      <c r="H703" s="127">
        <v>1001</v>
      </c>
      <c r="I703" s="124" t="s">
        <v>12</v>
      </c>
      <c r="J703" s="128">
        <v>6709.04</v>
      </c>
    </row>
    <row r="704" spans="1:10" s="124" customFormat="1" x14ac:dyDescent="0.25">
      <c r="A704" s="124" t="s">
        <v>532</v>
      </c>
      <c r="B704" s="124" t="s">
        <v>71</v>
      </c>
      <c r="C704" s="125" t="s">
        <v>559</v>
      </c>
      <c r="D704" s="124">
        <v>201512</v>
      </c>
      <c r="E704" s="126">
        <v>42339</v>
      </c>
      <c r="F704" s="126">
        <v>42369</v>
      </c>
      <c r="G704" s="124" t="s">
        <v>559</v>
      </c>
      <c r="H704" s="127">
        <v>1044</v>
      </c>
      <c r="I704" s="124" t="s">
        <v>12</v>
      </c>
      <c r="J704" s="128">
        <v>6395.5</v>
      </c>
    </row>
    <row r="705" spans="1:10" s="124" customFormat="1" x14ac:dyDescent="0.25">
      <c r="A705" s="124" t="s">
        <v>532</v>
      </c>
      <c r="B705" s="124" t="s">
        <v>71</v>
      </c>
      <c r="C705" s="125" t="s">
        <v>559</v>
      </c>
      <c r="D705" s="124">
        <v>201601</v>
      </c>
      <c r="E705" s="126">
        <v>42369</v>
      </c>
      <c r="F705" s="126">
        <v>42401</v>
      </c>
      <c r="G705" s="124" t="s">
        <v>559</v>
      </c>
      <c r="H705" s="127">
        <v>1577</v>
      </c>
      <c r="I705" s="124" t="s">
        <v>12</v>
      </c>
      <c r="J705" s="128">
        <v>8391.66</v>
      </c>
    </row>
    <row r="706" spans="1:10" s="124" customFormat="1" x14ac:dyDescent="0.25">
      <c r="A706" s="124" t="s">
        <v>532</v>
      </c>
      <c r="B706" s="124" t="s">
        <v>71</v>
      </c>
      <c r="C706" s="125" t="s">
        <v>559</v>
      </c>
      <c r="D706" s="124">
        <v>201602</v>
      </c>
      <c r="E706" s="126">
        <v>42401</v>
      </c>
      <c r="F706" s="126">
        <v>42430</v>
      </c>
      <c r="G706" s="124" t="s">
        <v>559</v>
      </c>
      <c r="H706" s="127">
        <v>1232</v>
      </c>
      <c r="I706" s="124" t="s">
        <v>12</v>
      </c>
      <c r="J706" s="128">
        <v>6863.6</v>
      </c>
    </row>
    <row r="707" spans="1:10" s="124" customFormat="1" x14ac:dyDescent="0.25">
      <c r="A707" s="124" t="s">
        <v>532</v>
      </c>
      <c r="B707" s="124" t="s">
        <v>71</v>
      </c>
      <c r="C707" s="125" t="s">
        <v>559</v>
      </c>
      <c r="D707" s="124">
        <v>201603</v>
      </c>
      <c r="E707" s="126">
        <v>42430</v>
      </c>
      <c r="F707" s="126">
        <v>42460</v>
      </c>
      <c r="G707" s="124" t="s">
        <v>559</v>
      </c>
      <c r="H707" s="127">
        <v>1282</v>
      </c>
      <c r="I707" s="124" t="s">
        <v>12</v>
      </c>
      <c r="J707" s="128">
        <v>6942.29</v>
      </c>
    </row>
    <row r="708" spans="1:10" s="124" customFormat="1" x14ac:dyDescent="0.25">
      <c r="A708" s="124" t="s">
        <v>532</v>
      </c>
      <c r="B708" s="124" t="s">
        <v>71</v>
      </c>
      <c r="C708" s="125" t="s">
        <v>559</v>
      </c>
      <c r="D708" s="124">
        <v>201604</v>
      </c>
      <c r="E708" s="126">
        <v>42460</v>
      </c>
      <c r="F708" s="126">
        <v>42489</v>
      </c>
      <c r="G708" s="124" t="s">
        <v>559</v>
      </c>
      <c r="H708" s="127">
        <v>832</v>
      </c>
      <c r="I708" s="124" t="s">
        <v>12</v>
      </c>
      <c r="J708" s="128">
        <v>6227.87</v>
      </c>
    </row>
    <row r="709" spans="1:10" s="124" customFormat="1" x14ac:dyDescent="0.25">
      <c r="A709" s="124" t="s">
        <v>532</v>
      </c>
      <c r="B709" s="124" t="s">
        <v>71</v>
      </c>
      <c r="C709" s="125" t="s">
        <v>559</v>
      </c>
      <c r="D709" s="124">
        <v>201605</v>
      </c>
      <c r="E709" s="126">
        <v>42489</v>
      </c>
      <c r="F709" s="126">
        <v>42521</v>
      </c>
      <c r="G709" s="124" t="s">
        <v>559</v>
      </c>
      <c r="H709" s="127">
        <v>555</v>
      </c>
      <c r="I709" s="124" t="s">
        <v>12</v>
      </c>
      <c r="J709" s="128">
        <v>5115.53</v>
      </c>
    </row>
    <row r="710" spans="1:10" s="124" customFormat="1" x14ac:dyDescent="0.25">
      <c r="A710" s="124" t="s">
        <v>532</v>
      </c>
      <c r="B710" s="124" t="s">
        <v>71</v>
      </c>
      <c r="C710" s="125" t="s">
        <v>559</v>
      </c>
      <c r="D710" s="124">
        <v>201606</v>
      </c>
      <c r="E710" s="126">
        <v>42521</v>
      </c>
      <c r="F710" s="126">
        <v>42550</v>
      </c>
      <c r="G710" s="124" t="s">
        <v>559</v>
      </c>
      <c r="H710" s="127">
        <v>639</v>
      </c>
      <c r="I710" s="124" t="s">
        <v>12</v>
      </c>
      <c r="J710" s="128">
        <v>6965.71</v>
      </c>
    </row>
    <row r="711" spans="1:10" x14ac:dyDescent="0.25">
      <c r="A711" t="s">
        <v>660</v>
      </c>
      <c r="B711" t="s">
        <v>71</v>
      </c>
      <c r="C711" s="82" t="s">
        <v>696</v>
      </c>
      <c r="D711">
        <v>201507</v>
      </c>
      <c r="E711" s="1">
        <v>42185</v>
      </c>
      <c r="F711" s="1">
        <v>42216</v>
      </c>
      <c r="G711" t="s">
        <v>696</v>
      </c>
      <c r="H711" s="81">
        <v>46</v>
      </c>
      <c r="I711" t="s">
        <v>12</v>
      </c>
      <c r="J711" s="3">
        <v>518.84</v>
      </c>
    </row>
    <row r="712" spans="1:10" x14ac:dyDescent="0.25">
      <c r="A712" t="s">
        <v>660</v>
      </c>
      <c r="B712" t="s">
        <v>71</v>
      </c>
      <c r="C712" s="82" t="s">
        <v>696</v>
      </c>
      <c r="D712">
        <v>201508</v>
      </c>
      <c r="E712" s="1">
        <v>42216</v>
      </c>
      <c r="F712" s="1">
        <v>42243</v>
      </c>
      <c r="G712" t="s">
        <v>696</v>
      </c>
      <c r="H712" s="81">
        <v>45</v>
      </c>
      <c r="I712" t="s">
        <v>12</v>
      </c>
      <c r="J712" s="3">
        <v>516.94000000000005</v>
      </c>
    </row>
    <row r="713" spans="1:10" x14ac:dyDescent="0.25">
      <c r="A713" t="s">
        <v>660</v>
      </c>
      <c r="B713" t="s">
        <v>71</v>
      </c>
      <c r="C713" s="82" t="s">
        <v>696</v>
      </c>
      <c r="D713">
        <v>201509</v>
      </c>
      <c r="E713" s="1">
        <v>42243</v>
      </c>
      <c r="F713" s="1">
        <v>42276</v>
      </c>
      <c r="G713" t="s">
        <v>696</v>
      </c>
      <c r="H713" s="81">
        <v>55</v>
      </c>
      <c r="I713" t="s">
        <v>12</v>
      </c>
      <c r="J713" s="3">
        <v>625.77</v>
      </c>
    </row>
    <row r="714" spans="1:10" x14ac:dyDescent="0.25">
      <c r="A714" t="s">
        <v>660</v>
      </c>
      <c r="B714" t="s">
        <v>71</v>
      </c>
      <c r="C714" s="82" t="s">
        <v>696</v>
      </c>
      <c r="D714">
        <v>201510</v>
      </c>
      <c r="E714" s="1">
        <v>42276</v>
      </c>
      <c r="F714" s="1">
        <v>42305</v>
      </c>
      <c r="G714" t="s">
        <v>696</v>
      </c>
      <c r="H714" s="81">
        <v>63</v>
      </c>
      <c r="I714" t="s">
        <v>12</v>
      </c>
      <c r="J714" s="3">
        <v>510.27</v>
      </c>
    </row>
    <row r="715" spans="1:10" x14ac:dyDescent="0.25">
      <c r="A715" t="s">
        <v>660</v>
      </c>
      <c r="B715" t="s">
        <v>71</v>
      </c>
      <c r="C715" s="82" t="s">
        <v>696</v>
      </c>
      <c r="D715">
        <v>201511</v>
      </c>
      <c r="E715" s="1">
        <v>42305</v>
      </c>
      <c r="F715" s="1">
        <v>42339</v>
      </c>
      <c r="G715" t="s">
        <v>696</v>
      </c>
      <c r="H715" s="81">
        <v>72</v>
      </c>
      <c r="I715" t="s">
        <v>12</v>
      </c>
      <c r="J715" s="3">
        <v>482.57</v>
      </c>
    </row>
    <row r="716" spans="1:10" x14ac:dyDescent="0.25">
      <c r="A716" t="s">
        <v>660</v>
      </c>
      <c r="B716" t="s">
        <v>71</v>
      </c>
      <c r="C716" s="82" t="s">
        <v>696</v>
      </c>
      <c r="D716">
        <v>201512</v>
      </c>
      <c r="E716" s="1">
        <v>42339</v>
      </c>
      <c r="F716" s="1">
        <v>42369</v>
      </c>
      <c r="G716" t="s">
        <v>696</v>
      </c>
      <c r="H716" s="81">
        <v>75</v>
      </c>
      <c r="I716" t="s">
        <v>12</v>
      </c>
      <c r="J716" s="3">
        <v>459.45</v>
      </c>
    </row>
    <row r="717" spans="1:10" x14ac:dyDescent="0.25">
      <c r="A717" t="s">
        <v>660</v>
      </c>
      <c r="B717" t="s">
        <v>71</v>
      </c>
      <c r="C717" s="82" t="s">
        <v>696</v>
      </c>
      <c r="D717">
        <v>201601</v>
      </c>
      <c r="E717" s="1">
        <v>42369</v>
      </c>
      <c r="F717" s="1">
        <v>42401</v>
      </c>
      <c r="G717" t="s">
        <v>696</v>
      </c>
      <c r="H717" s="81">
        <v>113</v>
      </c>
      <c r="I717" t="s">
        <v>12</v>
      </c>
      <c r="J717" s="3">
        <v>601.29999999999995</v>
      </c>
    </row>
    <row r="718" spans="1:10" x14ac:dyDescent="0.25">
      <c r="A718" t="s">
        <v>660</v>
      </c>
      <c r="B718" t="s">
        <v>71</v>
      </c>
      <c r="C718" s="82" t="s">
        <v>696</v>
      </c>
      <c r="D718">
        <v>201602</v>
      </c>
      <c r="E718" s="1">
        <v>42401</v>
      </c>
      <c r="F718" s="1">
        <v>42430</v>
      </c>
      <c r="G718" t="s">
        <v>696</v>
      </c>
      <c r="H718" s="81">
        <v>88</v>
      </c>
      <c r="I718" t="s">
        <v>12</v>
      </c>
      <c r="J718" s="3">
        <v>490.26</v>
      </c>
    </row>
    <row r="719" spans="1:10" x14ac:dyDescent="0.25">
      <c r="A719" t="s">
        <v>660</v>
      </c>
      <c r="B719" t="s">
        <v>71</v>
      </c>
      <c r="C719" s="82" t="s">
        <v>696</v>
      </c>
      <c r="D719">
        <v>201603</v>
      </c>
      <c r="E719" s="1">
        <v>42430</v>
      </c>
      <c r="F719" s="1">
        <v>42460</v>
      </c>
      <c r="G719" t="s">
        <v>696</v>
      </c>
      <c r="H719" s="81">
        <v>92</v>
      </c>
      <c r="I719" t="s">
        <v>12</v>
      </c>
      <c r="J719" s="3">
        <v>498.2</v>
      </c>
    </row>
    <row r="720" spans="1:10" x14ac:dyDescent="0.25">
      <c r="A720" t="s">
        <v>660</v>
      </c>
      <c r="B720" t="s">
        <v>71</v>
      </c>
      <c r="C720" s="82" t="s">
        <v>696</v>
      </c>
      <c r="D720">
        <v>201604</v>
      </c>
      <c r="E720" s="1">
        <v>42460</v>
      </c>
      <c r="F720" s="1">
        <v>42489</v>
      </c>
      <c r="G720" t="s">
        <v>696</v>
      </c>
      <c r="H720" s="81">
        <v>60</v>
      </c>
      <c r="I720" t="s">
        <v>12</v>
      </c>
      <c r="J720" s="3">
        <v>449.13</v>
      </c>
    </row>
    <row r="721" spans="1:10" x14ac:dyDescent="0.25">
      <c r="A721" t="s">
        <v>660</v>
      </c>
      <c r="B721" t="s">
        <v>71</v>
      </c>
      <c r="C721" s="82" t="s">
        <v>696</v>
      </c>
      <c r="D721">
        <v>201605</v>
      </c>
      <c r="E721" s="1">
        <v>42489</v>
      </c>
      <c r="F721" s="1">
        <v>42521</v>
      </c>
      <c r="G721" t="s">
        <v>696</v>
      </c>
      <c r="H721" s="81">
        <v>40</v>
      </c>
      <c r="I721" t="s">
        <v>12</v>
      </c>
      <c r="J721" s="3">
        <v>368.69</v>
      </c>
    </row>
    <row r="722" spans="1:10" x14ac:dyDescent="0.25">
      <c r="A722" t="s">
        <v>660</v>
      </c>
      <c r="B722" t="s">
        <v>71</v>
      </c>
      <c r="C722" s="82" t="s">
        <v>696</v>
      </c>
      <c r="D722">
        <v>201606</v>
      </c>
      <c r="E722" s="1">
        <v>42521</v>
      </c>
      <c r="F722" s="1">
        <v>42550</v>
      </c>
      <c r="G722" t="s">
        <v>696</v>
      </c>
      <c r="H722" s="81">
        <v>46</v>
      </c>
      <c r="I722" t="s">
        <v>12</v>
      </c>
      <c r="J722" s="3">
        <v>501.44</v>
      </c>
    </row>
    <row r="723" spans="1:10" x14ac:dyDescent="0.25">
      <c r="A723" t="s">
        <v>590</v>
      </c>
      <c r="B723" t="s">
        <v>71</v>
      </c>
      <c r="C723" s="82" t="s">
        <v>697</v>
      </c>
      <c r="D723">
        <v>201507</v>
      </c>
      <c r="E723" s="1">
        <v>42185</v>
      </c>
      <c r="F723" s="1">
        <v>42216</v>
      </c>
      <c r="G723" t="s">
        <v>697</v>
      </c>
      <c r="H723" s="81">
        <v>76</v>
      </c>
      <c r="I723" t="s">
        <v>12</v>
      </c>
      <c r="J723" s="3">
        <v>857.22</v>
      </c>
    </row>
    <row r="724" spans="1:10" x14ac:dyDescent="0.25">
      <c r="A724" t="s">
        <v>590</v>
      </c>
      <c r="B724" t="s">
        <v>71</v>
      </c>
      <c r="C724" s="82" t="s">
        <v>697</v>
      </c>
      <c r="D724">
        <v>201508</v>
      </c>
      <c r="E724" s="1">
        <v>42216</v>
      </c>
      <c r="F724" s="1">
        <v>42243</v>
      </c>
      <c r="G724" t="s">
        <v>697</v>
      </c>
      <c r="H724" s="81">
        <v>76</v>
      </c>
      <c r="I724" t="s">
        <v>12</v>
      </c>
      <c r="J724" s="3">
        <v>873.06</v>
      </c>
    </row>
    <row r="725" spans="1:10" x14ac:dyDescent="0.25">
      <c r="A725" t="s">
        <v>590</v>
      </c>
      <c r="B725" t="s">
        <v>71</v>
      </c>
      <c r="C725" s="82" t="s">
        <v>697</v>
      </c>
      <c r="D725">
        <v>201509</v>
      </c>
      <c r="E725" s="1">
        <v>42243</v>
      </c>
      <c r="F725" s="1">
        <v>42276</v>
      </c>
      <c r="G725" t="s">
        <v>697</v>
      </c>
      <c r="H725" s="81">
        <v>92</v>
      </c>
      <c r="I725" t="s">
        <v>12</v>
      </c>
      <c r="J725" s="3">
        <v>1046.75</v>
      </c>
    </row>
    <row r="726" spans="1:10" x14ac:dyDescent="0.25">
      <c r="A726" t="s">
        <v>590</v>
      </c>
      <c r="B726" t="s">
        <v>71</v>
      </c>
      <c r="C726" s="82" t="s">
        <v>697</v>
      </c>
      <c r="D726">
        <v>201510</v>
      </c>
      <c r="E726" s="1">
        <v>42276</v>
      </c>
      <c r="F726" s="1">
        <v>42305</v>
      </c>
      <c r="G726" t="s">
        <v>697</v>
      </c>
      <c r="H726" s="81">
        <v>105</v>
      </c>
      <c r="I726" t="s">
        <v>12</v>
      </c>
      <c r="J726" s="3">
        <v>850.45</v>
      </c>
    </row>
    <row r="727" spans="1:10" x14ac:dyDescent="0.25">
      <c r="A727" t="s">
        <v>590</v>
      </c>
      <c r="B727" t="s">
        <v>71</v>
      </c>
      <c r="C727" s="82" t="s">
        <v>697</v>
      </c>
      <c r="D727">
        <v>201511</v>
      </c>
      <c r="E727" s="1">
        <v>42305</v>
      </c>
      <c r="F727" s="1">
        <v>42339</v>
      </c>
      <c r="G727" t="s">
        <v>697</v>
      </c>
      <c r="H727" s="81">
        <v>120</v>
      </c>
      <c r="I727" t="s">
        <v>12</v>
      </c>
      <c r="J727" s="3">
        <v>804.28</v>
      </c>
    </row>
    <row r="728" spans="1:10" x14ac:dyDescent="0.25">
      <c r="A728" t="s">
        <v>590</v>
      </c>
      <c r="B728" t="s">
        <v>71</v>
      </c>
      <c r="C728" s="82" t="s">
        <v>697</v>
      </c>
      <c r="D728">
        <v>201512</v>
      </c>
      <c r="E728" s="1">
        <v>42339</v>
      </c>
      <c r="F728" s="1">
        <v>42369</v>
      </c>
      <c r="G728" t="s">
        <v>697</v>
      </c>
      <c r="H728" s="81">
        <v>125</v>
      </c>
      <c r="I728" t="s">
        <v>12</v>
      </c>
      <c r="J728" s="3">
        <v>765.74</v>
      </c>
    </row>
    <row r="729" spans="1:10" x14ac:dyDescent="0.25">
      <c r="A729" t="s">
        <v>590</v>
      </c>
      <c r="B729" t="s">
        <v>71</v>
      </c>
      <c r="C729" s="82" t="s">
        <v>697</v>
      </c>
      <c r="D729">
        <v>201601</v>
      </c>
      <c r="E729" s="1">
        <v>42369</v>
      </c>
      <c r="F729" s="1">
        <v>42401</v>
      </c>
      <c r="G729" t="s">
        <v>697</v>
      </c>
      <c r="H729" s="81">
        <v>189</v>
      </c>
      <c r="I729" t="s">
        <v>12</v>
      </c>
      <c r="J729" s="3">
        <v>1005.72</v>
      </c>
    </row>
    <row r="730" spans="1:10" x14ac:dyDescent="0.25">
      <c r="A730" t="s">
        <v>590</v>
      </c>
      <c r="B730" t="s">
        <v>71</v>
      </c>
      <c r="C730" s="82" t="s">
        <v>697</v>
      </c>
      <c r="D730">
        <v>201602</v>
      </c>
      <c r="E730" s="1">
        <v>42401</v>
      </c>
      <c r="F730" s="1">
        <v>42430</v>
      </c>
      <c r="G730" t="s">
        <v>697</v>
      </c>
      <c r="H730" s="81">
        <v>148</v>
      </c>
      <c r="I730" t="s">
        <v>12</v>
      </c>
      <c r="J730" s="3">
        <v>824.52</v>
      </c>
    </row>
    <row r="731" spans="1:10" x14ac:dyDescent="0.25">
      <c r="A731" t="s">
        <v>590</v>
      </c>
      <c r="B731" t="s">
        <v>71</v>
      </c>
      <c r="C731" s="82" t="s">
        <v>697</v>
      </c>
      <c r="D731">
        <v>201603</v>
      </c>
      <c r="E731" s="1">
        <v>42430</v>
      </c>
      <c r="F731" s="1">
        <v>42460</v>
      </c>
      <c r="G731" t="s">
        <v>697</v>
      </c>
      <c r="H731" s="81">
        <v>154</v>
      </c>
      <c r="I731" t="s">
        <v>12</v>
      </c>
      <c r="J731" s="3">
        <v>833.94</v>
      </c>
    </row>
    <row r="732" spans="1:10" x14ac:dyDescent="0.25">
      <c r="A732" t="s">
        <v>590</v>
      </c>
      <c r="B732" t="s">
        <v>71</v>
      </c>
      <c r="C732" s="82" t="s">
        <v>697</v>
      </c>
      <c r="D732">
        <v>201604</v>
      </c>
      <c r="E732" s="1">
        <v>42460</v>
      </c>
      <c r="F732" s="1">
        <v>42489</v>
      </c>
      <c r="G732" t="s">
        <v>697</v>
      </c>
      <c r="H732" s="81">
        <v>100</v>
      </c>
      <c r="I732" t="s">
        <v>12</v>
      </c>
      <c r="J732" s="3">
        <v>748.54</v>
      </c>
    </row>
    <row r="733" spans="1:10" x14ac:dyDescent="0.25">
      <c r="A733" t="s">
        <v>590</v>
      </c>
      <c r="B733" t="s">
        <v>71</v>
      </c>
      <c r="C733" s="82" t="s">
        <v>697</v>
      </c>
      <c r="D733">
        <v>201605</v>
      </c>
      <c r="E733" s="1">
        <v>42489</v>
      </c>
      <c r="F733" s="1">
        <v>42521</v>
      </c>
      <c r="G733" t="s">
        <v>697</v>
      </c>
      <c r="H733" s="81">
        <v>66</v>
      </c>
      <c r="I733" t="s">
        <v>12</v>
      </c>
      <c r="J733" s="3">
        <v>608.33000000000004</v>
      </c>
    </row>
    <row r="734" spans="1:10" x14ac:dyDescent="0.25">
      <c r="A734" t="s">
        <v>590</v>
      </c>
      <c r="B734" t="s">
        <v>71</v>
      </c>
      <c r="C734" s="82" t="s">
        <v>697</v>
      </c>
      <c r="D734">
        <v>201606</v>
      </c>
      <c r="E734" s="1">
        <v>42521</v>
      </c>
      <c r="F734" s="1">
        <v>42550</v>
      </c>
      <c r="G734" t="s">
        <v>697</v>
      </c>
      <c r="H734" s="81">
        <v>77</v>
      </c>
      <c r="I734" t="s">
        <v>12</v>
      </c>
      <c r="J734" s="3">
        <v>839.37</v>
      </c>
    </row>
    <row r="735" spans="1:10" x14ac:dyDescent="0.25">
      <c r="A735" t="s">
        <v>106</v>
      </c>
      <c r="B735" t="s">
        <v>71</v>
      </c>
      <c r="C735" s="82" t="s">
        <v>698</v>
      </c>
      <c r="D735">
        <v>201507</v>
      </c>
      <c r="E735" s="1">
        <v>42185</v>
      </c>
      <c r="F735" s="1">
        <v>42216</v>
      </c>
      <c r="G735" t="s">
        <v>698</v>
      </c>
      <c r="H735" s="81">
        <v>1153</v>
      </c>
      <c r="I735" t="s">
        <v>12</v>
      </c>
      <c r="J735" s="3">
        <v>13004.93</v>
      </c>
    </row>
    <row r="736" spans="1:10" x14ac:dyDescent="0.25">
      <c r="A736" t="s">
        <v>106</v>
      </c>
      <c r="B736" t="s">
        <v>71</v>
      </c>
      <c r="C736" s="82" t="s">
        <v>698</v>
      </c>
      <c r="D736">
        <v>201508</v>
      </c>
      <c r="E736" s="1">
        <v>42216</v>
      </c>
      <c r="F736" s="1">
        <v>42243</v>
      </c>
      <c r="G736" t="s">
        <v>698</v>
      </c>
      <c r="H736" s="81">
        <v>1143</v>
      </c>
      <c r="I736" t="s">
        <v>12</v>
      </c>
      <c r="J736" s="3">
        <v>13130.37</v>
      </c>
    </row>
    <row r="737" spans="1:10" x14ac:dyDescent="0.25">
      <c r="A737" t="s">
        <v>106</v>
      </c>
      <c r="B737" t="s">
        <v>71</v>
      </c>
      <c r="C737" s="82" t="s">
        <v>698</v>
      </c>
      <c r="D737">
        <v>201509</v>
      </c>
      <c r="E737" s="1">
        <v>42243</v>
      </c>
      <c r="F737" s="1">
        <v>42276</v>
      </c>
      <c r="G737" t="s">
        <v>698</v>
      </c>
      <c r="H737" s="81">
        <v>1396</v>
      </c>
      <c r="I737" t="s">
        <v>12</v>
      </c>
      <c r="J737" s="3">
        <v>15883.3</v>
      </c>
    </row>
    <row r="738" spans="1:10" x14ac:dyDescent="0.25">
      <c r="A738" t="s">
        <v>106</v>
      </c>
      <c r="B738" t="s">
        <v>71</v>
      </c>
      <c r="C738" s="82" t="s">
        <v>698</v>
      </c>
      <c r="D738">
        <v>201510</v>
      </c>
      <c r="E738" s="1">
        <v>42276</v>
      </c>
      <c r="F738" s="1">
        <v>42305</v>
      </c>
      <c r="G738" t="s">
        <v>698</v>
      </c>
      <c r="H738" s="81">
        <v>1578</v>
      </c>
      <c r="I738" t="s">
        <v>12</v>
      </c>
      <c r="J738" s="3">
        <v>12781.02</v>
      </c>
    </row>
    <row r="739" spans="1:10" x14ac:dyDescent="0.25">
      <c r="A739" t="s">
        <v>106</v>
      </c>
      <c r="B739" t="s">
        <v>71</v>
      </c>
      <c r="C739" s="82" t="s">
        <v>698</v>
      </c>
      <c r="D739">
        <v>201511</v>
      </c>
      <c r="E739" s="1">
        <v>42305</v>
      </c>
      <c r="F739" s="1">
        <v>42339</v>
      </c>
      <c r="G739" t="s">
        <v>698</v>
      </c>
      <c r="H739" s="81">
        <v>1811</v>
      </c>
      <c r="I739" t="s">
        <v>12</v>
      </c>
      <c r="J739" s="3">
        <v>12137.92</v>
      </c>
    </row>
    <row r="740" spans="1:10" x14ac:dyDescent="0.25">
      <c r="A740" t="s">
        <v>106</v>
      </c>
      <c r="B740" t="s">
        <v>71</v>
      </c>
      <c r="C740" s="82" t="s">
        <v>698</v>
      </c>
      <c r="D740">
        <v>201512</v>
      </c>
      <c r="E740" s="1">
        <v>42339</v>
      </c>
      <c r="F740" s="1">
        <v>42369</v>
      </c>
      <c r="G740" t="s">
        <v>698</v>
      </c>
      <c r="H740" s="81">
        <v>1888</v>
      </c>
      <c r="I740" t="s">
        <v>12</v>
      </c>
      <c r="J740" s="3">
        <v>11565.8</v>
      </c>
    </row>
    <row r="741" spans="1:10" x14ac:dyDescent="0.25">
      <c r="A741" t="s">
        <v>106</v>
      </c>
      <c r="B741" t="s">
        <v>71</v>
      </c>
      <c r="C741" s="82" t="s">
        <v>698</v>
      </c>
      <c r="D741">
        <v>201601</v>
      </c>
      <c r="E741" s="1">
        <v>42369</v>
      </c>
      <c r="F741" s="1">
        <v>42401</v>
      </c>
      <c r="G741" t="s">
        <v>698</v>
      </c>
      <c r="H741" s="81">
        <v>2852</v>
      </c>
      <c r="I741" t="s">
        <v>12</v>
      </c>
      <c r="J741" s="3">
        <v>15176.28</v>
      </c>
    </row>
    <row r="742" spans="1:10" x14ac:dyDescent="0.25">
      <c r="A742" t="s">
        <v>106</v>
      </c>
      <c r="B742" t="s">
        <v>71</v>
      </c>
      <c r="C742" s="82" t="s">
        <v>698</v>
      </c>
      <c r="D742">
        <v>201602</v>
      </c>
      <c r="E742" s="1">
        <v>42401</v>
      </c>
      <c r="F742" s="1">
        <v>42430</v>
      </c>
      <c r="G742" t="s">
        <v>698</v>
      </c>
      <c r="H742" s="81">
        <v>2229</v>
      </c>
      <c r="I742" t="s">
        <v>12</v>
      </c>
      <c r="J742" s="3">
        <v>12417.99</v>
      </c>
    </row>
    <row r="743" spans="1:10" x14ac:dyDescent="0.25">
      <c r="A743" t="s">
        <v>106</v>
      </c>
      <c r="B743" t="s">
        <v>71</v>
      </c>
      <c r="C743" s="82" t="s">
        <v>698</v>
      </c>
      <c r="D743">
        <v>201603</v>
      </c>
      <c r="E743" s="1">
        <v>42430</v>
      </c>
      <c r="F743" s="1">
        <v>42460</v>
      </c>
      <c r="G743" t="s">
        <v>698</v>
      </c>
      <c r="H743" s="81">
        <v>2318</v>
      </c>
      <c r="I743" t="s">
        <v>12</v>
      </c>
      <c r="J743" s="3">
        <v>12552.43</v>
      </c>
    </row>
    <row r="744" spans="1:10" x14ac:dyDescent="0.25">
      <c r="A744" t="s">
        <v>106</v>
      </c>
      <c r="B744" t="s">
        <v>71</v>
      </c>
      <c r="C744" s="82" t="s">
        <v>698</v>
      </c>
      <c r="D744">
        <v>201604</v>
      </c>
      <c r="E744" s="1">
        <v>42460</v>
      </c>
      <c r="F744" s="1">
        <v>42489</v>
      </c>
      <c r="G744" t="s">
        <v>698</v>
      </c>
      <c r="H744" s="81">
        <v>1505</v>
      </c>
      <c r="I744" t="s">
        <v>12</v>
      </c>
      <c r="J744" s="3">
        <v>11265.55</v>
      </c>
    </row>
    <row r="745" spans="1:10" x14ac:dyDescent="0.25">
      <c r="A745" t="s">
        <v>106</v>
      </c>
      <c r="B745" t="s">
        <v>71</v>
      </c>
      <c r="C745" s="82" t="s">
        <v>698</v>
      </c>
      <c r="D745">
        <v>201605</v>
      </c>
      <c r="E745" s="1">
        <v>42489</v>
      </c>
      <c r="F745" s="1">
        <v>42521</v>
      </c>
      <c r="G745" t="s">
        <v>698</v>
      </c>
      <c r="H745" s="81">
        <v>1003</v>
      </c>
      <c r="I745" t="s">
        <v>12</v>
      </c>
      <c r="J745" s="3">
        <v>9244.82</v>
      </c>
    </row>
    <row r="746" spans="1:10" x14ac:dyDescent="0.25">
      <c r="A746" t="s">
        <v>106</v>
      </c>
      <c r="B746" t="s">
        <v>71</v>
      </c>
      <c r="C746" s="82" t="s">
        <v>698</v>
      </c>
      <c r="D746">
        <v>201606</v>
      </c>
      <c r="E746" s="1">
        <v>42521</v>
      </c>
      <c r="F746" s="1">
        <v>42550</v>
      </c>
      <c r="G746" t="s">
        <v>698</v>
      </c>
      <c r="H746" s="81">
        <v>1155</v>
      </c>
      <c r="I746" t="s">
        <v>12</v>
      </c>
      <c r="J746" s="3">
        <v>12590.6</v>
      </c>
    </row>
    <row r="747" spans="1:10" x14ac:dyDescent="0.25">
      <c r="A747" t="s">
        <v>508</v>
      </c>
      <c r="B747" t="s">
        <v>71</v>
      </c>
      <c r="C747" s="82" t="s">
        <v>549</v>
      </c>
      <c r="D747">
        <v>201507</v>
      </c>
      <c r="E747" s="1">
        <v>42185</v>
      </c>
      <c r="F747" s="1">
        <v>42216</v>
      </c>
      <c r="G747" t="s">
        <v>549</v>
      </c>
      <c r="H747" s="81">
        <v>96</v>
      </c>
      <c r="I747" t="s">
        <v>12</v>
      </c>
      <c r="J747" s="3">
        <v>1082.8</v>
      </c>
    </row>
    <row r="748" spans="1:10" x14ac:dyDescent="0.25">
      <c r="A748" t="s">
        <v>508</v>
      </c>
      <c r="B748" t="s">
        <v>71</v>
      </c>
      <c r="C748" s="82" t="s">
        <v>549</v>
      </c>
      <c r="D748">
        <v>201508</v>
      </c>
      <c r="E748" s="1">
        <v>42216</v>
      </c>
      <c r="F748" s="1">
        <v>42243</v>
      </c>
      <c r="G748" t="s">
        <v>549</v>
      </c>
      <c r="H748" s="81">
        <v>95</v>
      </c>
      <c r="I748" t="s">
        <v>12</v>
      </c>
      <c r="J748" s="3">
        <v>1091.33</v>
      </c>
    </row>
    <row r="749" spans="1:10" x14ac:dyDescent="0.25">
      <c r="A749" t="s">
        <v>508</v>
      </c>
      <c r="B749" t="s">
        <v>71</v>
      </c>
      <c r="C749" s="82" t="s">
        <v>549</v>
      </c>
      <c r="D749">
        <v>201509</v>
      </c>
      <c r="E749" s="1">
        <v>42243</v>
      </c>
      <c r="F749" s="1">
        <v>42276</v>
      </c>
      <c r="G749" t="s">
        <v>549</v>
      </c>
      <c r="H749" s="81">
        <v>117</v>
      </c>
      <c r="I749" t="s">
        <v>12</v>
      </c>
      <c r="J749" s="3">
        <v>1331.19</v>
      </c>
    </row>
    <row r="750" spans="1:10" x14ac:dyDescent="0.25">
      <c r="A750" t="s">
        <v>508</v>
      </c>
      <c r="B750" t="s">
        <v>71</v>
      </c>
      <c r="C750" s="82" t="s">
        <v>549</v>
      </c>
      <c r="D750">
        <v>201510</v>
      </c>
      <c r="E750" s="1">
        <v>42276</v>
      </c>
      <c r="F750" s="1">
        <v>42305</v>
      </c>
      <c r="G750" t="s">
        <v>549</v>
      </c>
      <c r="H750" s="81">
        <v>132</v>
      </c>
      <c r="I750" t="s">
        <v>12</v>
      </c>
      <c r="J750" s="3">
        <v>1069.1300000000001</v>
      </c>
    </row>
    <row r="751" spans="1:10" x14ac:dyDescent="0.25">
      <c r="A751" t="s">
        <v>508</v>
      </c>
      <c r="B751" t="s">
        <v>71</v>
      </c>
      <c r="C751" s="82" t="s">
        <v>549</v>
      </c>
      <c r="D751">
        <v>201511</v>
      </c>
      <c r="E751" s="1">
        <v>42305</v>
      </c>
      <c r="F751" s="1">
        <v>42339</v>
      </c>
      <c r="G751" t="s">
        <v>549</v>
      </c>
      <c r="H751" s="81">
        <v>151</v>
      </c>
      <c r="I751" t="s">
        <v>12</v>
      </c>
      <c r="J751" s="3">
        <v>1012.05</v>
      </c>
    </row>
    <row r="752" spans="1:10" x14ac:dyDescent="0.25">
      <c r="A752" t="s">
        <v>508</v>
      </c>
      <c r="B752" t="s">
        <v>71</v>
      </c>
      <c r="C752" s="82" t="s">
        <v>549</v>
      </c>
      <c r="D752">
        <v>201512</v>
      </c>
      <c r="E752" s="1">
        <v>42339</v>
      </c>
      <c r="F752" s="1">
        <v>42369</v>
      </c>
      <c r="G752" t="s">
        <v>549</v>
      </c>
      <c r="H752" s="81">
        <v>158</v>
      </c>
      <c r="I752" t="s">
        <v>12</v>
      </c>
      <c r="J752" s="3">
        <v>967.9</v>
      </c>
    </row>
    <row r="753" spans="1:18" x14ac:dyDescent="0.25">
      <c r="A753" t="s">
        <v>508</v>
      </c>
      <c r="B753" t="s">
        <v>71</v>
      </c>
      <c r="C753" s="82" t="s">
        <v>549</v>
      </c>
      <c r="D753">
        <v>201601</v>
      </c>
      <c r="E753" s="1">
        <v>42369</v>
      </c>
      <c r="F753" s="1">
        <v>42401</v>
      </c>
      <c r="G753" t="s">
        <v>549</v>
      </c>
      <c r="H753" s="81">
        <v>238</v>
      </c>
      <c r="I753" t="s">
        <v>12</v>
      </c>
      <c r="J753" s="3">
        <v>1266.46</v>
      </c>
    </row>
    <row r="754" spans="1:18" x14ac:dyDescent="0.25">
      <c r="A754" t="s">
        <v>508</v>
      </c>
      <c r="B754" t="s">
        <v>71</v>
      </c>
      <c r="C754" s="82" t="s">
        <v>549</v>
      </c>
      <c r="D754">
        <v>201602</v>
      </c>
      <c r="E754" s="1">
        <v>42401</v>
      </c>
      <c r="F754" s="1">
        <v>42430</v>
      </c>
      <c r="G754" t="s">
        <v>549</v>
      </c>
      <c r="H754" s="81">
        <v>186</v>
      </c>
      <c r="I754" t="s">
        <v>12</v>
      </c>
      <c r="J754" s="3">
        <v>1036.23</v>
      </c>
    </row>
    <row r="755" spans="1:18" x14ac:dyDescent="0.25">
      <c r="A755" t="s">
        <v>508</v>
      </c>
      <c r="B755" t="s">
        <v>71</v>
      </c>
      <c r="C755" s="82" t="s">
        <v>549</v>
      </c>
      <c r="D755">
        <v>201603</v>
      </c>
      <c r="E755" s="1">
        <v>42430</v>
      </c>
      <c r="F755" s="1">
        <v>42460</v>
      </c>
      <c r="G755" t="s">
        <v>549</v>
      </c>
      <c r="H755" s="81">
        <v>194</v>
      </c>
      <c r="I755" t="s">
        <v>12</v>
      </c>
      <c r="J755" s="3">
        <v>1050.55</v>
      </c>
    </row>
    <row r="756" spans="1:18" x14ac:dyDescent="0.25">
      <c r="A756" t="s">
        <v>508</v>
      </c>
      <c r="B756" t="s">
        <v>71</v>
      </c>
      <c r="C756" s="82" t="s">
        <v>549</v>
      </c>
      <c r="D756">
        <v>201604</v>
      </c>
      <c r="E756" s="1">
        <v>42460</v>
      </c>
      <c r="F756" s="1">
        <v>42489</v>
      </c>
      <c r="G756" t="s">
        <v>549</v>
      </c>
      <c r="H756" s="81">
        <v>126</v>
      </c>
      <c r="I756" t="s">
        <v>12</v>
      </c>
      <c r="J756" s="3">
        <v>943.16</v>
      </c>
    </row>
    <row r="757" spans="1:18" x14ac:dyDescent="0.25">
      <c r="A757" t="s">
        <v>508</v>
      </c>
      <c r="B757" t="s">
        <v>71</v>
      </c>
      <c r="C757" s="82" t="s">
        <v>549</v>
      </c>
      <c r="D757">
        <v>201605</v>
      </c>
      <c r="E757" s="1">
        <v>42489</v>
      </c>
      <c r="F757" s="1">
        <v>42521</v>
      </c>
      <c r="G757" t="s">
        <v>549</v>
      </c>
      <c r="H757" s="81">
        <v>84</v>
      </c>
      <c r="I757" t="s">
        <v>12</v>
      </c>
      <c r="J757" s="3">
        <v>774.24</v>
      </c>
    </row>
    <row r="758" spans="1:18" x14ac:dyDescent="0.25">
      <c r="A758" t="s">
        <v>508</v>
      </c>
      <c r="B758" t="s">
        <v>71</v>
      </c>
      <c r="C758" s="82" t="s">
        <v>549</v>
      </c>
      <c r="D758">
        <v>201606</v>
      </c>
      <c r="E758" s="1">
        <v>42521</v>
      </c>
      <c r="F758" s="1">
        <v>42550</v>
      </c>
      <c r="G758" t="s">
        <v>549</v>
      </c>
      <c r="H758" s="81">
        <v>97</v>
      </c>
      <c r="I758" t="s">
        <v>12</v>
      </c>
      <c r="J758" s="3">
        <v>1057.3900000000001</v>
      </c>
    </row>
    <row r="759" spans="1:18" x14ac:dyDescent="0.25">
      <c r="A759" t="s">
        <v>511</v>
      </c>
      <c r="B759" t="s">
        <v>71</v>
      </c>
      <c r="C759" s="82" t="s">
        <v>550</v>
      </c>
      <c r="D759">
        <v>201507</v>
      </c>
      <c r="E759" s="1">
        <v>42185</v>
      </c>
      <c r="F759" s="1">
        <v>42216</v>
      </c>
      <c r="G759" t="s">
        <v>550</v>
      </c>
      <c r="H759" s="81">
        <v>387</v>
      </c>
      <c r="I759" t="s">
        <v>12</v>
      </c>
      <c r="J759" s="3">
        <v>4365.05</v>
      </c>
    </row>
    <row r="760" spans="1:18" x14ac:dyDescent="0.25">
      <c r="A760" t="s">
        <v>511</v>
      </c>
      <c r="B760" t="s">
        <v>71</v>
      </c>
      <c r="C760" s="82" t="s">
        <v>550</v>
      </c>
      <c r="D760">
        <v>201508</v>
      </c>
      <c r="E760" s="1">
        <v>42216</v>
      </c>
      <c r="F760" s="1">
        <v>42243</v>
      </c>
      <c r="G760" t="s">
        <v>550</v>
      </c>
      <c r="H760" s="81">
        <v>383</v>
      </c>
      <c r="I760" t="s">
        <v>12</v>
      </c>
      <c r="J760" s="3">
        <v>4399.7700000000004</v>
      </c>
    </row>
    <row r="761" spans="1:18" x14ac:dyDescent="0.25">
      <c r="A761" t="s">
        <v>511</v>
      </c>
      <c r="B761" t="s">
        <v>71</v>
      </c>
      <c r="C761" s="82" t="s">
        <v>550</v>
      </c>
      <c r="D761">
        <v>201509</v>
      </c>
      <c r="E761" s="1">
        <v>42243</v>
      </c>
      <c r="F761" s="1">
        <v>42276</v>
      </c>
      <c r="G761" t="s">
        <v>550</v>
      </c>
      <c r="H761" s="81">
        <v>468</v>
      </c>
      <c r="I761" t="s">
        <v>12</v>
      </c>
      <c r="J761" s="3">
        <v>5324.77</v>
      </c>
      <c r="R761" s="3" t="s">
        <v>3</v>
      </c>
    </row>
    <row r="762" spans="1:18" x14ac:dyDescent="0.25">
      <c r="A762" t="s">
        <v>511</v>
      </c>
      <c r="B762" t="s">
        <v>71</v>
      </c>
      <c r="C762" s="82" t="s">
        <v>550</v>
      </c>
      <c r="D762">
        <v>201510</v>
      </c>
      <c r="E762" s="1">
        <v>42276</v>
      </c>
      <c r="F762" s="1">
        <v>42305</v>
      </c>
      <c r="G762" t="s">
        <v>550</v>
      </c>
      <c r="H762" s="81">
        <v>529</v>
      </c>
      <c r="I762" t="s">
        <v>12</v>
      </c>
      <c r="J762" s="3">
        <v>4284.6400000000003</v>
      </c>
    </row>
    <row r="763" spans="1:18" x14ac:dyDescent="0.25">
      <c r="A763" t="s">
        <v>511</v>
      </c>
      <c r="B763" t="s">
        <v>71</v>
      </c>
      <c r="C763" s="82" t="s">
        <v>550</v>
      </c>
      <c r="D763">
        <v>201511</v>
      </c>
      <c r="E763" s="1">
        <v>42305</v>
      </c>
      <c r="F763" s="1">
        <v>42339</v>
      </c>
      <c r="G763" t="s">
        <v>550</v>
      </c>
      <c r="H763" s="81">
        <v>608</v>
      </c>
      <c r="I763" t="s">
        <v>12</v>
      </c>
      <c r="J763" s="3">
        <v>4075.02</v>
      </c>
    </row>
    <row r="764" spans="1:18" x14ac:dyDescent="0.25">
      <c r="A764" t="s">
        <v>511</v>
      </c>
      <c r="B764" t="s">
        <v>71</v>
      </c>
      <c r="C764" s="82" t="s">
        <v>550</v>
      </c>
      <c r="D764">
        <v>201512</v>
      </c>
      <c r="E764" s="1">
        <v>42339</v>
      </c>
      <c r="F764" s="1">
        <v>42369</v>
      </c>
      <c r="G764" t="s">
        <v>550</v>
      </c>
      <c r="H764" s="81">
        <v>634</v>
      </c>
      <c r="I764" t="s">
        <v>12</v>
      </c>
      <c r="J764" s="3">
        <v>3883.86</v>
      </c>
    </row>
    <row r="765" spans="1:18" x14ac:dyDescent="0.25">
      <c r="A765" t="s">
        <v>511</v>
      </c>
      <c r="B765" t="s">
        <v>71</v>
      </c>
      <c r="C765" s="82" t="s">
        <v>550</v>
      </c>
      <c r="D765">
        <v>201601</v>
      </c>
      <c r="E765" s="1">
        <v>42369</v>
      </c>
      <c r="F765" s="1">
        <v>42401</v>
      </c>
      <c r="G765" t="s">
        <v>550</v>
      </c>
      <c r="H765" s="81">
        <v>957</v>
      </c>
      <c r="I765" t="s">
        <v>12</v>
      </c>
      <c r="J765" s="3">
        <v>5092.46</v>
      </c>
    </row>
    <row r="766" spans="1:18" x14ac:dyDescent="0.25">
      <c r="A766" t="s">
        <v>511</v>
      </c>
      <c r="B766" t="s">
        <v>71</v>
      </c>
      <c r="C766" s="82" t="s">
        <v>550</v>
      </c>
      <c r="D766">
        <v>201602</v>
      </c>
      <c r="E766" s="1">
        <v>42401</v>
      </c>
      <c r="F766" s="1">
        <v>42430</v>
      </c>
      <c r="G766" t="s">
        <v>550</v>
      </c>
      <c r="H766" s="81">
        <v>748</v>
      </c>
      <c r="I766" t="s">
        <v>12</v>
      </c>
      <c r="J766" s="3">
        <v>4167.1899999999996</v>
      </c>
    </row>
    <row r="767" spans="1:18" x14ac:dyDescent="0.25">
      <c r="A767" t="s">
        <v>511</v>
      </c>
      <c r="B767" t="s">
        <v>71</v>
      </c>
      <c r="C767" s="82" t="s">
        <v>550</v>
      </c>
      <c r="D767">
        <v>201603</v>
      </c>
      <c r="E767" s="1">
        <v>42430</v>
      </c>
      <c r="F767" s="1">
        <v>42460</v>
      </c>
      <c r="G767" t="s">
        <v>550</v>
      </c>
      <c r="H767" s="81">
        <v>778</v>
      </c>
      <c r="I767" t="s">
        <v>12</v>
      </c>
      <c r="J767" s="3">
        <v>4213.03</v>
      </c>
    </row>
    <row r="768" spans="1:18" x14ac:dyDescent="0.25">
      <c r="A768" t="s">
        <v>511</v>
      </c>
      <c r="B768" t="s">
        <v>71</v>
      </c>
      <c r="C768" s="82" t="s">
        <v>550</v>
      </c>
      <c r="D768">
        <v>201604</v>
      </c>
      <c r="E768" s="1">
        <v>42460</v>
      </c>
      <c r="F768" s="1">
        <v>42489</v>
      </c>
      <c r="G768" t="s">
        <v>550</v>
      </c>
      <c r="H768" s="81">
        <v>505</v>
      </c>
      <c r="I768" t="s">
        <v>12</v>
      </c>
      <c r="J768" s="3">
        <v>3780.14</v>
      </c>
    </row>
    <row r="769" spans="1:10" x14ac:dyDescent="0.25">
      <c r="A769" t="s">
        <v>511</v>
      </c>
      <c r="B769" t="s">
        <v>71</v>
      </c>
      <c r="C769" s="82" t="s">
        <v>550</v>
      </c>
      <c r="D769">
        <v>201605</v>
      </c>
      <c r="E769" s="1">
        <v>42489</v>
      </c>
      <c r="F769" s="1">
        <v>42521</v>
      </c>
      <c r="G769" t="s">
        <v>550</v>
      </c>
      <c r="H769" s="81">
        <v>337</v>
      </c>
      <c r="I769" t="s">
        <v>12</v>
      </c>
      <c r="J769" s="3">
        <v>3106.19</v>
      </c>
    </row>
    <row r="770" spans="1:10" x14ac:dyDescent="0.25">
      <c r="A770" t="s">
        <v>511</v>
      </c>
      <c r="B770" t="s">
        <v>71</v>
      </c>
      <c r="C770" s="82" t="s">
        <v>550</v>
      </c>
      <c r="D770">
        <v>201606</v>
      </c>
      <c r="E770" s="1">
        <v>42521</v>
      </c>
      <c r="F770" s="1">
        <v>42550</v>
      </c>
      <c r="G770" t="s">
        <v>550</v>
      </c>
      <c r="H770" s="81">
        <v>388</v>
      </c>
      <c r="I770" t="s">
        <v>12</v>
      </c>
      <c r="J770" s="3">
        <v>4229.57</v>
      </c>
    </row>
    <row r="771" spans="1:10" x14ac:dyDescent="0.25">
      <c r="A771" t="s">
        <v>88</v>
      </c>
      <c r="B771" t="s">
        <v>71</v>
      </c>
      <c r="C771" s="82" t="s">
        <v>192</v>
      </c>
      <c r="D771">
        <v>201507</v>
      </c>
      <c r="E771" s="1">
        <v>42185</v>
      </c>
      <c r="F771" s="1">
        <v>42216</v>
      </c>
      <c r="G771" t="s">
        <v>699</v>
      </c>
      <c r="H771" s="81">
        <v>447</v>
      </c>
      <c r="I771" t="s">
        <v>12</v>
      </c>
      <c r="J771" s="3">
        <v>5041.8100000000004</v>
      </c>
    </row>
    <row r="772" spans="1:10" x14ac:dyDescent="0.25">
      <c r="A772" t="s">
        <v>88</v>
      </c>
      <c r="B772" t="s">
        <v>71</v>
      </c>
      <c r="C772" s="82" t="s">
        <v>192</v>
      </c>
      <c r="D772">
        <v>201508</v>
      </c>
      <c r="E772" s="1">
        <v>42216</v>
      </c>
      <c r="F772" s="1">
        <v>42243</v>
      </c>
      <c r="G772" t="s">
        <v>699</v>
      </c>
      <c r="H772" s="81">
        <v>443</v>
      </c>
      <c r="I772" t="s">
        <v>12</v>
      </c>
      <c r="J772" s="3">
        <v>5089.0200000000004</v>
      </c>
    </row>
    <row r="773" spans="1:10" x14ac:dyDescent="0.25">
      <c r="A773" t="s">
        <v>88</v>
      </c>
      <c r="B773" t="s">
        <v>71</v>
      </c>
      <c r="C773" s="82" t="s">
        <v>192</v>
      </c>
      <c r="D773">
        <v>201509</v>
      </c>
      <c r="E773" s="1">
        <v>42243</v>
      </c>
      <c r="F773" s="1">
        <v>42276</v>
      </c>
      <c r="G773" t="s">
        <v>699</v>
      </c>
      <c r="H773" s="81">
        <v>541</v>
      </c>
      <c r="I773" t="s">
        <v>12</v>
      </c>
      <c r="J773" s="3">
        <v>6155.35</v>
      </c>
    </row>
    <row r="774" spans="1:10" x14ac:dyDescent="0.25">
      <c r="A774" t="s">
        <v>88</v>
      </c>
      <c r="B774" t="s">
        <v>71</v>
      </c>
      <c r="C774" s="82" t="s">
        <v>192</v>
      </c>
      <c r="D774">
        <v>201510</v>
      </c>
      <c r="E774" s="1">
        <v>42276</v>
      </c>
      <c r="F774" s="1">
        <v>42305</v>
      </c>
      <c r="G774" t="s">
        <v>699</v>
      </c>
      <c r="H774" s="81">
        <v>611</v>
      </c>
      <c r="I774" t="s">
        <v>12</v>
      </c>
      <c r="J774" s="3">
        <v>4948.8</v>
      </c>
    </row>
    <row r="775" spans="1:10" x14ac:dyDescent="0.25">
      <c r="A775" t="s">
        <v>88</v>
      </c>
      <c r="B775" t="s">
        <v>71</v>
      </c>
      <c r="C775" s="82" t="s">
        <v>192</v>
      </c>
      <c r="D775">
        <v>201511</v>
      </c>
      <c r="E775" s="1">
        <v>42305</v>
      </c>
      <c r="F775" s="1">
        <v>42339</v>
      </c>
      <c r="G775" t="s">
        <v>699</v>
      </c>
      <c r="H775" s="81">
        <v>702</v>
      </c>
      <c r="I775" t="s">
        <v>12</v>
      </c>
      <c r="J775" s="3">
        <v>4705.04</v>
      </c>
    </row>
    <row r="776" spans="1:10" x14ac:dyDescent="0.25">
      <c r="A776" t="s">
        <v>88</v>
      </c>
      <c r="B776" t="s">
        <v>71</v>
      </c>
      <c r="C776" s="82" t="s">
        <v>192</v>
      </c>
      <c r="D776">
        <v>201512</v>
      </c>
      <c r="E776" s="1">
        <v>42339</v>
      </c>
      <c r="F776" s="1">
        <v>42369</v>
      </c>
      <c r="G776" t="s">
        <v>699</v>
      </c>
      <c r="H776" s="81">
        <v>732</v>
      </c>
      <c r="I776" t="s">
        <v>12</v>
      </c>
      <c r="J776" s="3">
        <v>4484.2</v>
      </c>
    </row>
    <row r="777" spans="1:10" x14ac:dyDescent="0.25">
      <c r="A777" t="s">
        <v>88</v>
      </c>
      <c r="B777" t="s">
        <v>71</v>
      </c>
      <c r="C777" s="82" t="s">
        <v>192</v>
      </c>
      <c r="D777">
        <v>201601</v>
      </c>
      <c r="E777" s="1">
        <v>42369</v>
      </c>
      <c r="F777" s="1">
        <v>42401</v>
      </c>
      <c r="G777" t="s">
        <v>699</v>
      </c>
      <c r="H777" s="81">
        <v>1105</v>
      </c>
      <c r="I777" t="s">
        <v>12</v>
      </c>
      <c r="J777" s="3">
        <v>5880.01</v>
      </c>
    </row>
    <row r="778" spans="1:10" x14ac:dyDescent="0.25">
      <c r="A778" t="s">
        <v>88</v>
      </c>
      <c r="B778" t="s">
        <v>71</v>
      </c>
      <c r="C778" s="82" t="s">
        <v>192</v>
      </c>
      <c r="D778">
        <v>201602</v>
      </c>
      <c r="E778" s="1">
        <v>42401</v>
      </c>
      <c r="F778" s="1">
        <v>42430</v>
      </c>
      <c r="G778" t="s">
        <v>699</v>
      </c>
      <c r="H778" s="81">
        <v>864</v>
      </c>
      <c r="I778" t="s">
        <v>12</v>
      </c>
      <c r="J778" s="3">
        <v>4813.43</v>
      </c>
    </row>
    <row r="779" spans="1:10" x14ac:dyDescent="0.25">
      <c r="A779" t="s">
        <v>88</v>
      </c>
      <c r="B779" t="s">
        <v>71</v>
      </c>
      <c r="C779" s="82" t="s">
        <v>192</v>
      </c>
      <c r="D779">
        <v>201603</v>
      </c>
      <c r="E779" s="1">
        <v>42430</v>
      </c>
      <c r="F779" s="1">
        <v>42460</v>
      </c>
      <c r="G779" t="s">
        <v>699</v>
      </c>
      <c r="H779" s="81">
        <v>898</v>
      </c>
      <c r="I779" t="s">
        <v>12</v>
      </c>
      <c r="J779" s="3">
        <v>4862.8500000000004</v>
      </c>
    </row>
    <row r="780" spans="1:10" x14ac:dyDescent="0.25">
      <c r="A780" t="s">
        <v>88</v>
      </c>
      <c r="B780" t="s">
        <v>71</v>
      </c>
      <c r="C780" s="82" t="s">
        <v>192</v>
      </c>
      <c r="D780">
        <v>201604</v>
      </c>
      <c r="E780" s="1">
        <v>42460</v>
      </c>
      <c r="F780" s="1">
        <v>42489</v>
      </c>
      <c r="G780" t="s">
        <v>699</v>
      </c>
      <c r="H780" s="81">
        <v>583</v>
      </c>
      <c r="I780" t="s">
        <v>12</v>
      </c>
      <c r="J780" s="3">
        <v>4364</v>
      </c>
    </row>
    <row r="781" spans="1:10" x14ac:dyDescent="0.25">
      <c r="A781" t="s">
        <v>88</v>
      </c>
      <c r="B781" t="s">
        <v>71</v>
      </c>
      <c r="C781" s="82" t="s">
        <v>192</v>
      </c>
      <c r="D781">
        <v>201605</v>
      </c>
      <c r="E781" s="1">
        <v>42489</v>
      </c>
      <c r="F781" s="1">
        <v>42521</v>
      </c>
      <c r="G781" t="s">
        <v>699</v>
      </c>
      <c r="H781" s="81">
        <v>389</v>
      </c>
      <c r="I781" t="s">
        <v>12</v>
      </c>
      <c r="J781" s="3">
        <v>3585.48</v>
      </c>
    </row>
    <row r="782" spans="1:10" x14ac:dyDescent="0.25">
      <c r="A782" t="s">
        <v>88</v>
      </c>
      <c r="B782" t="s">
        <v>71</v>
      </c>
      <c r="C782" s="82" t="s">
        <v>192</v>
      </c>
      <c r="D782">
        <v>201606</v>
      </c>
      <c r="E782" s="1">
        <v>42521</v>
      </c>
      <c r="F782" s="1">
        <v>42550</v>
      </c>
      <c r="G782" t="s">
        <v>699</v>
      </c>
      <c r="H782" s="81">
        <v>448</v>
      </c>
      <c r="I782" t="s">
        <v>12</v>
      </c>
      <c r="J782" s="3">
        <v>4883.63</v>
      </c>
    </row>
    <row r="783" spans="1:10" x14ac:dyDescent="0.25">
      <c r="A783" t="s">
        <v>102</v>
      </c>
      <c r="B783" t="s">
        <v>71</v>
      </c>
      <c r="C783" s="82" t="s">
        <v>551</v>
      </c>
      <c r="D783">
        <v>201507</v>
      </c>
      <c r="E783" s="1">
        <v>42185</v>
      </c>
      <c r="F783" s="1">
        <v>42216</v>
      </c>
      <c r="G783" t="s">
        <v>551</v>
      </c>
      <c r="H783" s="81">
        <v>334</v>
      </c>
      <c r="I783" t="s">
        <v>12</v>
      </c>
      <c r="J783" s="3">
        <v>3767.26</v>
      </c>
    </row>
    <row r="784" spans="1:10" x14ac:dyDescent="0.25">
      <c r="A784" t="s">
        <v>102</v>
      </c>
      <c r="B784" t="s">
        <v>71</v>
      </c>
      <c r="C784" s="82" t="s">
        <v>551</v>
      </c>
      <c r="D784">
        <v>201508</v>
      </c>
      <c r="E784" s="1">
        <v>42216</v>
      </c>
      <c r="F784" s="1">
        <v>42243</v>
      </c>
      <c r="G784" t="s">
        <v>551</v>
      </c>
      <c r="H784" s="81">
        <v>331</v>
      </c>
      <c r="I784" t="s">
        <v>12</v>
      </c>
      <c r="J784" s="3">
        <v>3802.41</v>
      </c>
    </row>
    <row r="785" spans="1:10" x14ac:dyDescent="0.25">
      <c r="A785" t="s">
        <v>102</v>
      </c>
      <c r="B785" t="s">
        <v>71</v>
      </c>
      <c r="C785" s="82" t="s">
        <v>551</v>
      </c>
      <c r="D785">
        <v>201509</v>
      </c>
      <c r="E785" s="1">
        <v>42243</v>
      </c>
      <c r="F785" s="1">
        <v>42276</v>
      </c>
      <c r="G785" t="s">
        <v>551</v>
      </c>
      <c r="H785" s="81">
        <v>404</v>
      </c>
      <c r="I785" t="s">
        <v>12</v>
      </c>
      <c r="J785" s="3">
        <v>4596.6000000000004</v>
      </c>
    </row>
    <row r="786" spans="1:10" x14ac:dyDescent="0.25">
      <c r="A786" t="s">
        <v>102</v>
      </c>
      <c r="B786" t="s">
        <v>71</v>
      </c>
      <c r="C786" s="82" t="s">
        <v>551</v>
      </c>
      <c r="D786">
        <v>201510</v>
      </c>
      <c r="E786" s="1">
        <v>42276</v>
      </c>
      <c r="F786" s="1">
        <v>42305</v>
      </c>
      <c r="G786" t="s">
        <v>551</v>
      </c>
      <c r="H786" s="81">
        <v>456</v>
      </c>
      <c r="I786" t="s">
        <v>12</v>
      </c>
      <c r="J786" s="3">
        <v>3693.38</v>
      </c>
    </row>
    <row r="787" spans="1:10" x14ac:dyDescent="0.25">
      <c r="A787" t="s">
        <v>102</v>
      </c>
      <c r="B787" t="s">
        <v>71</v>
      </c>
      <c r="C787" s="82" t="s">
        <v>551</v>
      </c>
      <c r="D787">
        <v>201511</v>
      </c>
      <c r="E787" s="1">
        <v>42305</v>
      </c>
      <c r="F787" s="1">
        <v>42339</v>
      </c>
      <c r="G787" t="s">
        <v>551</v>
      </c>
      <c r="H787" s="81">
        <v>524</v>
      </c>
      <c r="I787" t="s">
        <v>12</v>
      </c>
      <c r="J787" s="3">
        <v>3512.02</v>
      </c>
    </row>
    <row r="788" spans="1:10" x14ac:dyDescent="0.25">
      <c r="A788" t="s">
        <v>102</v>
      </c>
      <c r="B788" t="s">
        <v>71</v>
      </c>
      <c r="C788" s="82" t="s">
        <v>551</v>
      </c>
      <c r="D788">
        <v>201512</v>
      </c>
      <c r="E788" s="1">
        <v>42339</v>
      </c>
      <c r="F788" s="1">
        <v>42369</v>
      </c>
      <c r="G788" t="s">
        <v>551</v>
      </c>
      <c r="H788" s="81">
        <v>546</v>
      </c>
      <c r="I788" t="s">
        <v>12</v>
      </c>
      <c r="J788" s="3">
        <v>3344.77</v>
      </c>
    </row>
    <row r="789" spans="1:10" x14ac:dyDescent="0.25">
      <c r="A789" t="s">
        <v>102</v>
      </c>
      <c r="B789" t="s">
        <v>71</v>
      </c>
      <c r="C789" s="82" t="s">
        <v>551</v>
      </c>
      <c r="D789">
        <v>201601</v>
      </c>
      <c r="E789" s="1">
        <v>42369</v>
      </c>
      <c r="F789" s="1">
        <v>42401</v>
      </c>
      <c r="G789" t="s">
        <v>551</v>
      </c>
      <c r="H789" s="81">
        <v>825</v>
      </c>
      <c r="I789" t="s">
        <v>12</v>
      </c>
      <c r="J789" s="3">
        <v>4390.05</v>
      </c>
    </row>
    <row r="790" spans="1:10" x14ac:dyDescent="0.25">
      <c r="A790" t="s">
        <v>102</v>
      </c>
      <c r="B790" t="s">
        <v>71</v>
      </c>
      <c r="C790" s="82" t="s">
        <v>551</v>
      </c>
      <c r="D790">
        <v>201602</v>
      </c>
      <c r="E790" s="1">
        <v>42401</v>
      </c>
      <c r="F790" s="1">
        <v>42430</v>
      </c>
      <c r="G790" t="s">
        <v>551</v>
      </c>
      <c r="H790" s="81">
        <v>645</v>
      </c>
      <c r="I790" t="s">
        <v>12</v>
      </c>
      <c r="J790" s="3">
        <v>3593.36</v>
      </c>
    </row>
    <row r="791" spans="1:10" x14ac:dyDescent="0.25">
      <c r="A791" t="s">
        <v>102</v>
      </c>
      <c r="B791" t="s">
        <v>71</v>
      </c>
      <c r="C791" s="82" t="s">
        <v>551</v>
      </c>
      <c r="D791">
        <v>201603</v>
      </c>
      <c r="E791" s="1">
        <v>42430</v>
      </c>
      <c r="F791" s="1">
        <v>42460</v>
      </c>
      <c r="G791" t="s">
        <v>551</v>
      </c>
      <c r="H791" s="81">
        <v>671</v>
      </c>
      <c r="I791" t="s">
        <v>12</v>
      </c>
      <c r="J791" s="3">
        <v>3633.6</v>
      </c>
    </row>
    <row r="792" spans="1:10" x14ac:dyDescent="0.25">
      <c r="A792" t="s">
        <v>102</v>
      </c>
      <c r="B792" t="s">
        <v>71</v>
      </c>
      <c r="C792" s="82" t="s">
        <v>551</v>
      </c>
      <c r="D792">
        <v>201604</v>
      </c>
      <c r="E792" s="1">
        <v>42460</v>
      </c>
      <c r="F792" s="1">
        <v>42489</v>
      </c>
      <c r="G792" t="s">
        <v>551</v>
      </c>
      <c r="H792" s="81">
        <v>435</v>
      </c>
      <c r="I792" t="s">
        <v>12</v>
      </c>
      <c r="J792" s="3">
        <v>3256.16</v>
      </c>
    </row>
    <row r="793" spans="1:10" x14ac:dyDescent="0.25">
      <c r="A793" t="s">
        <v>102</v>
      </c>
      <c r="B793" t="s">
        <v>71</v>
      </c>
      <c r="C793" s="82" t="s">
        <v>551</v>
      </c>
      <c r="D793">
        <v>201605</v>
      </c>
      <c r="E793" s="1">
        <v>42489</v>
      </c>
      <c r="F793" s="1">
        <v>42521</v>
      </c>
      <c r="G793" t="s">
        <v>551</v>
      </c>
      <c r="H793" s="81">
        <v>290</v>
      </c>
      <c r="I793" t="s">
        <v>12</v>
      </c>
      <c r="J793" s="3">
        <v>2672.98</v>
      </c>
    </row>
    <row r="794" spans="1:10" x14ac:dyDescent="0.25">
      <c r="A794" t="s">
        <v>102</v>
      </c>
      <c r="B794" t="s">
        <v>71</v>
      </c>
      <c r="C794" s="82" t="s">
        <v>551</v>
      </c>
      <c r="D794">
        <v>201606</v>
      </c>
      <c r="E794" s="1">
        <v>42521</v>
      </c>
      <c r="F794" s="1">
        <v>42550</v>
      </c>
      <c r="G794" t="s">
        <v>551</v>
      </c>
      <c r="H794" s="81">
        <v>334</v>
      </c>
      <c r="I794" t="s">
        <v>12</v>
      </c>
      <c r="J794" s="3">
        <v>3640.92</v>
      </c>
    </row>
    <row r="795" spans="1:10" x14ac:dyDescent="0.25">
      <c r="A795" t="s">
        <v>495</v>
      </c>
      <c r="B795" t="s">
        <v>71</v>
      </c>
      <c r="C795" s="82" t="s">
        <v>552</v>
      </c>
      <c r="D795">
        <v>201507</v>
      </c>
      <c r="E795" s="1">
        <v>42185</v>
      </c>
      <c r="F795" s="1">
        <v>42216</v>
      </c>
      <c r="G795" t="s">
        <v>552</v>
      </c>
      <c r="H795" s="81">
        <v>208</v>
      </c>
      <c r="I795" t="s">
        <v>12</v>
      </c>
      <c r="J795" s="3">
        <v>2346.08</v>
      </c>
    </row>
    <row r="796" spans="1:10" x14ac:dyDescent="0.25">
      <c r="A796" t="s">
        <v>495</v>
      </c>
      <c r="B796" t="s">
        <v>71</v>
      </c>
      <c r="C796" s="82" t="s">
        <v>552</v>
      </c>
      <c r="D796">
        <v>201508</v>
      </c>
      <c r="E796" s="1">
        <v>42216</v>
      </c>
      <c r="F796" s="1">
        <v>42243</v>
      </c>
      <c r="G796" t="s">
        <v>552</v>
      </c>
      <c r="H796" s="81">
        <v>206</v>
      </c>
      <c r="I796" t="s">
        <v>12</v>
      </c>
      <c r="J796" s="3">
        <v>2366.4499999999998</v>
      </c>
    </row>
    <row r="797" spans="1:10" x14ac:dyDescent="0.25">
      <c r="A797" t="s">
        <v>495</v>
      </c>
      <c r="B797" t="s">
        <v>71</v>
      </c>
      <c r="C797" s="82" t="s">
        <v>552</v>
      </c>
      <c r="D797">
        <v>201509</v>
      </c>
      <c r="E797" s="1">
        <v>42243</v>
      </c>
      <c r="F797" s="1">
        <v>42276</v>
      </c>
      <c r="G797" t="s">
        <v>552</v>
      </c>
      <c r="H797" s="81">
        <v>251</v>
      </c>
      <c r="I797" t="s">
        <v>12</v>
      </c>
      <c r="J797" s="3">
        <v>2855.81</v>
      </c>
    </row>
    <row r="798" spans="1:10" x14ac:dyDescent="0.25">
      <c r="A798" t="s">
        <v>495</v>
      </c>
      <c r="B798" t="s">
        <v>71</v>
      </c>
      <c r="C798" s="82" t="s">
        <v>552</v>
      </c>
      <c r="D798">
        <v>201510</v>
      </c>
      <c r="E798" s="1">
        <v>42276</v>
      </c>
      <c r="F798" s="1">
        <v>42305</v>
      </c>
      <c r="G798" t="s">
        <v>552</v>
      </c>
      <c r="H798" s="81">
        <v>284</v>
      </c>
      <c r="I798" t="s">
        <v>12</v>
      </c>
      <c r="J798" s="3">
        <v>2300.2600000000002</v>
      </c>
    </row>
    <row r="799" spans="1:10" x14ac:dyDescent="0.25">
      <c r="A799" t="s">
        <v>495</v>
      </c>
      <c r="B799" t="s">
        <v>71</v>
      </c>
      <c r="C799" s="82" t="s">
        <v>552</v>
      </c>
      <c r="D799">
        <v>201511</v>
      </c>
      <c r="E799" s="1">
        <v>42305</v>
      </c>
      <c r="F799" s="1">
        <v>42339</v>
      </c>
      <c r="G799" t="s">
        <v>552</v>
      </c>
      <c r="H799" s="81">
        <v>326</v>
      </c>
      <c r="I799" t="s">
        <v>12</v>
      </c>
      <c r="J799" s="3">
        <v>2184.96</v>
      </c>
    </row>
    <row r="800" spans="1:10" x14ac:dyDescent="0.25">
      <c r="A800" t="s">
        <v>495</v>
      </c>
      <c r="B800" t="s">
        <v>71</v>
      </c>
      <c r="C800" s="82" t="s">
        <v>552</v>
      </c>
      <c r="D800">
        <v>201512</v>
      </c>
      <c r="E800" s="1">
        <v>42339</v>
      </c>
      <c r="F800" s="1">
        <v>42369</v>
      </c>
      <c r="G800" t="s">
        <v>552</v>
      </c>
      <c r="H800" s="81">
        <v>340</v>
      </c>
      <c r="I800" t="s">
        <v>12</v>
      </c>
      <c r="J800" s="3">
        <v>2082.8200000000002</v>
      </c>
    </row>
    <row r="801" spans="1:10" x14ac:dyDescent="0.25">
      <c r="A801" t="s">
        <v>495</v>
      </c>
      <c r="B801" t="s">
        <v>71</v>
      </c>
      <c r="C801" s="82" t="s">
        <v>552</v>
      </c>
      <c r="D801">
        <v>201601</v>
      </c>
      <c r="E801" s="1">
        <v>42369</v>
      </c>
      <c r="F801" s="1">
        <v>42401</v>
      </c>
      <c r="G801" t="s">
        <v>552</v>
      </c>
      <c r="H801" s="81">
        <v>514</v>
      </c>
      <c r="I801" t="s">
        <v>12</v>
      </c>
      <c r="J801" s="3">
        <v>2735.14</v>
      </c>
    </row>
    <row r="802" spans="1:10" x14ac:dyDescent="0.25">
      <c r="A802" t="s">
        <v>495</v>
      </c>
      <c r="B802" t="s">
        <v>71</v>
      </c>
      <c r="C802" s="82" t="s">
        <v>552</v>
      </c>
      <c r="D802">
        <v>201602</v>
      </c>
      <c r="E802" s="1">
        <v>42401</v>
      </c>
      <c r="F802" s="1">
        <v>42430</v>
      </c>
      <c r="G802" t="s">
        <v>552</v>
      </c>
      <c r="H802" s="81">
        <v>401</v>
      </c>
      <c r="I802" t="s">
        <v>12</v>
      </c>
      <c r="J802" s="3">
        <v>2234.0100000000002</v>
      </c>
    </row>
    <row r="803" spans="1:10" x14ac:dyDescent="0.25">
      <c r="A803" t="s">
        <v>495</v>
      </c>
      <c r="B803" t="s">
        <v>71</v>
      </c>
      <c r="C803" s="82" t="s">
        <v>552</v>
      </c>
      <c r="D803">
        <v>201603</v>
      </c>
      <c r="E803" s="1">
        <v>42430</v>
      </c>
      <c r="F803" s="1">
        <v>42460</v>
      </c>
      <c r="G803" t="s">
        <v>552</v>
      </c>
      <c r="H803" s="81">
        <v>418</v>
      </c>
      <c r="I803" t="s">
        <v>12</v>
      </c>
      <c r="J803" s="3">
        <v>2263.5500000000002</v>
      </c>
    </row>
    <row r="804" spans="1:10" x14ac:dyDescent="0.25">
      <c r="A804" t="s">
        <v>495</v>
      </c>
      <c r="B804" t="s">
        <v>71</v>
      </c>
      <c r="C804" s="82" t="s">
        <v>552</v>
      </c>
      <c r="D804">
        <v>201604</v>
      </c>
      <c r="E804" s="1">
        <v>42460</v>
      </c>
      <c r="F804" s="1">
        <v>42489</v>
      </c>
      <c r="G804" t="s">
        <v>552</v>
      </c>
      <c r="H804" s="81">
        <v>271</v>
      </c>
      <c r="I804" t="s">
        <v>12</v>
      </c>
      <c r="J804" s="3">
        <v>2028.55</v>
      </c>
    </row>
    <row r="805" spans="1:10" x14ac:dyDescent="0.25">
      <c r="A805" t="s">
        <v>495</v>
      </c>
      <c r="B805" t="s">
        <v>71</v>
      </c>
      <c r="C805" s="82" t="s">
        <v>552</v>
      </c>
      <c r="D805">
        <v>201605</v>
      </c>
      <c r="E805" s="1">
        <v>42489</v>
      </c>
      <c r="F805" s="1">
        <v>42521</v>
      </c>
      <c r="G805" t="s">
        <v>552</v>
      </c>
      <c r="H805" s="81">
        <v>181</v>
      </c>
      <c r="I805" t="s">
        <v>12</v>
      </c>
      <c r="J805" s="3">
        <v>1668.31</v>
      </c>
    </row>
    <row r="806" spans="1:10" x14ac:dyDescent="0.25">
      <c r="A806" t="s">
        <v>495</v>
      </c>
      <c r="B806" t="s">
        <v>71</v>
      </c>
      <c r="C806" s="82" t="s">
        <v>552</v>
      </c>
      <c r="D806">
        <v>201606</v>
      </c>
      <c r="E806" s="1">
        <v>42521</v>
      </c>
      <c r="F806" s="1">
        <v>42550</v>
      </c>
      <c r="G806" t="s">
        <v>552</v>
      </c>
      <c r="H806" s="81">
        <v>208</v>
      </c>
      <c r="I806" t="s">
        <v>12</v>
      </c>
      <c r="J806" s="3">
        <v>2267.4</v>
      </c>
    </row>
    <row r="807" spans="1:10" x14ac:dyDescent="0.25">
      <c r="A807" t="s">
        <v>522</v>
      </c>
      <c r="B807" t="s">
        <v>71</v>
      </c>
      <c r="C807" s="82" t="s">
        <v>553</v>
      </c>
      <c r="D807">
        <v>201507</v>
      </c>
      <c r="E807" s="1">
        <v>42185</v>
      </c>
      <c r="F807" s="1">
        <v>42216</v>
      </c>
      <c r="G807" t="s">
        <v>553</v>
      </c>
      <c r="H807" s="81">
        <v>32</v>
      </c>
      <c r="I807" t="s">
        <v>12</v>
      </c>
      <c r="J807" s="3">
        <v>360.93</v>
      </c>
    </row>
    <row r="808" spans="1:10" x14ac:dyDescent="0.25">
      <c r="A808" t="s">
        <v>522</v>
      </c>
      <c r="B808" t="s">
        <v>71</v>
      </c>
      <c r="C808" s="82" t="s">
        <v>553</v>
      </c>
      <c r="D808">
        <v>201508</v>
      </c>
      <c r="E808" s="1">
        <v>42216</v>
      </c>
      <c r="F808" s="1">
        <v>42243</v>
      </c>
      <c r="G808" t="s">
        <v>553</v>
      </c>
      <c r="H808" s="81">
        <v>31</v>
      </c>
      <c r="I808" t="s">
        <v>12</v>
      </c>
      <c r="J808" s="3">
        <v>356.12</v>
      </c>
    </row>
    <row r="809" spans="1:10" x14ac:dyDescent="0.25">
      <c r="A809" t="s">
        <v>522</v>
      </c>
      <c r="B809" t="s">
        <v>71</v>
      </c>
      <c r="C809" s="82" t="s">
        <v>553</v>
      </c>
      <c r="D809">
        <v>201509</v>
      </c>
      <c r="E809" s="1">
        <v>42243</v>
      </c>
      <c r="F809" s="1">
        <v>42276</v>
      </c>
      <c r="G809" t="s">
        <v>553</v>
      </c>
      <c r="H809" s="81">
        <v>38</v>
      </c>
      <c r="I809" t="s">
        <v>12</v>
      </c>
      <c r="J809" s="3">
        <v>432.35</v>
      </c>
    </row>
    <row r="810" spans="1:10" x14ac:dyDescent="0.25">
      <c r="A810" t="s">
        <v>522</v>
      </c>
      <c r="B810" t="s">
        <v>71</v>
      </c>
      <c r="C810" s="82" t="s">
        <v>553</v>
      </c>
      <c r="D810">
        <v>201510</v>
      </c>
      <c r="E810" s="1">
        <v>42276</v>
      </c>
      <c r="F810" s="1">
        <v>42305</v>
      </c>
      <c r="G810" t="s">
        <v>553</v>
      </c>
      <c r="H810" s="81">
        <v>43</v>
      </c>
      <c r="I810" t="s">
        <v>12</v>
      </c>
      <c r="J810" s="3">
        <v>348.28</v>
      </c>
    </row>
    <row r="811" spans="1:10" x14ac:dyDescent="0.25">
      <c r="A811" t="s">
        <v>522</v>
      </c>
      <c r="B811" t="s">
        <v>71</v>
      </c>
      <c r="C811" s="82" t="s">
        <v>553</v>
      </c>
      <c r="D811">
        <v>201511</v>
      </c>
      <c r="E811" s="1">
        <v>42305</v>
      </c>
      <c r="F811" s="1">
        <v>42339</v>
      </c>
      <c r="G811" t="s">
        <v>553</v>
      </c>
      <c r="H811" s="81">
        <v>50</v>
      </c>
      <c r="I811" t="s">
        <v>12</v>
      </c>
      <c r="J811" s="3">
        <v>335.12</v>
      </c>
    </row>
    <row r="812" spans="1:10" x14ac:dyDescent="0.25">
      <c r="A812" t="s">
        <v>522</v>
      </c>
      <c r="B812" t="s">
        <v>71</v>
      </c>
      <c r="C812" s="82" t="s">
        <v>553</v>
      </c>
      <c r="D812">
        <v>201512</v>
      </c>
      <c r="E812" s="1">
        <v>42339</v>
      </c>
      <c r="F812" s="1">
        <v>42369</v>
      </c>
      <c r="G812" t="s">
        <v>553</v>
      </c>
      <c r="H812" s="81">
        <v>52</v>
      </c>
      <c r="I812" t="s">
        <v>12</v>
      </c>
      <c r="J812" s="3">
        <v>318.55</v>
      </c>
    </row>
    <row r="813" spans="1:10" x14ac:dyDescent="0.25">
      <c r="A813" t="s">
        <v>522</v>
      </c>
      <c r="B813" t="s">
        <v>71</v>
      </c>
      <c r="C813" s="82" t="s">
        <v>553</v>
      </c>
      <c r="D813">
        <v>201601</v>
      </c>
      <c r="E813" s="1">
        <v>42369</v>
      </c>
      <c r="F813" s="1">
        <v>42401</v>
      </c>
      <c r="G813" t="s">
        <v>553</v>
      </c>
      <c r="H813" s="81">
        <v>78</v>
      </c>
      <c r="I813" t="s">
        <v>12</v>
      </c>
      <c r="J813" s="3">
        <v>415.06</v>
      </c>
    </row>
    <row r="814" spans="1:10" x14ac:dyDescent="0.25">
      <c r="A814" t="s">
        <v>522</v>
      </c>
      <c r="B814" t="s">
        <v>71</v>
      </c>
      <c r="C814" s="82" t="s">
        <v>553</v>
      </c>
      <c r="D814">
        <v>201602</v>
      </c>
      <c r="E814" s="1">
        <v>42401</v>
      </c>
      <c r="F814" s="1">
        <v>42430</v>
      </c>
      <c r="G814" t="s">
        <v>553</v>
      </c>
      <c r="H814" s="81">
        <v>61</v>
      </c>
      <c r="I814" t="s">
        <v>12</v>
      </c>
      <c r="J814" s="3">
        <v>339.84</v>
      </c>
    </row>
    <row r="815" spans="1:10" x14ac:dyDescent="0.25">
      <c r="A815" t="s">
        <v>522</v>
      </c>
      <c r="B815" t="s">
        <v>71</v>
      </c>
      <c r="C815" s="82" t="s">
        <v>553</v>
      </c>
      <c r="D815">
        <v>201603</v>
      </c>
      <c r="E815" s="1">
        <v>42430</v>
      </c>
      <c r="F815" s="1">
        <v>42460</v>
      </c>
      <c r="G815" t="s">
        <v>553</v>
      </c>
      <c r="H815" s="81">
        <v>64</v>
      </c>
      <c r="I815" t="s">
        <v>12</v>
      </c>
      <c r="J815" s="3">
        <v>346.57</v>
      </c>
    </row>
    <row r="816" spans="1:10" x14ac:dyDescent="0.25">
      <c r="A816" t="s">
        <v>522</v>
      </c>
      <c r="B816" t="s">
        <v>71</v>
      </c>
      <c r="C816" s="82" t="s">
        <v>553</v>
      </c>
      <c r="D816">
        <v>201604</v>
      </c>
      <c r="E816" s="1">
        <v>42460</v>
      </c>
      <c r="F816" s="1">
        <v>42489</v>
      </c>
      <c r="G816" t="s">
        <v>553</v>
      </c>
      <c r="H816" s="81">
        <v>41</v>
      </c>
      <c r="I816" t="s">
        <v>12</v>
      </c>
      <c r="J816" s="3">
        <v>306.89999999999998</v>
      </c>
    </row>
    <row r="817" spans="1:10" x14ac:dyDescent="0.25">
      <c r="A817" t="s">
        <v>522</v>
      </c>
      <c r="B817" t="s">
        <v>71</v>
      </c>
      <c r="C817" s="82" t="s">
        <v>553</v>
      </c>
      <c r="D817">
        <v>201605</v>
      </c>
      <c r="E817" s="1">
        <v>42489</v>
      </c>
      <c r="F817" s="1">
        <v>42521</v>
      </c>
      <c r="G817" t="s">
        <v>553</v>
      </c>
      <c r="H817" s="81">
        <v>28</v>
      </c>
      <c r="I817" t="s">
        <v>12</v>
      </c>
      <c r="J817" s="3">
        <v>258.08</v>
      </c>
    </row>
    <row r="818" spans="1:10" x14ac:dyDescent="0.25">
      <c r="A818" t="s">
        <v>522</v>
      </c>
      <c r="B818" t="s">
        <v>71</v>
      </c>
      <c r="C818" s="82" t="s">
        <v>553</v>
      </c>
      <c r="D818">
        <v>201606</v>
      </c>
      <c r="E818" s="1">
        <v>42521</v>
      </c>
      <c r="F818" s="1">
        <v>42550</v>
      </c>
      <c r="G818" t="s">
        <v>553</v>
      </c>
      <c r="H818" s="81">
        <v>32</v>
      </c>
      <c r="I818" t="s">
        <v>12</v>
      </c>
      <c r="J818" s="3">
        <v>348.83</v>
      </c>
    </row>
    <row r="819" spans="1:10" x14ac:dyDescent="0.25">
      <c r="A819" t="s">
        <v>554</v>
      </c>
      <c r="B819" t="s">
        <v>71</v>
      </c>
      <c r="C819" s="82" t="s">
        <v>555</v>
      </c>
      <c r="D819">
        <v>201507</v>
      </c>
      <c r="E819" s="1">
        <v>42185</v>
      </c>
      <c r="F819" s="1">
        <v>42216</v>
      </c>
      <c r="G819" t="s">
        <v>555</v>
      </c>
      <c r="H819" s="81">
        <v>228</v>
      </c>
      <c r="I819" t="s">
        <v>12</v>
      </c>
      <c r="J819" s="3">
        <v>2571.66</v>
      </c>
    </row>
    <row r="820" spans="1:10" x14ac:dyDescent="0.25">
      <c r="A820" t="s">
        <v>554</v>
      </c>
      <c r="B820" t="s">
        <v>71</v>
      </c>
      <c r="C820" s="82" t="s">
        <v>555</v>
      </c>
      <c r="D820">
        <v>201508</v>
      </c>
      <c r="E820" s="1">
        <v>42216</v>
      </c>
      <c r="F820" s="1">
        <v>42243</v>
      </c>
      <c r="G820" t="s">
        <v>555</v>
      </c>
      <c r="H820" s="81">
        <v>226</v>
      </c>
      <c r="I820" t="s">
        <v>12</v>
      </c>
      <c r="J820" s="3">
        <v>2596.21</v>
      </c>
    </row>
    <row r="821" spans="1:10" x14ac:dyDescent="0.25">
      <c r="A821" t="s">
        <v>554</v>
      </c>
      <c r="B821" t="s">
        <v>71</v>
      </c>
      <c r="C821" s="82" t="s">
        <v>555</v>
      </c>
      <c r="D821">
        <v>201509</v>
      </c>
      <c r="E821" s="1">
        <v>42243</v>
      </c>
      <c r="F821" s="1">
        <v>42276</v>
      </c>
      <c r="G821" t="s">
        <v>555</v>
      </c>
      <c r="H821" s="81">
        <v>276</v>
      </c>
      <c r="I821" t="s">
        <v>12</v>
      </c>
      <c r="J821" s="3">
        <v>3140.25</v>
      </c>
    </row>
    <row r="822" spans="1:10" x14ac:dyDescent="0.25">
      <c r="A822" t="s">
        <v>554</v>
      </c>
      <c r="B822" t="s">
        <v>71</v>
      </c>
      <c r="C822" s="82" t="s">
        <v>555</v>
      </c>
      <c r="D822">
        <v>201510</v>
      </c>
      <c r="E822" s="1">
        <v>42276</v>
      </c>
      <c r="F822" s="1">
        <v>42305</v>
      </c>
      <c r="G822" t="s">
        <v>555</v>
      </c>
      <c r="H822" s="81">
        <v>312</v>
      </c>
      <c r="I822" t="s">
        <v>12</v>
      </c>
      <c r="J822" s="3">
        <v>2527.0500000000002</v>
      </c>
    </row>
    <row r="823" spans="1:10" x14ac:dyDescent="0.25">
      <c r="A823" t="s">
        <v>554</v>
      </c>
      <c r="B823" t="s">
        <v>71</v>
      </c>
      <c r="C823" s="82" t="s">
        <v>555</v>
      </c>
      <c r="D823">
        <v>201511</v>
      </c>
      <c r="E823" s="1">
        <v>42305</v>
      </c>
      <c r="F823" s="1">
        <v>42339</v>
      </c>
      <c r="G823" t="s">
        <v>555</v>
      </c>
      <c r="H823" s="81">
        <v>358</v>
      </c>
      <c r="I823" t="s">
        <v>12</v>
      </c>
      <c r="J823" s="3">
        <v>2399.44</v>
      </c>
    </row>
    <row r="824" spans="1:10" x14ac:dyDescent="0.25">
      <c r="A824" t="s">
        <v>554</v>
      </c>
      <c r="B824" t="s">
        <v>71</v>
      </c>
      <c r="C824" s="82" t="s">
        <v>555</v>
      </c>
      <c r="D824">
        <v>201512</v>
      </c>
      <c r="E824" s="1">
        <v>42339</v>
      </c>
      <c r="F824" s="1">
        <v>42369</v>
      </c>
      <c r="G824" t="s">
        <v>555</v>
      </c>
      <c r="H824" s="81">
        <v>373</v>
      </c>
      <c r="I824" t="s">
        <v>12</v>
      </c>
      <c r="J824" s="3">
        <v>2284.98</v>
      </c>
    </row>
    <row r="825" spans="1:10" x14ac:dyDescent="0.25">
      <c r="A825" t="s">
        <v>554</v>
      </c>
      <c r="B825" t="s">
        <v>71</v>
      </c>
      <c r="C825" s="82" t="s">
        <v>555</v>
      </c>
      <c r="D825">
        <v>201601</v>
      </c>
      <c r="E825" s="1">
        <v>42369</v>
      </c>
      <c r="F825" s="1">
        <v>42401</v>
      </c>
      <c r="G825" t="s">
        <v>555</v>
      </c>
      <c r="H825" s="81">
        <v>564</v>
      </c>
      <c r="I825" t="s">
        <v>12</v>
      </c>
      <c r="J825" s="3">
        <v>3001.2</v>
      </c>
    </row>
    <row r="826" spans="1:10" x14ac:dyDescent="0.25">
      <c r="A826" t="s">
        <v>554</v>
      </c>
      <c r="B826" t="s">
        <v>71</v>
      </c>
      <c r="C826" s="82" t="s">
        <v>555</v>
      </c>
      <c r="D826">
        <v>201602</v>
      </c>
      <c r="E826" s="1">
        <v>42401</v>
      </c>
      <c r="F826" s="1">
        <v>42430</v>
      </c>
      <c r="G826" t="s">
        <v>555</v>
      </c>
      <c r="H826" s="81">
        <v>441</v>
      </c>
      <c r="I826" t="s">
        <v>12</v>
      </c>
      <c r="J826" s="3">
        <v>2456.86</v>
      </c>
    </row>
    <row r="827" spans="1:10" x14ac:dyDescent="0.25">
      <c r="A827" t="s">
        <v>554</v>
      </c>
      <c r="B827" t="s">
        <v>71</v>
      </c>
      <c r="C827" s="82" t="s">
        <v>555</v>
      </c>
      <c r="D827">
        <v>201603</v>
      </c>
      <c r="E827" s="1">
        <v>42430</v>
      </c>
      <c r="F827" s="1">
        <v>42460</v>
      </c>
      <c r="G827" t="s">
        <v>555</v>
      </c>
      <c r="H827" s="81">
        <v>458</v>
      </c>
      <c r="I827" t="s">
        <v>12</v>
      </c>
      <c r="J827" s="3">
        <v>2480.16</v>
      </c>
    </row>
    <row r="828" spans="1:10" x14ac:dyDescent="0.25">
      <c r="A828" t="s">
        <v>554</v>
      </c>
      <c r="B828" t="s">
        <v>71</v>
      </c>
      <c r="C828" s="82" t="s">
        <v>555</v>
      </c>
      <c r="D828">
        <v>201604</v>
      </c>
      <c r="E828" s="1">
        <v>42460</v>
      </c>
      <c r="F828" s="1">
        <v>42489</v>
      </c>
      <c r="G828" t="s">
        <v>555</v>
      </c>
      <c r="H828" s="81">
        <v>298</v>
      </c>
      <c r="I828" t="s">
        <v>12</v>
      </c>
      <c r="J828" s="3">
        <v>2230.65</v>
      </c>
    </row>
    <row r="829" spans="1:10" x14ac:dyDescent="0.25">
      <c r="A829" t="s">
        <v>554</v>
      </c>
      <c r="B829" t="s">
        <v>71</v>
      </c>
      <c r="C829" s="82" t="s">
        <v>555</v>
      </c>
      <c r="D829">
        <v>201605</v>
      </c>
      <c r="E829" s="1">
        <v>42489</v>
      </c>
      <c r="F829" s="1">
        <v>42521</v>
      </c>
      <c r="G829" t="s">
        <v>555</v>
      </c>
      <c r="H829" s="81">
        <v>198</v>
      </c>
      <c r="I829" t="s">
        <v>12</v>
      </c>
      <c r="J829" s="3">
        <v>1825</v>
      </c>
    </row>
    <row r="830" spans="1:10" x14ac:dyDescent="0.25">
      <c r="A830" t="s">
        <v>554</v>
      </c>
      <c r="B830" t="s">
        <v>71</v>
      </c>
      <c r="C830" s="82" t="s">
        <v>555</v>
      </c>
      <c r="D830">
        <v>201606</v>
      </c>
      <c r="E830" s="1">
        <v>42521</v>
      </c>
      <c r="F830" s="1">
        <v>42550</v>
      </c>
      <c r="G830" t="s">
        <v>555</v>
      </c>
      <c r="H830" s="81">
        <v>228</v>
      </c>
      <c r="I830" t="s">
        <v>12</v>
      </c>
      <c r="J830" s="3">
        <v>2485.42</v>
      </c>
    </row>
    <row r="831" spans="1:10" x14ac:dyDescent="0.25">
      <c r="A831" t="s">
        <v>505</v>
      </c>
      <c r="B831" t="s">
        <v>71</v>
      </c>
      <c r="C831" s="82" t="s">
        <v>548</v>
      </c>
      <c r="D831">
        <v>201507</v>
      </c>
      <c r="E831" s="1">
        <v>42185</v>
      </c>
      <c r="F831" s="1">
        <v>42216</v>
      </c>
      <c r="G831" t="s">
        <v>548</v>
      </c>
      <c r="H831" s="81">
        <v>125</v>
      </c>
      <c r="I831" t="s">
        <v>12</v>
      </c>
      <c r="J831" s="3">
        <v>1409.9</v>
      </c>
    </row>
    <row r="832" spans="1:10" x14ac:dyDescent="0.25">
      <c r="A832" t="s">
        <v>505</v>
      </c>
      <c r="B832" t="s">
        <v>71</v>
      </c>
      <c r="C832" s="82" t="s">
        <v>548</v>
      </c>
      <c r="D832">
        <v>201508</v>
      </c>
      <c r="E832" s="1">
        <v>42216</v>
      </c>
      <c r="F832" s="1">
        <v>42243</v>
      </c>
      <c r="G832" t="s">
        <v>548</v>
      </c>
      <c r="H832" s="81">
        <v>124</v>
      </c>
      <c r="I832" t="s">
        <v>12</v>
      </c>
      <c r="J832" s="3">
        <v>1424.47</v>
      </c>
    </row>
    <row r="833" spans="1:10" x14ac:dyDescent="0.25">
      <c r="A833" t="s">
        <v>505</v>
      </c>
      <c r="B833" t="s">
        <v>71</v>
      </c>
      <c r="C833" s="82" t="s">
        <v>548</v>
      </c>
      <c r="D833">
        <v>201509</v>
      </c>
      <c r="E833" s="1">
        <v>42243</v>
      </c>
      <c r="F833" s="1">
        <v>42276</v>
      </c>
      <c r="G833" t="s">
        <v>548</v>
      </c>
      <c r="H833" s="81">
        <v>151</v>
      </c>
      <c r="I833" t="s">
        <v>12</v>
      </c>
      <c r="J833" s="3">
        <v>1718.04</v>
      </c>
    </row>
    <row r="834" spans="1:10" x14ac:dyDescent="0.25">
      <c r="A834" t="s">
        <v>505</v>
      </c>
      <c r="B834" t="s">
        <v>71</v>
      </c>
      <c r="C834" s="82" t="s">
        <v>548</v>
      </c>
      <c r="D834">
        <v>201510</v>
      </c>
      <c r="E834" s="1">
        <v>42276</v>
      </c>
      <c r="F834" s="1">
        <v>42305</v>
      </c>
      <c r="G834" t="s">
        <v>548</v>
      </c>
      <c r="H834" s="81">
        <v>171</v>
      </c>
      <c r="I834" t="s">
        <v>12</v>
      </c>
      <c r="J834" s="3">
        <v>1385.02</v>
      </c>
    </row>
    <row r="835" spans="1:10" x14ac:dyDescent="0.25">
      <c r="A835" t="s">
        <v>505</v>
      </c>
      <c r="B835" t="s">
        <v>71</v>
      </c>
      <c r="C835" s="82" t="s">
        <v>548</v>
      </c>
      <c r="D835">
        <v>201511</v>
      </c>
      <c r="E835" s="1">
        <v>42305</v>
      </c>
      <c r="F835" s="1">
        <v>42339</v>
      </c>
      <c r="G835" t="s">
        <v>548</v>
      </c>
      <c r="H835" s="81">
        <v>196</v>
      </c>
      <c r="I835" t="s">
        <v>12</v>
      </c>
      <c r="J835" s="3">
        <v>1313.66</v>
      </c>
    </row>
    <row r="836" spans="1:10" x14ac:dyDescent="0.25">
      <c r="A836" t="s">
        <v>505</v>
      </c>
      <c r="B836" t="s">
        <v>71</v>
      </c>
      <c r="C836" s="82" t="s">
        <v>548</v>
      </c>
      <c r="D836">
        <v>201512</v>
      </c>
      <c r="E836" s="1">
        <v>42339</v>
      </c>
      <c r="F836" s="1">
        <v>42369</v>
      </c>
      <c r="G836" t="s">
        <v>548</v>
      </c>
      <c r="H836" s="81">
        <v>204</v>
      </c>
      <c r="I836" t="s">
        <v>12</v>
      </c>
      <c r="J836" s="3">
        <v>1249.7</v>
      </c>
    </row>
    <row r="837" spans="1:10" x14ac:dyDescent="0.25">
      <c r="A837" t="s">
        <v>505</v>
      </c>
      <c r="B837" t="s">
        <v>71</v>
      </c>
      <c r="C837" s="82" t="s">
        <v>548</v>
      </c>
      <c r="D837">
        <v>201601</v>
      </c>
      <c r="E837" s="1">
        <v>42369</v>
      </c>
      <c r="F837" s="1">
        <v>42401</v>
      </c>
      <c r="G837" t="s">
        <v>548</v>
      </c>
      <c r="H837" s="81">
        <v>309</v>
      </c>
      <c r="I837" t="s">
        <v>12</v>
      </c>
      <c r="J837" s="3">
        <v>1644.27</v>
      </c>
    </row>
    <row r="838" spans="1:10" x14ac:dyDescent="0.25">
      <c r="A838" t="s">
        <v>505</v>
      </c>
      <c r="B838" t="s">
        <v>71</v>
      </c>
      <c r="C838" s="82" t="s">
        <v>548</v>
      </c>
      <c r="D838">
        <v>201602</v>
      </c>
      <c r="E838" s="1">
        <v>42401</v>
      </c>
      <c r="F838" s="1">
        <v>42430</v>
      </c>
      <c r="G838" t="s">
        <v>548</v>
      </c>
      <c r="H838" s="81">
        <v>241</v>
      </c>
      <c r="I838" t="s">
        <v>12</v>
      </c>
      <c r="J838" s="3">
        <v>1342.64</v>
      </c>
    </row>
    <row r="839" spans="1:10" x14ac:dyDescent="0.25">
      <c r="A839" t="s">
        <v>505</v>
      </c>
      <c r="B839" t="s">
        <v>71</v>
      </c>
      <c r="C839" s="82" t="s">
        <v>548</v>
      </c>
      <c r="D839">
        <v>201603</v>
      </c>
      <c r="E839" s="1">
        <v>42430</v>
      </c>
      <c r="F839" s="1">
        <v>42460</v>
      </c>
      <c r="G839" t="s">
        <v>548</v>
      </c>
      <c r="H839" s="81">
        <v>251</v>
      </c>
      <c r="I839" t="s">
        <v>12</v>
      </c>
      <c r="J839" s="3">
        <v>1359.22</v>
      </c>
    </row>
    <row r="840" spans="1:10" x14ac:dyDescent="0.25">
      <c r="A840" t="s">
        <v>505</v>
      </c>
      <c r="B840" t="s">
        <v>71</v>
      </c>
      <c r="C840" s="82" t="s">
        <v>548</v>
      </c>
      <c r="D840">
        <v>201604</v>
      </c>
      <c r="E840" s="1">
        <v>42460</v>
      </c>
      <c r="F840" s="1">
        <v>42489</v>
      </c>
      <c r="G840" t="s">
        <v>548</v>
      </c>
      <c r="H840" s="81">
        <v>163</v>
      </c>
      <c r="I840" t="s">
        <v>12</v>
      </c>
      <c r="J840" s="3">
        <v>1220.1199999999999</v>
      </c>
    </row>
    <row r="841" spans="1:10" x14ac:dyDescent="0.25">
      <c r="A841" t="s">
        <v>505</v>
      </c>
      <c r="B841" t="s">
        <v>71</v>
      </c>
      <c r="C841" s="82" t="s">
        <v>548</v>
      </c>
      <c r="D841">
        <v>201605</v>
      </c>
      <c r="E841" s="1">
        <v>42489</v>
      </c>
      <c r="F841" s="1">
        <v>42521</v>
      </c>
      <c r="G841" t="s">
        <v>548</v>
      </c>
      <c r="H841" s="81">
        <v>109</v>
      </c>
      <c r="I841" t="s">
        <v>12</v>
      </c>
      <c r="J841" s="3">
        <v>1004.67</v>
      </c>
    </row>
    <row r="842" spans="1:10" x14ac:dyDescent="0.25">
      <c r="A842" t="s">
        <v>505</v>
      </c>
      <c r="B842" t="s">
        <v>71</v>
      </c>
      <c r="C842" s="82" t="s">
        <v>548</v>
      </c>
      <c r="D842">
        <v>201606</v>
      </c>
      <c r="E842" s="1">
        <v>42521</v>
      </c>
      <c r="F842" s="1">
        <v>42550</v>
      </c>
      <c r="G842" t="s">
        <v>548</v>
      </c>
      <c r="H842" s="81">
        <v>125</v>
      </c>
      <c r="I842" t="s">
        <v>12</v>
      </c>
      <c r="J842" s="3">
        <v>1362.62</v>
      </c>
    </row>
    <row r="843" spans="1:10" x14ac:dyDescent="0.25">
      <c r="A843" t="s">
        <v>526</v>
      </c>
      <c r="B843" t="s">
        <v>71</v>
      </c>
      <c r="C843" s="82" t="s">
        <v>556</v>
      </c>
      <c r="D843">
        <v>201507</v>
      </c>
      <c r="E843" s="1">
        <v>42185</v>
      </c>
      <c r="F843" s="1">
        <v>42216</v>
      </c>
      <c r="G843" t="s">
        <v>556</v>
      </c>
      <c r="H843" s="81">
        <v>628</v>
      </c>
      <c r="I843" t="s">
        <v>12</v>
      </c>
      <c r="J843" s="3">
        <v>7083.35</v>
      </c>
    </row>
    <row r="844" spans="1:10" x14ac:dyDescent="0.25">
      <c r="A844" t="s">
        <v>526</v>
      </c>
      <c r="B844" t="s">
        <v>71</v>
      </c>
      <c r="C844" s="82" t="s">
        <v>556</v>
      </c>
      <c r="D844">
        <v>201508</v>
      </c>
      <c r="E844" s="1">
        <v>42216</v>
      </c>
      <c r="F844" s="1">
        <v>42243</v>
      </c>
      <c r="G844" t="s">
        <v>556</v>
      </c>
      <c r="H844" s="81">
        <v>622</v>
      </c>
      <c r="I844" t="s">
        <v>12</v>
      </c>
      <c r="J844" s="3">
        <v>7145.31</v>
      </c>
    </row>
    <row r="845" spans="1:10" x14ac:dyDescent="0.25">
      <c r="A845" t="s">
        <v>526</v>
      </c>
      <c r="B845" t="s">
        <v>71</v>
      </c>
      <c r="C845" s="82" t="s">
        <v>556</v>
      </c>
      <c r="D845">
        <v>201509</v>
      </c>
      <c r="E845" s="1">
        <v>42243</v>
      </c>
      <c r="F845" s="1">
        <v>42276</v>
      </c>
      <c r="G845" t="s">
        <v>556</v>
      </c>
      <c r="H845" s="81">
        <v>759</v>
      </c>
      <c r="I845" t="s">
        <v>12</v>
      </c>
      <c r="J845" s="3">
        <v>8635.69</v>
      </c>
    </row>
    <row r="846" spans="1:10" x14ac:dyDescent="0.25">
      <c r="A846" t="s">
        <v>526</v>
      </c>
      <c r="B846" t="s">
        <v>71</v>
      </c>
      <c r="C846" s="82" t="s">
        <v>556</v>
      </c>
      <c r="D846">
        <v>201510</v>
      </c>
      <c r="E846" s="1">
        <v>42276</v>
      </c>
      <c r="F846" s="1">
        <v>42305</v>
      </c>
      <c r="G846" t="s">
        <v>556</v>
      </c>
      <c r="H846" s="81">
        <v>859</v>
      </c>
      <c r="I846" t="s">
        <v>12</v>
      </c>
      <c r="J846" s="3">
        <v>6957.48</v>
      </c>
    </row>
    <row r="847" spans="1:10" x14ac:dyDescent="0.25">
      <c r="A847" t="s">
        <v>526</v>
      </c>
      <c r="B847" t="s">
        <v>71</v>
      </c>
      <c r="C847" s="82" t="s">
        <v>556</v>
      </c>
      <c r="D847">
        <v>201511</v>
      </c>
      <c r="E847" s="1">
        <v>42305</v>
      </c>
      <c r="F847" s="1">
        <v>42339</v>
      </c>
      <c r="G847" t="s">
        <v>556</v>
      </c>
      <c r="H847" s="81">
        <v>985</v>
      </c>
      <c r="I847" t="s">
        <v>12</v>
      </c>
      <c r="J847" s="3">
        <v>6601.8</v>
      </c>
    </row>
    <row r="848" spans="1:10" x14ac:dyDescent="0.25">
      <c r="A848" t="s">
        <v>526</v>
      </c>
      <c r="B848" t="s">
        <v>71</v>
      </c>
      <c r="C848" s="82" t="s">
        <v>556</v>
      </c>
      <c r="D848">
        <v>201512</v>
      </c>
      <c r="E848" s="1">
        <v>42339</v>
      </c>
      <c r="F848" s="1">
        <v>42369</v>
      </c>
      <c r="G848" t="s">
        <v>556</v>
      </c>
      <c r="H848" s="81">
        <v>1027</v>
      </c>
      <c r="I848" t="s">
        <v>12</v>
      </c>
      <c r="J848" s="3">
        <v>6291.36</v>
      </c>
    </row>
    <row r="849" spans="1:10" x14ac:dyDescent="0.25">
      <c r="A849" t="s">
        <v>526</v>
      </c>
      <c r="B849" t="s">
        <v>71</v>
      </c>
      <c r="C849" s="82" t="s">
        <v>556</v>
      </c>
      <c r="D849">
        <v>201601</v>
      </c>
      <c r="E849" s="1">
        <v>42369</v>
      </c>
      <c r="F849" s="1">
        <v>42401</v>
      </c>
      <c r="G849" t="s">
        <v>556</v>
      </c>
      <c r="H849" s="81">
        <v>1552</v>
      </c>
      <c r="I849" t="s">
        <v>12</v>
      </c>
      <c r="J849" s="3">
        <v>8258.6200000000008</v>
      </c>
    </row>
    <row r="850" spans="1:10" x14ac:dyDescent="0.25">
      <c r="A850" t="s">
        <v>526</v>
      </c>
      <c r="B850" t="s">
        <v>71</v>
      </c>
      <c r="C850" s="82" t="s">
        <v>556</v>
      </c>
      <c r="D850">
        <v>201602</v>
      </c>
      <c r="E850" s="1">
        <v>42401</v>
      </c>
      <c r="F850" s="1">
        <v>42430</v>
      </c>
      <c r="G850" t="s">
        <v>556</v>
      </c>
      <c r="H850" s="81">
        <v>1213</v>
      </c>
      <c r="I850" t="s">
        <v>12</v>
      </c>
      <c r="J850" s="3">
        <v>6757.75</v>
      </c>
    </row>
    <row r="851" spans="1:10" x14ac:dyDescent="0.25">
      <c r="A851" t="s">
        <v>526</v>
      </c>
      <c r="B851" t="s">
        <v>71</v>
      </c>
      <c r="C851" s="82" t="s">
        <v>556</v>
      </c>
      <c r="D851">
        <v>201603</v>
      </c>
      <c r="E851" s="1">
        <v>42430</v>
      </c>
      <c r="F851" s="1">
        <v>42460</v>
      </c>
      <c r="G851" t="s">
        <v>556</v>
      </c>
      <c r="H851" s="81">
        <v>1261</v>
      </c>
      <c r="I851" t="s">
        <v>12</v>
      </c>
      <c r="J851" s="3">
        <v>6828.57</v>
      </c>
    </row>
    <row r="852" spans="1:10" x14ac:dyDescent="0.25">
      <c r="A852" t="s">
        <v>526</v>
      </c>
      <c r="B852" t="s">
        <v>71</v>
      </c>
      <c r="C852" s="82" t="s">
        <v>556</v>
      </c>
      <c r="D852">
        <v>201604</v>
      </c>
      <c r="E852" s="1">
        <v>42460</v>
      </c>
      <c r="F852" s="1">
        <v>42489</v>
      </c>
      <c r="G852" t="s">
        <v>556</v>
      </c>
      <c r="H852" s="81">
        <v>819</v>
      </c>
      <c r="I852" t="s">
        <v>12</v>
      </c>
      <c r="J852" s="3">
        <v>6130.56</v>
      </c>
    </row>
    <row r="853" spans="1:10" x14ac:dyDescent="0.25">
      <c r="A853" t="s">
        <v>526</v>
      </c>
      <c r="B853" t="s">
        <v>71</v>
      </c>
      <c r="C853" s="82" t="s">
        <v>556</v>
      </c>
      <c r="D853">
        <v>201605</v>
      </c>
      <c r="E853" s="1">
        <v>42489</v>
      </c>
      <c r="F853" s="1">
        <v>42521</v>
      </c>
      <c r="G853" t="s">
        <v>556</v>
      </c>
      <c r="H853" s="81">
        <v>546</v>
      </c>
      <c r="I853" t="s">
        <v>12</v>
      </c>
      <c r="J853" s="3">
        <v>5032.57</v>
      </c>
    </row>
    <row r="854" spans="1:10" x14ac:dyDescent="0.25">
      <c r="A854" t="s">
        <v>526</v>
      </c>
      <c r="B854" t="s">
        <v>71</v>
      </c>
      <c r="C854" s="82" t="s">
        <v>556</v>
      </c>
      <c r="D854">
        <v>201606</v>
      </c>
      <c r="E854" s="1">
        <v>42521</v>
      </c>
      <c r="F854" s="1">
        <v>42550</v>
      </c>
      <c r="G854" t="s">
        <v>556</v>
      </c>
      <c r="H854" s="81">
        <v>628</v>
      </c>
      <c r="I854" t="s">
        <v>12</v>
      </c>
      <c r="J854" s="3">
        <v>6845.8</v>
      </c>
    </row>
    <row r="855" spans="1:10" x14ac:dyDescent="0.25">
      <c r="A855" t="s">
        <v>113</v>
      </c>
      <c r="B855" t="s">
        <v>71</v>
      </c>
      <c r="C855" s="82" t="s">
        <v>558</v>
      </c>
      <c r="D855">
        <v>201507</v>
      </c>
      <c r="E855" s="1">
        <v>42185</v>
      </c>
      <c r="F855" s="1">
        <v>42216</v>
      </c>
      <c r="G855" t="s">
        <v>558</v>
      </c>
      <c r="H855" s="81">
        <v>391</v>
      </c>
      <c r="I855" t="s">
        <v>12</v>
      </c>
      <c r="J855" s="3">
        <v>4410.17</v>
      </c>
    </row>
    <row r="856" spans="1:10" x14ac:dyDescent="0.25">
      <c r="A856" t="s">
        <v>113</v>
      </c>
      <c r="B856" t="s">
        <v>71</v>
      </c>
      <c r="C856" s="82" t="s">
        <v>558</v>
      </c>
      <c r="D856">
        <v>201508</v>
      </c>
      <c r="E856" s="1">
        <v>42216</v>
      </c>
      <c r="F856" s="1">
        <v>42243</v>
      </c>
      <c r="G856" t="s">
        <v>558</v>
      </c>
      <c r="H856" s="81">
        <v>387</v>
      </c>
      <c r="I856" t="s">
        <v>12</v>
      </c>
      <c r="J856" s="3">
        <v>4445.72</v>
      </c>
    </row>
    <row r="857" spans="1:10" x14ac:dyDescent="0.25">
      <c r="A857" t="s">
        <v>113</v>
      </c>
      <c r="B857" t="s">
        <v>71</v>
      </c>
      <c r="C857" s="82" t="s">
        <v>558</v>
      </c>
      <c r="D857">
        <v>201509</v>
      </c>
      <c r="E857" s="1">
        <v>42243</v>
      </c>
      <c r="F857" s="1">
        <v>42276</v>
      </c>
      <c r="G857" t="s">
        <v>558</v>
      </c>
      <c r="H857" s="81">
        <v>473</v>
      </c>
      <c r="I857" t="s">
        <v>12</v>
      </c>
      <c r="J857" s="3">
        <v>5381.66</v>
      </c>
    </row>
    <row r="858" spans="1:10" x14ac:dyDescent="0.25">
      <c r="A858" t="s">
        <v>113</v>
      </c>
      <c r="B858" t="s">
        <v>71</v>
      </c>
      <c r="C858" s="82" t="s">
        <v>558</v>
      </c>
      <c r="D858">
        <v>201510</v>
      </c>
      <c r="E858" s="1">
        <v>42276</v>
      </c>
      <c r="F858" s="1">
        <v>42305</v>
      </c>
      <c r="G858" t="s">
        <v>558</v>
      </c>
      <c r="H858" s="81">
        <v>535</v>
      </c>
      <c r="I858" t="s">
        <v>12</v>
      </c>
      <c r="J858" s="3">
        <v>4333.24</v>
      </c>
    </row>
    <row r="859" spans="1:10" x14ac:dyDescent="0.25">
      <c r="A859" t="s">
        <v>113</v>
      </c>
      <c r="B859" t="s">
        <v>71</v>
      </c>
      <c r="C859" s="82" t="s">
        <v>558</v>
      </c>
      <c r="D859">
        <v>201511</v>
      </c>
      <c r="E859" s="1">
        <v>42305</v>
      </c>
      <c r="F859" s="1">
        <v>42339</v>
      </c>
      <c r="G859" t="s">
        <v>558</v>
      </c>
      <c r="H859" s="81">
        <v>614</v>
      </c>
      <c r="I859" t="s">
        <v>12</v>
      </c>
      <c r="J859" s="3">
        <v>4115.2299999999996</v>
      </c>
    </row>
    <row r="860" spans="1:10" x14ac:dyDescent="0.25">
      <c r="A860" t="s">
        <v>113</v>
      </c>
      <c r="B860" t="s">
        <v>71</v>
      </c>
      <c r="C860" s="82" t="s">
        <v>558</v>
      </c>
      <c r="D860">
        <v>201512</v>
      </c>
      <c r="E860" s="1">
        <v>42339</v>
      </c>
      <c r="F860" s="1">
        <v>42369</v>
      </c>
      <c r="G860" t="s">
        <v>558</v>
      </c>
      <c r="H860" s="81">
        <v>640</v>
      </c>
      <c r="I860" t="s">
        <v>12</v>
      </c>
      <c r="J860" s="3">
        <v>3920.61</v>
      </c>
    </row>
    <row r="861" spans="1:10" x14ac:dyDescent="0.25">
      <c r="A861" t="s">
        <v>113</v>
      </c>
      <c r="B861" t="s">
        <v>71</v>
      </c>
      <c r="C861" s="82" t="s">
        <v>558</v>
      </c>
      <c r="D861">
        <v>201601</v>
      </c>
      <c r="E861" s="1">
        <v>42369</v>
      </c>
      <c r="F861" s="1">
        <v>42401</v>
      </c>
      <c r="G861" t="s">
        <v>558</v>
      </c>
      <c r="H861" s="81">
        <v>967</v>
      </c>
      <c r="I861" t="s">
        <v>12</v>
      </c>
      <c r="J861" s="3">
        <v>5145.68</v>
      </c>
    </row>
    <row r="862" spans="1:10" x14ac:dyDescent="0.25">
      <c r="A862" t="s">
        <v>113</v>
      </c>
      <c r="B862" t="s">
        <v>71</v>
      </c>
      <c r="C862" s="82" t="s">
        <v>558</v>
      </c>
      <c r="D862">
        <v>201602</v>
      </c>
      <c r="E862" s="1">
        <v>42401</v>
      </c>
      <c r="F862" s="1">
        <v>42430</v>
      </c>
      <c r="G862" t="s">
        <v>558</v>
      </c>
      <c r="H862" s="81">
        <v>755</v>
      </c>
      <c r="I862" t="s">
        <v>12</v>
      </c>
      <c r="J862" s="3">
        <v>4206.18</v>
      </c>
    </row>
    <row r="863" spans="1:10" x14ac:dyDescent="0.25">
      <c r="A863" t="s">
        <v>113</v>
      </c>
      <c r="B863" t="s">
        <v>71</v>
      </c>
      <c r="C863" s="82" t="s">
        <v>558</v>
      </c>
      <c r="D863">
        <v>201603</v>
      </c>
      <c r="E863" s="1">
        <v>42430</v>
      </c>
      <c r="F863" s="1">
        <v>42460</v>
      </c>
      <c r="G863" t="s">
        <v>558</v>
      </c>
      <c r="H863" s="81">
        <v>786</v>
      </c>
      <c r="I863" t="s">
        <v>12</v>
      </c>
      <c r="J863" s="3">
        <v>4256.3500000000004</v>
      </c>
    </row>
    <row r="864" spans="1:10" x14ac:dyDescent="0.25">
      <c r="A864" t="s">
        <v>113</v>
      </c>
      <c r="B864" t="s">
        <v>71</v>
      </c>
      <c r="C864" s="82" t="s">
        <v>558</v>
      </c>
      <c r="D864">
        <v>201604</v>
      </c>
      <c r="E864" s="1">
        <v>42460</v>
      </c>
      <c r="F864" s="1">
        <v>42489</v>
      </c>
      <c r="G864" t="s">
        <v>558</v>
      </c>
      <c r="H864" s="81">
        <v>510</v>
      </c>
      <c r="I864" t="s">
        <v>12</v>
      </c>
      <c r="J864" s="3">
        <v>3817.56</v>
      </c>
    </row>
    <row r="865" spans="1:10" x14ac:dyDescent="0.25">
      <c r="A865" t="s">
        <v>113</v>
      </c>
      <c r="B865" t="s">
        <v>71</v>
      </c>
      <c r="C865" s="82" t="s">
        <v>558</v>
      </c>
      <c r="D865">
        <v>201605</v>
      </c>
      <c r="E865" s="1">
        <v>42489</v>
      </c>
      <c r="F865" s="1">
        <v>42521</v>
      </c>
      <c r="G865" t="s">
        <v>558</v>
      </c>
      <c r="H865" s="81">
        <v>340</v>
      </c>
      <c r="I865" t="s">
        <v>12</v>
      </c>
      <c r="J865" s="3">
        <v>3133.84</v>
      </c>
    </row>
    <row r="866" spans="1:10" x14ac:dyDescent="0.25">
      <c r="A866" t="s">
        <v>113</v>
      </c>
      <c r="B866" t="s">
        <v>71</v>
      </c>
      <c r="C866" s="82" t="s">
        <v>558</v>
      </c>
      <c r="D866">
        <v>201606</v>
      </c>
      <c r="E866" s="1">
        <v>42521</v>
      </c>
      <c r="F866" s="1">
        <v>42550</v>
      </c>
      <c r="G866" t="s">
        <v>558</v>
      </c>
      <c r="H866" s="81">
        <v>392</v>
      </c>
      <c r="I866" t="s">
        <v>12</v>
      </c>
      <c r="J866" s="3">
        <v>4273.17</v>
      </c>
    </row>
    <row r="867" spans="1:10" x14ac:dyDescent="0.25">
      <c r="A867" t="s">
        <v>528</v>
      </c>
      <c r="B867" t="s">
        <v>71</v>
      </c>
      <c r="C867" s="82" t="s">
        <v>557</v>
      </c>
      <c r="D867">
        <v>201507</v>
      </c>
      <c r="E867" s="1">
        <v>42185</v>
      </c>
      <c r="F867" s="1">
        <v>42216</v>
      </c>
      <c r="G867" t="s">
        <v>557</v>
      </c>
      <c r="H867" s="81">
        <v>384</v>
      </c>
      <c r="I867" t="s">
        <v>12</v>
      </c>
      <c r="J867" s="3">
        <v>4331.22</v>
      </c>
    </row>
    <row r="868" spans="1:10" x14ac:dyDescent="0.25">
      <c r="A868" t="s">
        <v>528</v>
      </c>
      <c r="B868" t="s">
        <v>71</v>
      </c>
      <c r="C868" s="82" t="s">
        <v>557</v>
      </c>
      <c r="D868">
        <v>201508</v>
      </c>
      <c r="E868" s="1">
        <v>42216</v>
      </c>
      <c r="F868" s="1">
        <v>42243</v>
      </c>
      <c r="G868" t="s">
        <v>557</v>
      </c>
      <c r="H868" s="81">
        <v>381</v>
      </c>
      <c r="I868" t="s">
        <v>12</v>
      </c>
      <c r="J868" s="3">
        <v>4376.79</v>
      </c>
    </row>
    <row r="869" spans="1:10" x14ac:dyDescent="0.25">
      <c r="A869" t="s">
        <v>528</v>
      </c>
      <c r="B869" t="s">
        <v>71</v>
      </c>
      <c r="C869" s="82" t="s">
        <v>557</v>
      </c>
      <c r="D869">
        <v>201509</v>
      </c>
      <c r="E869" s="1">
        <v>42243</v>
      </c>
      <c r="F869" s="1">
        <v>42276</v>
      </c>
      <c r="G869" t="s">
        <v>557</v>
      </c>
      <c r="H869" s="81">
        <v>465</v>
      </c>
      <c r="I869" t="s">
        <v>12</v>
      </c>
      <c r="J869" s="3">
        <v>5290.64</v>
      </c>
    </row>
    <row r="870" spans="1:10" x14ac:dyDescent="0.25">
      <c r="A870" t="s">
        <v>528</v>
      </c>
      <c r="B870" t="s">
        <v>71</v>
      </c>
      <c r="C870" s="82" t="s">
        <v>557</v>
      </c>
      <c r="D870">
        <v>201510</v>
      </c>
      <c r="E870" s="1">
        <v>42276</v>
      </c>
      <c r="F870" s="1">
        <v>42305</v>
      </c>
      <c r="G870" t="s">
        <v>557</v>
      </c>
      <c r="H870" s="81">
        <v>526</v>
      </c>
      <c r="I870" t="s">
        <v>12</v>
      </c>
      <c r="J870" s="3">
        <v>4260.34</v>
      </c>
    </row>
    <row r="871" spans="1:10" x14ac:dyDescent="0.25">
      <c r="A871" t="s">
        <v>528</v>
      </c>
      <c r="B871" t="s">
        <v>71</v>
      </c>
      <c r="C871" s="82" t="s">
        <v>557</v>
      </c>
      <c r="D871">
        <v>201511</v>
      </c>
      <c r="E871" s="1">
        <v>42305</v>
      </c>
      <c r="F871" s="1">
        <v>42339</v>
      </c>
      <c r="G871" t="s">
        <v>557</v>
      </c>
      <c r="H871" s="81">
        <v>603</v>
      </c>
      <c r="I871" t="s">
        <v>12</v>
      </c>
      <c r="J871" s="3">
        <v>4041.51</v>
      </c>
    </row>
    <row r="872" spans="1:10" x14ac:dyDescent="0.25">
      <c r="A872" t="s">
        <v>528</v>
      </c>
      <c r="B872" t="s">
        <v>71</v>
      </c>
      <c r="C872" s="82" t="s">
        <v>557</v>
      </c>
      <c r="D872">
        <v>201512</v>
      </c>
      <c r="E872" s="1">
        <v>42339</v>
      </c>
      <c r="F872" s="1">
        <v>42369</v>
      </c>
      <c r="G872" t="s">
        <v>557</v>
      </c>
      <c r="H872" s="81">
        <v>629</v>
      </c>
      <c r="I872" t="s">
        <v>12</v>
      </c>
      <c r="J872" s="3">
        <v>3853.23</v>
      </c>
    </row>
    <row r="873" spans="1:10" x14ac:dyDescent="0.25">
      <c r="A873" t="s">
        <v>528</v>
      </c>
      <c r="B873" t="s">
        <v>71</v>
      </c>
      <c r="C873" s="82" t="s">
        <v>557</v>
      </c>
      <c r="D873">
        <v>201601</v>
      </c>
      <c r="E873" s="1">
        <v>42369</v>
      </c>
      <c r="F873" s="1">
        <v>42401</v>
      </c>
      <c r="G873" t="s">
        <v>557</v>
      </c>
      <c r="H873" s="81">
        <v>950</v>
      </c>
      <c r="I873" t="s">
        <v>12</v>
      </c>
      <c r="J873" s="3">
        <v>5055.21</v>
      </c>
    </row>
    <row r="874" spans="1:10" x14ac:dyDescent="0.25">
      <c r="A874" t="s">
        <v>528</v>
      </c>
      <c r="B874" t="s">
        <v>71</v>
      </c>
      <c r="C874" s="82" t="s">
        <v>557</v>
      </c>
      <c r="D874">
        <v>201602</v>
      </c>
      <c r="E874" s="1">
        <v>42401</v>
      </c>
      <c r="F874" s="1">
        <v>42430</v>
      </c>
      <c r="G874" t="s">
        <v>557</v>
      </c>
      <c r="H874" s="81">
        <v>742</v>
      </c>
      <c r="I874" t="s">
        <v>12</v>
      </c>
      <c r="J874" s="3">
        <v>4133.76</v>
      </c>
    </row>
    <row r="875" spans="1:10" x14ac:dyDescent="0.25">
      <c r="A875" t="s">
        <v>528</v>
      </c>
      <c r="B875" t="s">
        <v>71</v>
      </c>
      <c r="C875" s="82" t="s">
        <v>557</v>
      </c>
      <c r="D875">
        <v>201603</v>
      </c>
      <c r="E875" s="1">
        <v>42430</v>
      </c>
      <c r="F875" s="1">
        <v>42460</v>
      </c>
      <c r="G875" t="s">
        <v>557</v>
      </c>
      <c r="H875" s="81">
        <v>772</v>
      </c>
      <c r="I875" t="s">
        <v>12</v>
      </c>
      <c r="J875" s="3">
        <v>4180.53</v>
      </c>
    </row>
    <row r="876" spans="1:10" x14ac:dyDescent="0.25">
      <c r="A876" t="s">
        <v>528</v>
      </c>
      <c r="B876" t="s">
        <v>71</v>
      </c>
      <c r="C876" s="82" t="s">
        <v>557</v>
      </c>
      <c r="D876">
        <v>201604</v>
      </c>
      <c r="E876" s="1">
        <v>42460</v>
      </c>
      <c r="F876" s="1">
        <v>42489</v>
      </c>
      <c r="G876" t="s">
        <v>557</v>
      </c>
      <c r="H876" s="81">
        <v>501</v>
      </c>
      <c r="I876" t="s">
        <v>12</v>
      </c>
      <c r="J876" s="3">
        <v>3750.19</v>
      </c>
    </row>
    <row r="877" spans="1:10" x14ac:dyDescent="0.25">
      <c r="A877" t="s">
        <v>528</v>
      </c>
      <c r="B877" t="s">
        <v>71</v>
      </c>
      <c r="C877" s="82" t="s">
        <v>557</v>
      </c>
      <c r="D877">
        <v>201605</v>
      </c>
      <c r="E877" s="1">
        <v>42489</v>
      </c>
      <c r="F877" s="1">
        <v>42521</v>
      </c>
      <c r="G877" t="s">
        <v>557</v>
      </c>
      <c r="H877" s="81">
        <v>334</v>
      </c>
      <c r="I877" t="s">
        <v>12</v>
      </c>
      <c r="J877" s="3">
        <v>3078.53</v>
      </c>
    </row>
    <row r="878" spans="1:10" x14ac:dyDescent="0.25">
      <c r="A878" t="s">
        <v>528</v>
      </c>
      <c r="B878" t="s">
        <v>71</v>
      </c>
      <c r="C878" s="82" t="s">
        <v>557</v>
      </c>
      <c r="D878">
        <v>201606</v>
      </c>
      <c r="E878" s="1">
        <v>42521</v>
      </c>
      <c r="F878" s="1">
        <v>42550</v>
      </c>
      <c r="G878" t="s">
        <v>557</v>
      </c>
      <c r="H878" s="81">
        <v>385</v>
      </c>
      <c r="I878" t="s">
        <v>12</v>
      </c>
      <c r="J878" s="3">
        <v>4196.87</v>
      </c>
    </row>
    <row r="879" spans="1:10" x14ac:dyDescent="0.25">
      <c r="A879" t="s">
        <v>676</v>
      </c>
      <c r="B879" t="s">
        <v>71</v>
      </c>
      <c r="C879" s="82" t="s">
        <v>700</v>
      </c>
      <c r="D879">
        <v>201507</v>
      </c>
      <c r="E879" s="1">
        <v>42185</v>
      </c>
      <c r="F879" s="1">
        <v>42216</v>
      </c>
      <c r="G879" t="s">
        <v>701</v>
      </c>
      <c r="H879" s="81">
        <v>734</v>
      </c>
      <c r="I879" t="s">
        <v>12</v>
      </c>
      <c r="J879" s="3">
        <v>8278.94</v>
      </c>
    </row>
    <row r="880" spans="1:10" x14ac:dyDescent="0.25">
      <c r="A880" t="s">
        <v>676</v>
      </c>
      <c r="B880" t="s">
        <v>71</v>
      </c>
      <c r="C880" s="82" t="s">
        <v>700</v>
      </c>
      <c r="D880">
        <v>201508</v>
      </c>
      <c r="E880" s="1">
        <v>42216</v>
      </c>
      <c r="F880" s="1">
        <v>42243</v>
      </c>
      <c r="G880" t="s">
        <v>701</v>
      </c>
      <c r="H880" s="81">
        <v>727</v>
      </c>
      <c r="I880" t="s">
        <v>12</v>
      </c>
      <c r="J880" s="3">
        <v>8351.51</v>
      </c>
    </row>
    <row r="881" spans="1:10" x14ac:dyDescent="0.25">
      <c r="A881" t="s">
        <v>676</v>
      </c>
      <c r="B881" t="s">
        <v>71</v>
      </c>
      <c r="C881" s="82" t="s">
        <v>700</v>
      </c>
      <c r="D881">
        <v>201509</v>
      </c>
      <c r="E881" s="1">
        <v>42243</v>
      </c>
      <c r="F881" s="1">
        <v>42276</v>
      </c>
      <c r="G881" t="s">
        <v>701</v>
      </c>
      <c r="H881" s="81">
        <v>888</v>
      </c>
      <c r="I881" t="s">
        <v>12</v>
      </c>
      <c r="J881" s="3">
        <v>10103.42</v>
      </c>
    </row>
    <row r="882" spans="1:10" x14ac:dyDescent="0.25">
      <c r="A882" t="s">
        <v>676</v>
      </c>
      <c r="B882" t="s">
        <v>71</v>
      </c>
      <c r="C882" s="82" t="s">
        <v>700</v>
      </c>
      <c r="D882">
        <v>201510</v>
      </c>
      <c r="E882" s="1">
        <v>42276</v>
      </c>
      <c r="F882" s="1">
        <v>42305</v>
      </c>
      <c r="G882" t="s">
        <v>701</v>
      </c>
      <c r="H882" s="81">
        <v>1004</v>
      </c>
      <c r="I882" t="s">
        <v>12</v>
      </c>
      <c r="J882" s="3">
        <v>8131.9</v>
      </c>
    </row>
    <row r="883" spans="1:10" x14ac:dyDescent="0.25">
      <c r="A883" t="s">
        <v>676</v>
      </c>
      <c r="B883" t="s">
        <v>71</v>
      </c>
      <c r="C883" s="82" t="s">
        <v>700</v>
      </c>
      <c r="D883">
        <v>201511</v>
      </c>
      <c r="E883" s="1">
        <v>42305</v>
      </c>
      <c r="F883" s="1">
        <v>42339</v>
      </c>
      <c r="G883" t="s">
        <v>701</v>
      </c>
      <c r="H883" s="81">
        <v>1152</v>
      </c>
      <c r="I883" t="s">
        <v>12</v>
      </c>
      <c r="J883" s="3">
        <v>7721.09</v>
      </c>
    </row>
    <row r="884" spans="1:10" x14ac:dyDescent="0.25">
      <c r="A884" t="s">
        <v>676</v>
      </c>
      <c r="B884" t="s">
        <v>71</v>
      </c>
      <c r="C884" s="82" t="s">
        <v>700</v>
      </c>
      <c r="D884">
        <v>201512</v>
      </c>
      <c r="E884" s="1">
        <v>42339</v>
      </c>
      <c r="F884" s="1">
        <v>42369</v>
      </c>
      <c r="G884" t="s">
        <v>701</v>
      </c>
      <c r="H884" s="81">
        <v>1201</v>
      </c>
      <c r="I884" t="s">
        <v>12</v>
      </c>
      <c r="J884" s="3">
        <v>7357.27</v>
      </c>
    </row>
    <row r="885" spans="1:10" x14ac:dyDescent="0.25">
      <c r="A885" t="s">
        <v>676</v>
      </c>
      <c r="B885" t="s">
        <v>71</v>
      </c>
      <c r="C885" s="82" t="s">
        <v>700</v>
      </c>
      <c r="D885">
        <v>201601</v>
      </c>
      <c r="E885" s="1">
        <v>42369</v>
      </c>
      <c r="F885" s="1">
        <v>42401</v>
      </c>
      <c r="G885" t="s">
        <v>701</v>
      </c>
      <c r="H885" s="81">
        <v>1814</v>
      </c>
      <c r="I885" t="s">
        <v>12</v>
      </c>
      <c r="J885" s="3">
        <v>9652.7999999999993</v>
      </c>
    </row>
    <row r="886" spans="1:10" x14ac:dyDescent="0.25">
      <c r="A886" t="s">
        <v>676</v>
      </c>
      <c r="B886" t="s">
        <v>71</v>
      </c>
      <c r="C886" s="82" t="s">
        <v>700</v>
      </c>
      <c r="D886">
        <v>201602</v>
      </c>
      <c r="E886" s="1">
        <v>42401</v>
      </c>
      <c r="F886" s="1">
        <v>42430</v>
      </c>
      <c r="G886" t="s">
        <v>701</v>
      </c>
      <c r="H886" s="81">
        <v>1417</v>
      </c>
      <c r="I886" t="s">
        <v>12</v>
      </c>
      <c r="J886" s="3">
        <v>7894.25</v>
      </c>
    </row>
    <row r="887" spans="1:10" x14ac:dyDescent="0.25">
      <c r="A887" t="s">
        <v>676</v>
      </c>
      <c r="B887" t="s">
        <v>71</v>
      </c>
      <c r="C887" s="82" t="s">
        <v>700</v>
      </c>
      <c r="D887">
        <v>201603</v>
      </c>
      <c r="E887" s="1">
        <v>42430</v>
      </c>
      <c r="F887" s="1">
        <v>42460</v>
      </c>
      <c r="G887" t="s">
        <v>701</v>
      </c>
      <c r="H887" s="81">
        <v>1475</v>
      </c>
      <c r="I887" t="s">
        <v>12</v>
      </c>
      <c r="J887" s="3">
        <v>7987.42</v>
      </c>
    </row>
    <row r="888" spans="1:10" x14ac:dyDescent="0.25">
      <c r="A888" t="s">
        <v>676</v>
      </c>
      <c r="B888" t="s">
        <v>71</v>
      </c>
      <c r="C888" s="82" t="s">
        <v>700</v>
      </c>
      <c r="D888">
        <v>201604</v>
      </c>
      <c r="E888" s="1">
        <v>42460</v>
      </c>
      <c r="F888" s="1">
        <v>42489</v>
      </c>
      <c r="G888" t="s">
        <v>701</v>
      </c>
      <c r="H888" s="81">
        <v>957</v>
      </c>
      <c r="I888" t="s">
        <v>12</v>
      </c>
      <c r="J888" s="3">
        <v>7163.54</v>
      </c>
    </row>
    <row r="889" spans="1:10" x14ac:dyDescent="0.25">
      <c r="A889" t="s">
        <v>676</v>
      </c>
      <c r="B889" t="s">
        <v>71</v>
      </c>
      <c r="C889" s="82" t="s">
        <v>700</v>
      </c>
      <c r="D889">
        <v>201605</v>
      </c>
      <c r="E889" s="1">
        <v>42489</v>
      </c>
      <c r="F889" s="1">
        <v>42521</v>
      </c>
      <c r="G889" t="s">
        <v>701</v>
      </c>
      <c r="H889" s="81">
        <v>638</v>
      </c>
      <c r="I889" t="s">
        <v>12</v>
      </c>
      <c r="J889" s="3">
        <v>5880.55</v>
      </c>
    </row>
    <row r="890" spans="1:10" x14ac:dyDescent="0.25">
      <c r="A890" t="s">
        <v>676</v>
      </c>
      <c r="B890" t="s">
        <v>71</v>
      </c>
      <c r="C890" s="82" t="s">
        <v>700</v>
      </c>
      <c r="D890">
        <v>201606</v>
      </c>
      <c r="E890" s="1">
        <v>42521</v>
      </c>
      <c r="F890" s="1">
        <v>42550</v>
      </c>
      <c r="G890" t="s">
        <v>701</v>
      </c>
      <c r="H890" s="81">
        <v>735</v>
      </c>
      <c r="I890" t="s">
        <v>12</v>
      </c>
      <c r="J890" s="3">
        <v>8012.2</v>
      </c>
    </row>
    <row r="891" spans="1:10" x14ac:dyDescent="0.25">
      <c r="A891" t="s">
        <v>594</v>
      </c>
      <c r="B891" t="s">
        <v>71</v>
      </c>
      <c r="C891" s="82" t="s">
        <v>702</v>
      </c>
      <c r="D891">
        <v>201507</v>
      </c>
      <c r="E891" s="1">
        <v>42185</v>
      </c>
      <c r="F891" s="1">
        <v>42216</v>
      </c>
      <c r="G891" t="s">
        <v>702</v>
      </c>
      <c r="H891" s="81">
        <v>92</v>
      </c>
      <c r="I891" t="s">
        <v>12</v>
      </c>
      <c r="J891" s="3">
        <v>1037.69</v>
      </c>
    </row>
    <row r="892" spans="1:10" x14ac:dyDescent="0.25">
      <c r="A892" t="s">
        <v>594</v>
      </c>
      <c r="B892" t="s">
        <v>71</v>
      </c>
      <c r="C892" s="82" t="s">
        <v>702</v>
      </c>
      <c r="D892">
        <v>201508</v>
      </c>
      <c r="E892" s="1">
        <v>42216</v>
      </c>
      <c r="F892" s="1">
        <v>42243</v>
      </c>
      <c r="G892" t="s">
        <v>702</v>
      </c>
      <c r="H892" s="81">
        <v>91</v>
      </c>
      <c r="I892" t="s">
        <v>12</v>
      </c>
      <c r="J892" s="3">
        <v>1045.3800000000001</v>
      </c>
    </row>
    <row r="893" spans="1:10" x14ac:dyDescent="0.25">
      <c r="A893" t="s">
        <v>594</v>
      </c>
      <c r="B893" t="s">
        <v>71</v>
      </c>
      <c r="C893" s="82" t="s">
        <v>702</v>
      </c>
      <c r="D893">
        <v>201509</v>
      </c>
      <c r="E893" s="1">
        <v>42243</v>
      </c>
      <c r="F893" s="1">
        <v>42276</v>
      </c>
      <c r="G893" t="s">
        <v>702</v>
      </c>
      <c r="H893" s="81">
        <v>111</v>
      </c>
      <c r="I893" t="s">
        <v>12</v>
      </c>
      <c r="J893" s="3">
        <v>1262.93</v>
      </c>
    </row>
    <row r="894" spans="1:10" x14ac:dyDescent="0.25">
      <c r="A894" t="s">
        <v>594</v>
      </c>
      <c r="B894" t="s">
        <v>71</v>
      </c>
      <c r="C894" s="82" t="s">
        <v>702</v>
      </c>
      <c r="D894">
        <v>201510</v>
      </c>
      <c r="E894" s="1">
        <v>42276</v>
      </c>
      <c r="F894" s="1">
        <v>42305</v>
      </c>
      <c r="G894" t="s">
        <v>702</v>
      </c>
      <c r="H894" s="81">
        <v>126</v>
      </c>
      <c r="I894" t="s">
        <v>12</v>
      </c>
      <c r="J894" s="3">
        <v>1020.54</v>
      </c>
    </row>
    <row r="895" spans="1:10" x14ac:dyDescent="0.25">
      <c r="A895" t="s">
        <v>594</v>
      </c>
      <c r="B895" t="s">
        <v>71</v>
      </c>
      <c r="C895" s="82" t="s">
        <v>702</v>
      </c>
      <c r="D895">
        <v>201511</v>
      </c>
      <c r="E895" s="1">
        <v>42305</v>
      </c>
      <c r="F895" s="1">
        <v>42339</v>
      </c>
      <c r="G895" t="s">
        <v>702</v>
      </c>
      <c r="H895" s="81">
        <v>144</v>
      </c>
      <c r="I895" t="s">
        <v>12</v>
      </c>
      <c r="J895" s="3">
        <v>965.14</v>
      </c>
    </row>
    <row r="896" spans="1:10" x14ac:dyDescent="0.25">
      <c r="A896" t="s">
        <v>594</v>
      </c>
      <c r="B896" t="s">
        <v>71</v>
      </c>
      <c r="C896" s="82" t="s">
        <v>702</v>
      </c>
      <c r="D896">
        <v>201512</v>
      </c>
      <c r="E896" s="1">
        <v>42339</v>
      </c>
      <c r="F896" s="1">
        <v>42369</v>
      </c>
      <c r="G896" t="s">
        <v>702</v>
      </c>
      <c r="H896" s="81">
        <v>150</v>
      </c>
      <c r="I896" t="s">
        <v>12</v>
      </c>
      <c r="J896" s="3">
        <v>918.89</v>
      </c>
    </row>
    <row r="897" spans="1:10" x14ac:dyDescent="0.25">
      <c r="A897" t="s">
        <v>594</v>
      </c>
      <c r="B897" t="s">
        <v>71</v>
      </c>
      <c r="C897" s="82" t="s">
        <v>702</v>
      </c>
      <c r="D897">
        <v>201601</v>
      </c>
      <c r="E897" s="1">
        <v>42369</v>
      </c>
      <c r="F897" s="1">
        <v>42401</v>
      </c>
      <c r="G897" t="s">
        <v>702</v>
      </c>
      <c r="H897" s="81">
        <v>227</v>
      </c>
      <c r="I897" t="s">
        <v>12</v>
      </c>
      <c r="J897" s="3">
        <v>1207.93</v>
      </c>
    </row>
    <row r="898" spans="1:10" x14ac:dyDescent="0.25">
      <c r="A898" t="s">
        <v>594</v>
      </c>
      <c r="B898" t="s">
        <v>71</v>
      </c>
      <c r="C898" s="82" t="s">
        <v>702</v>
      </c>
      <c r="D898">
        <v>201602</v>
      </c>
      <c r="E898" s="1">
        <v>42401</v>
      </c>
      <c r="F898" s="1">
        <v>42430</v>
      </c>
      <c r="G898" t="s">
        <v>702</v>
      </c>
      <c r="H898" s="81">
        <v>177</v>
      </c>
      <c r="I898" t="s">
        <v>12</v>
      </c>
      <c r="J898" s="3">
        <v>986.09</v>
      </c>
    </row>
    <row r="899" spans="1:10" x14ac:dyDescent="0.25">
      <c r="A899" t="s">
        <v>594</v>
      </c>
      <c r="B899" t="s">
        <v>71</v>
      </c>
      <c r="C899" s="82" t="s">
        <v>702</v>
      </c>
      <c r="D899">
        <v>201603</v>
      </c>
      <c r="E899" s="1">
        <v>42430</v>
      </c>
      <c r="F899" s="1">
        <v>42460</v>
      </c>
      <c r="G899" t="s">
        <v>702</v>
      </c>
      <c r="H899" s="81">
        <v>185</v>
      </c>
      <c r="I899" t="s">
        <v>12</v>
      </c>
      <c r="J899" s="3">
        <v>1001.81</v>
      </c>
    </row>
    <row r="900" spans="1:10" x14ac:dyDescent="0.25">
      <c r="A900" t="s">
        <v>594</v>
      </c>
      <c r="B900" t="s">
        <v>71</v>
      </c>
      <c r="C900" s="82" t="s">
        <v>702</v>
      </c>
      <c r="D900">
        <v>201604</v>
      </c>
      <c r="E900" s="1">
        <v>42460</v>
      </c>
      <c r="F900" s="1">
        <v>42489</v>
      </c>
      <c r="G900" t="s">
        <v>702</v>
      </c>
      <c r="H900" s="81">
        <v>120</v>
      </c>
      <c r="I900" t="s">
        <v>12</v>
      </c>
      <c r="J900" s="3">
        <v>898.25</v>
      </c>
    </row>
    <row r="901" spans="1:10" x14ac:dyDescent="0.25">
      <c r="A901" t="s">
        <v>594</v>
      </c>
      <c r="B901" t="s">
        <v>71</v>
      </c>
      <c r="C901" s="82" t="s">
        <v>702</v>
      </c>
      <c r="D901">
        <v>201605</v>
      </c>
      <c r="E901" s="1">
        <v>42489</v>
      </c>
      <c r="F901" s="1">
        <v>42521</v>
      </c>
      <c r="G901" t="s">
        <v>702</v>
      </c>
      <c r="H901" s="81">
        <v>80</v>
      </c>
      <c r="I901" t="s">
        <v>12</v>
      </c>
      <c r="J901" s="3">
        <v>737.37</v>
      </c>
    </row>
    <row r="902" spans="1:10" x14ac:dyDescent="0.25">
      <c r="A902" t="s">
        <v>594</v>
      </c>
      <c r="B902" t="s">
        <v>71</v>
      </c>
      <c r="C902" s="82" t="s">
        <v>702</v>
      </c>
      <c r="D902">
        <v>201606</v>
      </c>
      <c r="E902" s="1">
        <v>42521</v>
      </c>
      <c r="F902" s="1">
        <v>42550</v>
      </c>
      <c r="G902" t="s">
        <v>702</v>
      </c>
      <c r="H902" s="81">
        <v>92</v>
      </c>
      <c r="I902" t="s">
        <v>12</v>
      </c>
      <c r="J902" s="3">
        <v>1002.89</v>
      </c>
    </row>
    <row r="903" spans="1:10" x14ac:dyDescent="0.25">
      <c r="A903" t="s">
        <v>663</v>
      </c>
      <c r="B903" t="s">
        <v>71</v>
      </c>
      <c r="C903" s="82" t="s">
        <v>703</v>
      </c>
      <c r="D903">
        <v>201507</v>
      </c>
      <c r="E903" s="1">
        <v>42185</v>
      </c>
      <c r="F903" s="1">
        <v>42216</v>
      </c>
      <c r="G903" t="s">
        <v>703</v>
      </c>
      <c r="H903" s="81">
        <v>85</v>
      </c>
      <c r="I903" t="s">
        <v>12</v>
      </c>
      <c r="J903" s="3">
        <v>958.73</v>
      </c>
    </row>
    <row r="904" spans="1:10" x14ac:dyDescent="0.25">
      <c r="A904" t="s">
        <v>663</v>
      </c>
      <c r="B904" t="s">
        <v>71</v>
      </c>
      <c r="C904" s="82" t="s">
        <v>703</v>
      </c>
      <c r="D904">
        <v>201508</v>
      </c>
      <c r="E904" s="1">
        <v>42216</v>
      </c>
      <c r="F904" s="1">
        <v>42243</v>
      </c>
      <c r="G904" t="s">
        <v>703</v>
      </c>
      <c r="H904" s="81">
        <v>84</v>
      </c>
      <c r="I904" t="s">
        <v>12</v>
      </c>
      <c r="J904" s="3">
        <v>964.96</v>
      </c>
    </row>
    <row r="905" spans="1:10" x14ac:dyDescent="0.25">
      <c r="A905" t="s">
        <v>663</v>
      </c>
      <c r="B905" t="s">
        <v>71</v>
      </c>
      <c r="C905" s="82" t="s">
        <v>703</v>
      </c>
      <c r="D905">
        <v>201509</v>
      </c>
      <c r="E905" s="1">
        <v>42243</v>
      </c>
      <c r="F905" s="1">
        <v>42276</v>
      </c>
      <c r="G905" t="s">
        <v>703</v>
      </c>
      <c r="H905" s="81">
        <v>103</v>
      </c>
      <c r="I905" t="s">
        <v>12</v>
      </c>
      <c r="J905" s="3">
        <v>1171.9100000000001</v>
      </c>
    </row>
    <row r="906" spans="1:10" x14ac:dyDescent="0.25">
      <c r="A906" t="s">
        <v>663</v>
      </c>
      <c r="B906" t="s">
        <v>71</v>
      </c>
      <c r="C906" s="82" t="s">
        <v>703</v>
      </c>
      <c r="D906">
        <v>201510</v>
      </c>
      <c r="E906" s="1">
        <v>42276</v>
      </c>
      <c r="F906" s="1">
        <v>42305</v>
      </c>
      <c r="G906" t="s">
        <v>703</v>
      </c>
      <c r="H906" s="81">
        <v>116</v>
      </c>
      <c r="I906" t="s">
        <v>12</v>
      </c>
      <c r="J906" s="3">
        <v>939.54</v>
      </c>
    </row>
    <row r="907" spans="1:10" x14ac:dyDescent="0.25">
      <c r="A907" t="s">
        <v>663</v>
      </c>
      <c r="B907" t="s">
        <v>71</v>
      </c>
      <c r="C907" s="82" t="s">
        <v>703</v>
      </c>
      <c r="D907">
        <v>201511</v>
      </c>
      <c r="E907" s="1">
        <v>42305</v>
      </c>
      <c r="F907" s="1">
        <v>42339</v>
      </c>
      <c r="G907" t="s">
        <v>703</v>
      </c>
      <c r="H907" s="81">
        <v>133</v>
      </c>
      <c r="I907" t="s">
        <v>12</v>
      </c>
      <c r="J907" s="3">
        <v>891.41</v>
      </c>
    </row>
    <row r="908" spans="1:10" x14ac:dyDescent="0.25">
      <c r="A908" t="s">
        <v>663</v>
      </c>
      <c r="B908" t="s">
        <v>71</v>
      </c>
      <c r="C908" s="82" t="s">
        <v>703</v>
      </c>
      <c r="D908">
        <v>201512</v>
      </c>
      <c r="E908" s="1">
        <v>42339</v>
      </c>
      <c r="F908" s="1">
        <v>42369</v>
      </c>
      <c r="G908" t="s">
        <v>703</v>
      </c>
      <c r="H908" s="81">
        <v>139</v>
      </c>
      <c r="I908" t="s">
        <v>12</v>
      </c>
      <c r="J908" s="3">
        <v>851.51</v>
      </c>
    </row>
    <row r="909" spans="1:10" x14ac:dyDescent="0.25">
      <c r="A909" t="s">
        <v>663</v>
      </c>
      <c r="B909" t="s">
        <v>71</v>
      </c>
      <c r="C909" s="82" t="s">
        <v>703</v>
      </c>
      <c r="D909">
        <v>201601</v>
      </c>
      <c r="E909" s="1">
        <v>42369</v>
      </c>
      <c r="F909" s="1">
        <v>42401</v>
      </c>
      <c r="G909" t="s">
        <v>703</v>
      </c>
      <c r="H909" s="81">
        <v>210</v>
      </c>
      <c r="I909" t="s">
        <v>12</v>
      </c>
      <c r="J909" s="3">
        <v>1117.47</v>
      </c>
    </row>
    <row r="910" spans="1:10" x14ac:dyDescent="0.25">
      <c r="A910" t="s">
        <v>663</v>
      </c>
      <c r="B910" t="s">
        <v>71</v>
      </c>
      <c r="C910" s="82" t="s">
        <v>703</v>
      </c>
      <c r="D910">
        <v>201602</v>
      </c>
      <c r="E910" s="1">
        <v>42401</v>
      </c>
      <c r="F910" s="1">
        <v>42430</v>
      </c>
      <c r="G910" t="s">
        <v>703</v>
      </c>
      <c r="H910" s="81">
        <v>164</v>
      </c>
      <c r="I910" t="s">
        <v>12</v>
      </c>
      <c r="J910" s="3">
        <v>913.66</v>
      </c>
    </row>
    <row r="911" spans="1:10" x14ac:dyDescent="0.25">
      <c r="A911" t="s">
        <v>663</v>
      </c>
      <c r="B911" t="s">
        <v>71</v>
      </c>
      <c r="C911" s="82" t="s">
        <v>703</v>
      </c>
      <c r="D911">
        <v>201603</v>
      </c>
      <c r="E911" s="1">
        <v>42430</v>
      </c>
      <c r="F911" s="1">
        <v>42460</v>
      </c>
      <c r="G911" t="s">
        <v>703</v>
      </c>
      <c r="H911" s="81">
        <v>171</v>
      </c>
      <c r="I911" t="s">
        <v>12</v>
      </c>
      <c r="J911" s="3">
        <v>926</v>
      </c>
    </row>
    <row r="912" spans="1:10" x14ac:dyDescent="0.25">
      <c r="A912" t="s">
        <v>663</v>
      </c>
      <c r="B912" t="s">
        <v>71</v>
      </c>
      <c r="C912" s="82" t="s">
        <v>703</v>
      </c>
      <c r="D912">
        <v>201604</v>
      </c>
      <c r="E912" s="1">
        <v>42460</v>
      </c>
      <c r="F912" s="1">
        <v>42489</v>
      </c>
      <c r="G912" t="s">
        <v>703</v>
      </c>
      <c r="H912" s="81">
        <v>111</v>
      </c>
      <c r="I912" t="s">
        <v>12</v>
      </c>
      <c r="J912" s="3">
        <v>830.88</v>
      </c>
    </row>
    <row r="913" spans="1:10" x14ac:dyDescent="0.25">
      <c r="A913" t="s">
        <v>663</v>
      </c>
      <c r="B913" t="s">
        <v>71</v>
      </c>
      <c r="C913" s="82" t="s">
        <v>703</v>
      </c>
      <c r="D913">
        <v>201605</v>
      </c>
      <c r="E913" s="1">
        <v>42489</v>
      </c>
      <c r="F913" s="1">
        <v>42521</v>
      </c>
      <c r="G913" t="s">
        <v>703</v>
      </c>
      <c r="H913" s="81">
        <v>74</v>
      </c>
      <c r="I913" t="s">
        <v>12</v>
      </c>
      <c r="J913" s="3">
        <v>682.07</v>
      </c>
    </row>
    <row r="914" spans="1:10" x14ac:dyDescent="0.25">
      <c r="A914" t="s">
        <v>663</v>
      </c>
      <c r="B914" t="s">
        <v>71</v>
      </c>
      <c r="C914" s="82" t="s">
        <v>703</v>
      </c>
      <c r="D914">
        <v>201606</v>
      </c>
      <c r="E914" s="1">
        <v>42521</v>
      </c>
      <c r="F914" s="1">
        <v>42550</v>
      </c>
      <c r="G914" t="s">
        <v>703</v>
      </c>
      <c r="H914" s="81">
        <v>85</v>
      </c>
      <c r="I914" t="s">
        <v>12</v>
      </c>
      <c r="J914" s="3">
        <v>926.58</v>
      </c>
    </row>
    <row r="915" spans="1:10" x14ac:dyDescent="0.25">
      <c r="E915" s="1"/>
      <c r="F915" s="1"/>
      <c r="H915" s="96">
        <f>SUM(H603:H914)</f>
        <v>146129</v>
      </c>
      <c r="I915" t="s">
        <v>12</v>
      </c>
      <c r="J915" s="95">
        <f>SUM(J603:J914)</f>
        <v>1107055.9000000001</v>
      </c>
    </row>
    <row r="916" spans="1:10" ht="15.75" thickBot="1" x14ac:dyDescent="0.3">
      <c r="E916" s="1"/>
      <c r="F916" s="1"/>
      <c r="G916" s="20" t="s">
        <v>738</v>
      </c>
      <c r="H916" s="97">
        <v>-713</v>
      </c>
      <c r="J916" s="98">
        <v>-5388.62</v>
      </c>
    </row>
    <row r="917" spans="1:10" ht="15.75" thickBot="1" x14ac:dyDescent="0.3">
      <c r="E917" s="1"/>
      <c r="F917" s="1"/>
      <c r="H917" s="91">
        <f>SUM(H915:H916)</f>
        <v>145416</v>
      </c>
      <c r="J917" s="6">
        <f>SUM(J915:J916)</f>
        <v>1101667.28</v>
      </c>
    </row>
    <row r="918" spans="1:10" x14ac:dyDescent="0.25">
      <c r="E918" s="1"/>
      <c r="F918" s="1"/>
      <c r="H918" s="81"/>
      <c r="J918" s="3"/>
    </row>
    <row r="919" spans="1:10" x14ac:dyDescent="0.25">
      <c r="E919" s="1"/>
      <c r="F919" s="1"/>
      <c r="H919" s="81"/>
      <c r="J919" s="3"/>
    </row>
    <row r="920" spans="1:10" x14ac:dyDescent="0.25">
      <c r="A920" t="s">
        <v>582</v>
      </c>
      <c r="B920" t="s">
        <v>49</v>
      </c>
      <c r="C920" s="82">
        <v>3494647807</v>
      </c>
      <c r="D920">
        <v>201507</v>
      </c>
      <c r="E920" s="1">
        <v>42186</v>
      </c>
      <c r="F920" s="1">
        <v>42216</v>
      </c>
      <c r="G920" t="s">
        <v>583</v>
      </c>
      <c r="H920" s="81">
        <v>0</v>
      </c>
      <c r="I920" t="s">
        <v>27</v>
      </c>
      <c r="J920" s="3">
        <v>13.5</v>
      </c>
    </row>
    <row r="921" spans="1:10" x14ac:dyDescent="0.25">
      <c r="A921" t="s">
        <v>582</v>
      </c>
      <c r="B921" t="s">
        <v>49</v>
      </c>
      <c r="C921" s="82">
        <v>3494647807</v>
      </c>
      <c r="D921">
        <v>201508</v>
      </c>
      <c r="E921" s="1">
        <v>42217</v>
      </c>
      <c r="F921" s="1">
        <v>42247</v>
      </c>
      <c r="G921" t="s">
        <v>583</v>
      </c>
      <c r="H921" s="81">
        <v>0</v>
      </c>
      <c r="I921" t="s">
        <v>27</v>
      </c>
      <c r="J921" s="3">
        <v>20.45</v>
      </c>
    </row>
    <row r="922" spans="1:10" x14ac:dyDescent="0.25">
      <c r="A922" t="s">
        <v>582</v>
      </c>
      <c r="B922" t="s">
        <v>49</v>
      </c>
      <c r="C922" s="82">
        <v>3494647807</v>
      </c>
      <c r="D922">
        <v>201509</v>
      </c>
      <c r="E922" s="1">
        <v>42248</v>
      </c>
      <c r="F922" s="1">
        <v>42277</v>
      </c>
      <c r="G922" t="s">
        <v>583</v>
      </c>
      <c r="H922" s="81">
        <v>0</v>
      </c>
      <c r="I922" t="s">
        <v>27</v>
      </c>
      <c r="J922" s="3">
        <v>20.45</v>
      </c>
    </row>
    <row r="923" spans="1:10" x14ac:dyDescent="0.25">
      <c r="A923" t="s">
        <v>582</v>
      </c>
      <c r="B923" t="s">
        <v>49</v>
      </c>
      <c r="C923" s="82">
        <v>3494647807</v>
      </c>
      <c r="D923">
        <v>201510</v>
      </c>
      <c r="E923" s="1">
        <v>42278</v>
      </c>
      <c r="F923" s="1">
        <v>42308</v>
      </c>
      <c r="G923" t="s">
        <v>583</v>
      </c>
      <c r="H923" s="81">
        <v>3</v>
      </c>
      <c r="I923" t="s">
        <v>27</v>
      </c>
      <c r="J923" s="3">
        <v>41.6</v>
      </c>
    </row>
    <row r="924" spans="1:10" x14ac:dyDescent="0.25">
      <c r="A924" t="s">
        <v>582</v>
      </c>
      <c r="B924" t="s">
        <v>49</v>
      </c>
      <c r="C924" s="82">
        <v>3494647807</v>
      </c>
      <c r="D924">
        <v>201511</v>
      </c>
      <c r="E924" s="1">
        <v>42309</v>
      </c>
      <c r="F924" s="1">
        <v>42338</v>
      </c>
      <c r="G924" t="s">
        <v>583</v>
      </c>
      <c r="H924" s="81">
        <v>0</v>
      </c>
      <c r="I924" t="s">
        <v>27</v>
      </c>
      <c r="J924" s="3">
        <v>20.45</v>
      </c>
    </row>
    <row r="925" spans="1:10" x14ac:dyDescent="0.25">
      <c r="A925" t="s">
        <v>582</v>
      </c>
      <c r="B925" t="s">
        <v>49</v>
      </c>
      <c r="C925" s="82">
        <v>3494647807</v>
      </c>
      <c r="D925">
        <v>201512</v>
      </c>
      <c r="E925" s="1">
        <v>42339</v>
      </c>
      <c r="F925" s="1">
        <v>42369</v>
      </c>
      <c r="G925" t="s">
        <v>583</v>
      </c>
      <c r="H925" s="81">
        <v>11</v>
      </c>
      <c r="I925" t="s">
        <v>27</v>
      </c>
      <c r="J925" s="3">
        <v>95.04</v>
      </c>
    </row>
    <row r="926" spans="1:10" x14ac:dyDescent="0.25">
      <c r="A926" t="s">
        <v>582</v>
      </c>
      <c r="B926" t="s">
        <v>49</v>
      </c>
      <c r="C926" s="82">
        <v>3494647807</v>
      </c>
      <c r="D926">
        <v>201601</v>
      </c>
      <c r="E926" s="1">
        <v>42370</v>
      </c>
      <c r="F926" s="1">
        <v>42400</v>
      </c>
      <c r="G926" t="s">
        <v>583</v>
      </c>
      <c r="H926" s="81">
        <v>17</v>
      </c>
      <c r="I926" t="s">
        <v>27</v>
      </c>
      <c r="J926" s="3">
        <v>134.37</v>
      </c>
    </row>
    <row r="927" spans="1:10" x14ac:dyDescent="0.25">
      <c r="A927" t="s">
        <v>582</v>
      </c>
      <c r="B927" t="s">
        <v>49</v>
      </c>
      <c r="C927" s="82">
        <v>3494647807</v>
      </c>
      <c r="D927">
        <v>201602</v>
      </c>
      <c r="E927" s="1">
        <v>42401</v>
      </c>
      <c r="F927" s="1">
        <v>42429</v>
      </c>
      <c r="G927" t="s">
        <v>583</v>
      </c>
      <c r="H927" s="81">
        <v>12</v>
      </c>
      <c r="I927" t="s">
        <v>27</v>
      </c>
      <c r="J927" s="3">
        <v>109.63</v>
      </c>
    </row>
    <row r="928" spans="1:10" x14ac:dyDescent="0.25">
      <c r="A928" t="s">
        <v>582</v>
      </c>
      <c r="B928" t="s">
        <v>49</v>
      </c>
      <c r="C928" s="82">
        <v>3494647807</v>
      </c>
      <c r="D928">
        <v>201603</v>
      </c>
      <c r="E928" s="1">
        <v>42430</v>
      </c>
      <c r="F928" s="1">
        <v>42460</v>
      </c>
      <c r="G928" t="s">
        <v>583</v>
      </c>
      <c r="H928" s="81">
        <v>5</v>
      </c>
      <c r="I928" t="s">
        <v>27</v>
      </c>
      <c r="J928" s="3">
        <v>55.34</v>
      </c>
    </row>
    <row r="929" spans="1:10" x14ac:dyDescent="0.25">
      <c r="A929" t="s">
        <v>582</v>
      </c>
      <c r="B929" t="s">
        <v>49</v>
      </c>
      <c r="C929" s="82">
        <v>3494647807</v>
      </c>
      <c r="D929">
        <v>201604</v>
      </c>
      <c r="E929" s="1">
        <v>42461</v>
      </c>
      <c r="F929" s="1">
        <v>42490</v>
      </c>
      <c r="G929" t="s">
        <v>583</v>
      </c>
      <c r="H929" s="81">
        <v>1</v>
      </c>
      <c r="I929" t="s">
        <v>27</v>
      </c>
      <c r="J929" s="3">
        <v>26.46</v>
      </c>
    </row>
    <row r="930" spans="1:10" x14ac:dyDescent="0.25">
      <c r="A930" t="s">
        <v>582</v>
      </c>
      <c r="B930" t="s">
        <v>49</v>
      </c>
      <c r="C930" s="82">
        <v>3494647807</v>
      </c>
      <c r="D930">
        <v>201605</v>
      </c>
      <c r="E930" s="1">
        <v>42491</v>
      </c>
      <c r="F930" s="1">
        <v>42521</v>
      </c>
      <c r="G930" t="s">
        <v>583</v>
      </c>
      <c r="H930" s="81">
        <v>0</v>
      </c>
      <c r="I930" t="s">
        <v>27</v>
      </c>
      <c r="J930" s="3">
        <v>20.45</v>
      </c>
    </row>
    <row r="931" spans="1:10" x14ac:dyDescent="0.25">
      <c r="A931" t="s">
        <v>582</v>
      </c>
      <c r="B931" t="s">
        <v>49</v>
      </c>
      <c r="C931" s="82">
        <v>3494647807</v>
      </c>
      <c r="D931">
        <v>201606</v>
      </c>
      <c r="E931" s="1">
        <v>42522</v>
      </c>
      <c r="F931" s="1">
        <v>42551</v>
      </c>
      <c r="G931" t="s">
        <v>583</v>
      </c>
      <c r="H931" s="81">
        <v>0</v>
      </c>
      <c r="I931" t="s">
        <v>27</v>
      </c>
      <c r="J931" s="3">
        <v>20.45</v>
      </c>
    </row>
    <row r="932" spans="1:10" x14ac:dyDescent="0.25">
      <c r="A932" t="s">
        <v>579</v>
      </c>
      <c r="B932" t="s">
        <v>49</v>
      </c>
      <c r="C932" s="82">
        <v>3926039508</v>
      </c>
      <c r="D932">
        <v>201507</v>
      </c>
      <c r="E932" s="1">
        <v>42186</v>
      </c>
      <c r="F932" s="1">
        <v>42216</v>
      </c>
      <c r="G932" t="s">
        <v>580</v>
      </c>
      <c r="H932" s="81">
        <v>4</v>
      </c>
      <c r="I932" t="s">
        <v>27</v>
      </c>
      <c r="J932" s="3">
        <v>22.86</v>
      </c>
    </row>
    <row r="933" spans="1:10" x14ac:dyDescent="0.25">
      <c r="A933" t="s">
        <v>579</v>
      </c>
      <c r="B933" t="s">
        <v>49</v>
      </c>
      <c r="C933" s="82">
        <v>3926039508</v>
      </c>
      <c r="D933">
        <v>201508</v>
      </c>
      <c r="E933" s="1">
        <v>42217</v>
      </c>
      <c r="F933" s="1">
        <v>42247</v>
      </c>
      <c r="G933" t="s">
        <v>580</v>
      </c>
      <c r="H933" s="81">
        <v>5</v>
      </c>
      <c r="I933" t="s">
        <v>27</v>
      </c>
      <c r="J933" s="3">
        <v>49.35</v>
      </c>
    </row>
    <row r="934" spans="1:10" x14ac:dyDescent="0.25">
      <c r="A934" t="s">
        <v>579</v>
      </c>
      <c r="B934" t="s">
        <v>49</v>
      </c>
      <c r="C934" s="82">
        <v>3926039508</v>
      </c>
      <c r="D934">
        <v>201509</v>
      </c>
      <c r="E934" s="1">
        <v>42248</v>
      </c>
      <c r="F934" s="1">
        <v>42277</v>
      </c>
      <c r="G934" t="s">
        <v>580</v>
      </c>
      <c r="H934" s="81">
        <v>5</v>
      </c>
      <c r="I934" t="s">
        <v>27</v>
      </c>
      <c r="J934" s="3">
        <v>48.82</v>
      </c>
    </row>
    <row r="935" spans="1:10" x14ac:dyDescent="0.25">
      <c r="A935" t="s">
        <v>579</v>
      </c>
      <c r="B935" t="s">
        <v>49</v>
      </c>
      <c r="C935" s="82">
        <v>3926039508</v>
      </c>
      <c r="D935">
        <v>201510</v>
      </c>
      <c r="E935" s="1">
        <v>42278</v>
      </c>
      <c r="F935" s="1">
        <v>42308</v>
      </c>
      <c r="G935" t="s">
        <v>580</v>
      </c>
      <c r="H935" s="81">
        <v>22</v>
      </c>
      <c r="I935" t="s">
        <v>27</v>
      </c>
      <c r="J935" s="3">
        <v>168.33</v>
      </c>
    </row>
    <row r="936" spans="1:10" x14ac:dyDescent="0.25">
      <c r="A936" t="s">
        <v>579</v>
      </c>
      <c r="B936" t="s">
        <v>49</v>
      </c>
      <c r="C936" s="82">
        <v>3926039508</v>
      </c>
      <c r="D936">
        <v>201511</v>
      </c>
      <c r="E936" s="1">
        <v>42309</v>
      </c>
      <c r="F936" s="1">
        <v>42338</v>
      </c>
      <c r="G936" t="s">
        <v>580</v>
      </c>
      <c r="H936" s="81">
        <v>20</v>
      </c>
      <c r="I936" t="s">
        <v>27</v>
      </c>
      <c r="J936" s="3">
        <v>156.5</v>
      </c>
    </row>
    <row r="937" spans="1:10" x14ac:dyDescent="0.25">
      <c r="A937" t="s">
        <v>579</v>
      </c>
      <c r="B937" t="s">
        <v>49</v>
      </c>
      <c r="C937" s="82">
        <v>3926039508</v>
      </c>
      <c r="D937">
        <v>201512</v>
      </c>
      <c r="E937" s="1">
        <v>42339</v>
      </c>
      <c r="F937" s="1">
        <v>42369</v>
      </c>
      <c r="G937" t="s">
        <v>580</v>
      </c>
      <c r="H937" s="81">
        <v>12</v>
      </c>
      <c r="I937" t="s">
        <v>27</v>
      </c>
      <c r="J937" s="3">
        <v>100.92</v>
      </c>
    </row>
    <row r="938" spans="1:10" x14ac:dyDescent="0.25">
      <c r="A938" t="s">
        <v>579</v>
      </c>
      <c r="B938" t="s">
        <v>49</v>
      </c>
      <c r="C938" s="82">
        <v>3926039508</v>
      </c>
      <c r="D938">
        <v>201601</v>
      </c>
      <c r="E938" s="1">
        <v>42370</v>
      </c>
      <c r="F938" s="1">
        <v>42400</v>
      </c>
      <c r="G938" t="s">
        <v>580</v>
      </c>
      <c r="H938" s="81">
        <v>9</v>
      </c>
      <c r="I938" t="s">
        <v>27</v>
      </c>
      <c r="J938" s="3">
        <v>80.22</v>
      </c>
    </row>
    <row r="939" spans="1:10" x14ac:dyDescent="0.25">
      <c r="A939" t="s">
        <v>579</v>
      </c>
      <c r="B939" t="s">
        <v>49</v>
      </c>
      <c r="C939" s="82">
        <v>3926039508</v>
      </c>
      <c r="D939">
        <v>201602</v>
      </c>
      <c r="E939" s="1">
        <v>42401</v>
      </c>
      <c r="F939" s="1">
        <v>42429</v>
      </c>
      <c r="G939" t="s">
        <v>580</v>
      </c>
      <c r="H939" s="81">
        <v>10</v>
      </c>
      <c r="I939" t="s">
        <v>27</v>
      </c>
      <c r="J939" s="3">
        <v>87.69</v>
      </c>
    </row>
    <row r="940" spans="1:10" x14ac:dyDescent="0.25">
      <c r="A940" t="s">
        <v>579</v>
      </c>
      <c r="B940" t="s">
        <v>49</v>
      </c>
      <c r="C940" s="82">
        <v>3926039508</v>
      </c>
      <c r="D940">
        <v>201603</v>
      </c>
      <c r="E940" s="1">
        <v>42430</v>
      </c>
      <c r="F940" s="1">
        <v>42460</v>
      </c>
      <c r="G940" t="s">
        <v>580</v>
      </c>
      <c r="H940" s="81">
        <v>11</v>
      </c>
      <c r="I940" t="s">
        <v>27</v>
      </c>
      <c r="J940" s="3">
        <v>97.88</v>
      </c>
    </row>
    <row r="941" spans="1:10" x14ac:dyDescent="0.25">
      <c r="A941" t="s">
        <v>579</v>
      </c>
      <c r="B941" t="s">
        <v>49</v>
      </c>
      <c r="C941" s="82">
        <v>3926039508</v>
      </c>
      <c r="D941">
        <v>201604</v>
      </c>
      <c r="E941" s="1">
        <v>42461</v>
      </c>
      <c r="F941" s="1">
        <v>42490</v>
      </c>
      <c r="G941" t="s">
        <v>580</v>
      </c>
      <c r="H941" s="81">
        <v>13</v>
      </c>
      <c r="I941" t="s">
        <v>27</v>
      </c>
      <c r="J941" s="3">
        <v>113.03</v>
      </c>
    </row>
    <row r="942" spans="1:10" x14ac:dyDescent="0.25">
      <c r="A942" t="s">
        <v>579</v>
      </c>
      <c r="B942" t="s">
        <v>49</v>
      </c>
      <c r="C942" s="82">
        <v>3926039508</v>
      </c>
      <c r="D942">
        <v>201605</v>
      </c>
      <c r="E942" s="1">
        <v>42492</v>
      </c>
      <c r="F942" s="1">
        <v>42521</v>
      </c>
      <c r="G942" t="s">
        <v>580</v>
      </c>
      <c r="H942" s="81">
        <v>8</v>
      </c>
      <c r="I942" t="s">
        <v>27</v>
      </c>
      <c r="J942" s="3">
        <v>78.63</v>
      </c>
    </row>
    <row r="943" spans="1:10" x14ac:dyDescent="0.25">
      <c r="A943" t="s">
        <v>579</v>
      </c>
      <c r="B943" t="s">
        <v>49</v>
      </c>
      <c r="C943" s="82">
        <v>3926039508</v>
      </c>
      <c r="D943">
        <v>201606</v>
      </c>
      <c r="E943" s="1">
        <v>42522</v>
      </c>
      <c r="F943" s="1">
        <v>42551</v>
      </c>
      <c r="G943" t="s">
        <v>580</v>
      </c>
      <c r="H943" s="81">
        <v>7</v>
      </c>
      <c r="I943" t="s">
        <v>27</v>
      </c>
      <c r="J943" s="3">
        <v>66.430000000000007</v>
      </c>
    </row>
    <row r="944" spans="1:10" x14ac:dyDescent="0.25">
      <c r="A944" t="s">
        <v>584</v>
      </c>
      <c r="B944" t="s">
        <v>49</v>
      </c>
      <c r="C944" s="82">
        <v>3494647906</v>
      </c>
      <c r="D944">
        <v>201507</v>
      </c>
      <c r="E944" s="1">
        <v>42186</v>
      </c>
      <c r="F944" s="1">
        <v>42216</v>
      </c>
      <c r="G944" t="s">
        <v>585</v>
      </c>
      <c r="H944" s="81">
        <v>0</v>
      </c>
      <c r="I944" t="s">
        <v>27</v>
      </c>
      <c r="J944" s="3">
        <v>10.49</v>
      </c>
    </row>
    <row r="945" spans="1:10" x14ac:dyDescent="0.25">
      <c r="A945" t="s">
        <v>584</v>
      </c>
      <c r="B945" t="s">
        <v>49</v>
      </c>
      <c r="C945" s="82">
        <v>3494647906</v>
      </c>
      <c r="D945">
        <v>201508</v>
      </c>
      <c r="E945" s="1">
        <v>42217</v>
      </c>
      <c r="F945" s="1">
        <v>42247</v>
      </c>
      <c r="G945" t="s">
        <v>585</v>
      </c>
      <c r="H945" s="81">
        <v>0</v>
      </c>
      <c r="I945" t="s">
        <v>27</v>
      </c>
      <c r="J945" s="3">
        <v>20.45</v>
      </c>
    </row>
    <row r="946" spans="1:10" x14ac:dyDescent="0.25">
      <c r="A946" t="s">
        <v>584</v>
      </c>
      <c r="B946" t="s">
        <v>49</v>
      </c>
      <c r="C946" s="82">
        <v>3494647906</v>
      </c>
      <c r="D946">
        <v>201509</v>
      </c>
      <c r="E946" s="1">
        <v>42248</v>
      </c>
      <c r="F946" s="1">
        <v>42277</v>
      </c>
      <c r="G946" t="s">
        <v>585</v>
      </c>
      <c r="H946" s="81">
        <v>1</v>
      </c>
      <c r="I946" t="s">
        <v>27</v>
      </c>
      <c r="J946" s="3">
        <v>27.14</v>
      </c>
    </row>
    <row r="947" spans="1:10" x14ac:dyDescent="0.25">
      <c r="A947" t="s">
        <v>584</v>
      </c>
      <c r="B947" t="s">
        <v>49</v>
      </c>
      <c r="C947" s="82">
        <v>3494647906</v>
      </c>
      <c r="D947">
        <v>201510</v>
      </c>
      <c r="E947" s="1">
        <v>42278</v>
      </c>
      <c r="F947" s="1">
        <v>42308</v>
      </c>
      <c r="G947" t="s">
        <v>585</v>
      </c>
      <c r="H947" s="81">
        <v>4</v>
      </c>
      <c r="I947" t="s">
        <v>27</v>
      </c>
      <c r="J947" s="3">
        <v>49.4</v>
      </c>
    </row>
    <row r="948" spans="1:10" x14ac:dyDescent="0.25">
      <c r="A948" t="s">
        <v>584</v>
      </c>
      <c r="B948" t="s">
        <v>49</v>
      </c>
      <c r="C948" s="82">
        <v>3494647906</v>
      </c>
      <c r="D948">
        <v>201511</v>
      </c>
      <c r="E948" s="1">
        <v>42309</v>
      </c>
      <c r="F948" s="1">
        <v>42338</v>
      </c>
      <c r="G948" t="s">
        <v>585</v>
      </c>
      <c r="H948" s="81">
        <v>0</v>
      </c>
      <c r="I948" t="s">
        <v>27</v>
      </c>
      <c r="J948" s="3">
        <v>20.45</v>
      </c>
    </row>
    <row r="949" spans="1:10" x14ac:dyDescent="0.25">
      <c r="A949" t="s">
        <v>584</v>
      </c>
      <c r="B949" t="s">
        <v>49</v>
      </c>
      <c r="C949" s="82">
        <v>3494647906</v>
      </c>
      <c r="D949">
        <v>201512</v>
      </c>
      <c r="E949" s="1">
        <v>42339</v>
      </c>
      <c r="F949" s="1">
        <v>42369</v>
      </c>
      <c r="G949" t="s">
        <v>585</v>
      </c>
      <c r="H949" s="81">
        <v>14</v>
      </c>
      <c r="I949" t="s">
        <v>27</v>
      </c>
      <c r="J949" s="3">
        <v>118.03</v>
      </c>
    </row>
    <row r="950" spans="1:10" x14ac:dyDescent="0.25">
      <c r="A950" t="s">
        <v>584</v>
      </c>
      <c r="B950" t="s">
        <v>49</v>
      </c>
      <c r="C950" s="82">
        <v>3494647906</v>
      </c>
      <c r="D950">
        <v>201601</v>
      </c>
      <c r="E950" s="1">
        <v>42370</v>
      </c>
      <c r="F950" s="1">
        <v>42400</v>
      </c>
      <c r="G950" t="s">
        <v>585</v>
      </c>
      <c r="H950" s="81">
        <v>22</v>
      </c>
      <c r="I950" t="s">
        <v>27</v>
      </c>
      <c r="J950" s="3">
        <v>172.36</v>
      </c>
    </row>
    <row r="951" spans="1:10" x14ac:dyDescent="0.25">
      <c r="A951" t="s">
        <v>584</v>
      </c>
      <c r="B951" t="s">
        <v>49</v>
      </c>
      <c r="C951" s="82">
        <v>3494647906</v>
      </c>
      <c r="D951">
        <v>201602</v>
      </c>
      <c r="E951" s="1">
        <v>42401</v>
      </c>
      <c r="F951" s="1">
        <v>42429</v>
      </c>
      <c r="G951" t="s">
        <v>585</v>
      </c>
      <c r="H951" s="81">
        <v>16</v>
      </c>
      <c r="I951" t="s">
        <v>27</v>
      </c>
      <c r="J951" s="3">
        <v>134.34</v>
      </c>
    </row>
    <row r="952" spans="1:10" x14ac:dyDescent="0.25">
      <c r="A952" t="s">
        <v>584</v>
      </c>
      <c r="B952" t="s">
        <v>49</v>
      </c>
      <c r="C952" s="82">
        <v>3494647906</v>
      </c>
      <c r="D952">
        <v>201603</v>
      </c>
      <c r="E952" s="1">
        <v>42430</v>
      </c>
      <c r="F952" s="1">
        <v>42460</v>
      </c>
      <c r="G952" t="s">
        <v>585</v>
      </c>
      <c r="H952" s="81">
        <v>8</v>
      </c>
      <c r="I952" t="s">
        <v>27</v>
      </c>
      <c r="J952" s="3">
        <v>73.569999999999993</v>
      </c>
    </row>
    <row r="953" spans="1:10" x14ac:dyDescent="0.25">
      <c r="A953" t="s">
        <v>584</v>
      </c>
      <c r="B953" t="s">
        <v>49</v>
      </c>
      <c r="C953" s="82">
        <v>3494647906</v>
      </c>
      <c r="D953">
        <v>201604</v>
      </c>
      <c r="E953" s="1">
        <v>42461</v>
      </c>
      <c r="F953" s="1">
        <v>42490</v>
      </c>
      <c r="G953" t="s">
        <v>585</v>
      </c>
      <c r="H953" s="81">
        <v>1</v>
      </c>
      <c r="I953" t="s">
        <v>27</v>
      </c>
      <c r="J953" s="3">
        <v>27.98</v>
      </c>
    </row>
    <row r="954" spans="1:10" x14ac:dyDescent="0.25">
      <c r="A954" t="s">
        <v>584</v>
      </c>
      <c r="B954" t="s">
        <v>49</v>
      </c>
      <c r="C954" s="82">
        <v>3494647906</v>
      </c>
      <c r="D954">
        <v>201605</v>
      </c>
      <c r="E954" s="1">
        <v>42491</v>
      </c>
      <c r="F954" s="1">
        <v>42521</v>
      </c>
      <c r="G954" t="s">
        <v>585</v>
      </c>
      <c r="H954" s="81">
        <v>1</v>
      </c>
      <c r="I954" t="s">
        <v>27</v>
      </c>
      <c r="J954" s="3">
        <v>26.7</v>
      </c>
    </row>
    <row r="955" spans="1:10" x14ac:dyDescent="0.25">
      <c r="A955" t="s">
        <v>584</v>
      </c>
      <c r="B955" t="s">
        <v>49</v>
      </c>
      <c r="C955" s="82">
        <v>3494647906</v>
      </c>
      <c r="D955">
        <v>201606</v>
      </c>
      <c r="E955" s="1">
        <v>42522</v>
      </c>
      <c r="F955" s="1">
        <v>42551</v>
      </c>
      <c r="G955" t="s">
        <v>585</v>
      </c>
      <c r="H955" s="81">
        <v>0</v>
      </c>
      <c r="I955" t="s">
        <v>27</v>
      </c>
      <c r="J955" s="3">
        <v>20.45</v>
      </c>
    </row>
    <row r="956" spans="1:10" x14ac:dyDescent="0.25">
      <c r="A956" t="s">
        <v>590</v>
      </c>
      <c r="B956" t="s">
        <v>49</v>
      </c>
      <c r="C956" s="82">
        <v>3554000509</v>
      </c>
      <c r="D956">
        <v>201507</v>
      </c>
      <c r="E956" s="1">
        <v>42186</v>
      </c>
      <c r="F956" s="1">
        <v>42216</v>
      </c>
      <c r="G956" t="s">
        <v>591</v>
      </c>
      <c r="H956" s="81">
        <v>14</v>
      </c>
      <c r="I956" t="s">
        <v>27</v>
      </c>
      <c r="J956" s="3">
        <v>56.16</v>
      </c>
    </row>
    <row r="957" spans="1:10" x14ac:dyDescent="0.25">
      <c r="A957" t="s">
        <v>590</v>
      </c>
      <c r="B957" t="s">
        <v>49</v>
      </c>
      <c r="C957" s="82">
        <v>3554000509</v>
      </c>
      <c r="D957">
        <v>201508</v>
      </c>
      <c r="E957" s="1">
        <v>42217</v>
      </c>
      <c r="F957" s="1">
        <v>42247</v>
      </c>
      <c r="G957" t="s">
        <v>591</v>
      </c>
      <c r="H957" s="81">
        <v>13</v>
      </c>
      <c r="I957" t="s">
        <v>27</v>
      </c>
      <c r="J957" s="3">
        <v>110.27</v>
      </c>
    </row>
    <row r="958" spans="1:10" x14ac:dyDescent="0.25">
      <c r="A958" t="s">
        <v>590</v>
      </c>
      <c r="B958" t="s">
        <v>49</v>
      </c>
      <c r="C958" s="82">
        <v>3554000509</v>
      </c>
      <c r="D958">
        <v>201509</v>
      </c>
      <c r="E958" s="1">
        <v>42248</v>
      </c>
      <c r="F958" s="1">
        <v>42277</v>
      </c>
      <c r="G958" t="s">
        <v>591</v>
      </c>
      <c r="H958" s="81">
        <v>9</v>
      </c>
      <c r="I958" t="s">
        <v>27</v>
      </c>
      <c r="J958" s="3">
        <v>84.52</v>
      </c>
    </row>
    <row r="959" spans="1:10" x14ac:dyDescent="0.25">
      <c r="A959" t="s">
        <v>590</v>
      </c>
      <c r="B959" t="s">
        <v>49</v>
      </c>
      <c r="C959" s="82">
        <v>3554000509</v>
      </c>
      <c r="D959">
        <v>201510</v>
      </c>
      <c r="E959" s="1">
        <v>42278</v>
      </c>
      <c r="F959" s="1">
        <v>42308</v>
      </c>
      <c r="G959" t="s">
        <v>591</v>
      </c>
      <c r="H959" s="81">
        <v>23</v>
      </c>
      <c r="I959" t="s">
        <v>27</v>
      </c>
      <c r="J959" s="3">
        <v>176.57</v>
      </c>
    </row>
    <row r="960" spans="1:10" x14ac:dyDescent="0.25">
      <c r="A960" t="s">
        <v>590</v>
      </c>
      <c r="B960" t="s">
        <v>49</v>
      </c>
      <c r="C960" s="82">
        <v>3554000509</v>
      </c>
      <c r="D960">
        <v>201511</v>
      </c>
      <c r="E960" s="1">
        <v>42309</v>
      </c>
      <c r="F960" s="1">
        <v>42338</v>
      </c>
      <c r="G960" t="s">
        <v>591</v>
      </c>
      <c r="H960" s="81">
        <v>64</v>
      </c>
      <c r="I960" t="s">
        <v>27</v>
      </c>
      <c r="J960" s="3">
        <v>440.63</v>
      </c>
    </row>
    <row r="961" spans="1:10" x14ac:dyDescent="0.25">
      <c r="A961" t="s">
        <v>590</v>
      </c>
      <c r="B961" t="s">
        <v>49</v>
      </c>
      <c r="C961" s="82">
        <v>3554000509</v>
      </c>
      <c r="D961">
        <v>201512</v>
      </c>
      <c r="E961" s="1">
        <v>42339</v>
      </c>
      <c r="F961" s="1">
        <v>42369</v>
      </c>
      <c r="G961" t="s">
        <v>591</v>
      </c>
      <c r="H961" s="81">
        <v>97</v>
      </c>
      <c r="I961" t="s">
        <v>27</v>
      </c>
      <c r="J961" s="3">
        <v>646.62</v>
      </c>
    </row>
    <row r="962" spans="1:10" x14ac:dyDescent="0.25">
      <c r="A962" t="s">
        <v>590</v>
      </c>
      <c r="B962" t="s">
        <v>49</v>
      </c>
      <c r="C962" s="82">
        <v>3554000509</v>
      </c>
      <c r="D962">
        <v>201601</v>
      </c>
      <c r="E962" s="1">
        <v>42370</v>
      </c>
      <c r="F962" s="1">
        <v>42400</v>
      </c>
      <c r="G962" t="s">
        <v>591</v>
      </c>
      <c r="H962" s="81">
        <v>205</v>
      </c>
      <c r="I962" t="s">
        <v>27</v>
      </c>
      <c r="J962" s="3">
        <v>1265.03</v>
      </c>
    </row>
    <row r="963" spans="1:10" x14ac:dyDescent="0.25">
      <c r="A963" t="s">
        <v>590</v>
      </c>
      <c r="B963" t="s">
        <v>49</v>
      </c>
      <c r="C963" s="82">
        <v>3554000509</v>
      </c>
      <c r="D963">
        <v>201602</v>
      </c>
      <c r="E963" s="1">
        <v>42401</v>
      </c>
      <c r="F963" s="1">
        <v>42429</v>
      </c>
      <c r="G963" t="s">
        <v>591</v>
      </c>
      <c r="H963" s="81">
        <v>183</v>
      </c>
      <c r="I963" t="s">
        <v>27</v>
      </c>
      <c r="J963" s="3">
        <v>1172.3</v>
      </c>
    </row>
    <row r="964" spans="1:10" x14ac:dyDescent="0.25">
      <c r="A964" t="s">
        <v>590</v>
      </c>
      <c r="B964" t="s">
        <v>49</v>
      </c>
      <c r="C964" s="82">
        <v>3554000509</v>
      </c>
      <c r="D964">
        <v>201603</v>
      </c>
      <c r="E964" s="1">
        <v>42430</v>
      </c>
      <c r="F964" s="1">
        <v>42460</v>
      </c>
      <c r="G964" t="s">
        <v>591</v>
      </c>
      <c r="H964" s="81">
        <v>53</v>
      </c>
      <c r="I964" t="s">
        <v>27</v>
      </c>
      <c r="J964" s="3">
        <v>363.48</v>
      </c>
    </row>
    <row r="965" spans="1:10" x14ac:dyDescent="0.25">
      <c r="A965" t="s">
        <v>590</v>
      </c>
      <c r="B965" t="s">
        <v>49</v>
      </c>
      <c r="C965" s="82">
        <v>3554000509</v>
      </c>
      <c r="D965">
        <v>201604</v>
      </c>
      <c r="E965" s="1">
        <v>42461</v>
      </c>
      <c r="F965" s="1">
        <v>42490</v>
      </c>
      <c r="G965" t="s">
        <v>591</v>
      </c>
      <c r="H965" s="81">
        <v>40</v>
      </c>
      <c r="I965" t="s">
        <v>27</v>
      </c>
      <c r="J965" s="3">
        <v>277.2</v>
      </c>
    </row>
    <row r="966" spans="1:10" x14ac:dyDescent="0.25">
      <c r="A966" t="s">
        <v>590</v>
      </c>
      <c r="B966" t="s">
        <v>49</v>
      </c>
      <c r="C966" s="82">
        <v>3554000509</v>
      </c>
      <c r="D966">
        <v>201605</v>
      </c>
      <c r="E966" s="1">
        <v>42491</v>
      </c>
      <c r="F966" s="1">
        <v>42521</v>
      </c>
      <c r="G966" t="s">
        <v>591</v>
      </c>
      <c r="H966" s="81">
        <v>21</v>
      </c>
      <c r="I966" t="s">
        <v>27</v>
      </c>
      <c r="J966" s="3">
        <v>162.12</v>
      </c>
    </row>
    <row r="967" spans="1:10" x14ac:dyDescent="0.25">
      <c r="A967" t="s">
        <v>590</v>
      </c>
      <c r="B967" t="s">
        <v>49</v>
      </c>
      <c r="C967" s="82">
        <v>3554000509</v>
      </c>
      <c r="D967">
        <v>201606</v>
      </c>
      <c r="E967" s="1">
        <v>42522</v>
      </c>
      <c r="F967" s="1">
        <v>42551</v>
      </c>
      <c r="G967" t="s">
        <v>591</v>
      </c>
      <c r="H967" s="81">
        <v>0</v>
      </c>
      <c r="I967" t="s">
        <v>27</v>
      </c>
      <c r="J967" s="3">
        <v>92.95</v>
      </c>
    </row>
    <row r="968" spans="1:10" x14ac:dyDescent="0.25">
      <c r="A968" t="s">
        <v>106</v>
      </c>
      <c r="B968" t="s">
        <v>49</v>
      </c>
      <c r="C968" s="82">
        <v>3554578207</v>
      </c>
      <c r="D968">
        <v>201508</v>
      </c>
      <c r="E968" s="1">
        <v>42217</v>
      </c>
      <c r="F968" s="1">
        <v>42247</v>
      </c>
      <c r="G968" t="s">
        <v>581</v>
      </c>
      <c r="H968" s="81">
        <v>0</v>
      </c>
      <c r="I968" t="s">
        <v>27</v>
      </c>
      <c r="J968" s="3">
        <v>20.45</v>
      </c>
    </row>
    <row r="969" spans="1:10" x14ac:dyDescent="0.25">
      <c r="A969" t="s">
        <v>106</v>
      </c>
      <c r="B969" t="s">
        <v>49</v>
      </c>
      <c r="C969" s="82">
        <v>3554578207</v>
      </c>
      <c r="D969">
        <v>201509</v>
      </c>
      <c r="E969" s="1">
        <v>42248</v>
      </c>
      <c r="F969" s="1">
        <v>42277</v>
      </c>
      <c r="G969" t="s">
        <v>581</v>
      </c>
      <c r="H969" s="81">
        <v>0</v>
      </c>
      <c r="I969" t="s">
        <v>27</v>
      </c>
      <c r="J969" s="3">
        <v>20.45</v>
      </c>
    </row>
    <row r="970" spans="1:10" x14ac:dyDescent="0.25">
      <c r="A970" t="s">
        <v>106</v>
      </c>
      <c r="B970" t="s">
        <v>49</v>
      </c>
      <c r="C970" s="82">
        <v>3554578207</v>
      </c>
      <c r="D970">
        <v>201510</v>
      </c>
      <c r="E970" s="1">
        <v>42278</v>
      </c>
      <c r="F970" s="1">
        <v>42308</v>
      </c>
      <c r="G970" t="s">
        <v>581</v>
      </c>
      <c r="H970" s="81">
        <v>65</v>
      </c>
      <c r="I970" t="s">
        <v>27</v>
      </c>
      <c r="J970" s="3">
        <v>450.22</v>
      </c>
    </row>
    <row r="971" spans="1:10" x14ac:dyDescent="0.25">
      <c r="A971" t="s">
        <v>106</v>
      </c>
      <c r="B971" t="s">
        <v>49</v>
      </c>
      <c r="C971" s="82">
        <v>3554578207</v>
      </c>
      <c r="D971">
        <v>201511</v>
      </c>
      <c r="E971" s="1">
        <v>42309</v>
      </c>
      <c r="F971" s="1">
        <v>42338</v>
      </c>
      <c r="G971" t="s">
        <v>581</v>
      </c>
      <c r="H971" s="81">
        <v>166</v>
      </c>
      <c r="I971" t="s">
        <v>27</v>
      </c>
      <c r="J971" s="3">
        <v>1055.6400000000001</v>
      </c>
    </row>
    <row r="972" spans="1:10" x14ac:dyDescent="0.25">
      <c r="A972" t="s">
        <v>106</v>
      </c>
      <c r="B972" t="s">
        <v>49</v>
      </c>
      <c r="C972" s="82">
        <v>3554578207</v>
      </c>
      <c r="D972">
        <v>201512</v>
      </c>
      <c r="E972" s="1">
        <v>42339</v>
      </c>
      <c r="F972" s="1">
        <v>42369</v>
      </c>
      <c r="G972" t="s">
        <v>581</v>
      </c>
      <c r="H972" s="81">
        <v>195</v>
      </c>
      <c r="I972" t="s">
        <v>27</v>
      </c>
      <c r="J972" s="3">
        <v>1218.8499999999999</v>
      </c>
    </row>
    <row r="973" spans="1:10" x14ac:dyDescent="0.25">
      <c r="A973" t="s">
        <v>106</v>
      </c>
      <c r="B973" t="s">
        <v>49</v>
      </c>
      <c r="C973" s="82">
        <v>3554578207</v>
      </c>
      <c r="D973">
        <v>201601</v>
      </c>
      <c r="E973" s="1">
        <v>42370</v>
      </c>
      <c r="F973" s="1">
        <v>42400</v>
      </c>
      <c r="G973" t="s">
        <v>581</v>
      </c>
      <c r="H973" s="81">
        <v>378</v>
      </c>
      <c r="I973" t="s">
        <v>27</v>
      </c>
      <c r="J973" s="3">
        <v>2250.08</v>
      </c>
    </row>
    <row r="974" spans="1:10" x14ac:dyDescent="0.25">
      <c r="A974" t="s">
        <v>106</v>
      </c>
      <c r="B974" t="s">
        <v>49</v>
      </c>
      <c r="C974" s="82">
        <v>3554578207</v>
      </c>
      <c r="D974">
        <v>201602</v>
      </c>
      <c r="E974" s="1">
        <v>42401</v>
      </c>
      <c r="F974" s="1">
        <v>42429</v>
      </c>
      <c r="G974" t="s">
        <v>581</v>
      </c>
      <c r="H974" s="81">
        <v>356</v>
      </c>
      <c r="I974" t="s">
        <v>27</v>
      </c>
      <c r="J974" s="3">
        <v>2190.23</v>
      </c>
    </row>
    <row r="975" spans="1:10" x14ac:dyDescent="0.25">
      <c r="A975" t="s">
        <v>106</v>
      </c>
      <c r="B975" t="s">
        <v>49</v>
      </c>
      <c r="C975" s="82">
        <v>3554578207</v>
      </c>
      <c r="D975">
        <v>201603</v>
      </c>
      <c r="E975" s="1">
        <v>42430</v>
      </c>
      <c r="F975" s="1">
        <v>42460</v>
      </c>
      <c r="G975" t="s">
        <v>581</v>
      </c>
      <c r="H975" s="81">
        <v>192</v>
      </c>
      <c r="I975" t="s">
        <v>27</v>
      </c>
      <c r="J975" s="3">
        <v>1174.0999999999999</v>
      </c>
    </row>
    <row r="976" spans="1:10" x14ac:dyDescent="0.25">
      <c r="A976" t="s">
        <v>106</v>
      </c>
      <c r="B976" t="s">
        <v>49</v>
      </c>
      <c r="C976" s="82">
        <v>3554578207</v>
      </c>
      <c r="D976">
        <v>201604</v>
      </c>
      <c r="E976" s="1">
        <v>42461</v>
      </c>
      <c r="F976" s="1">
        <v>42490</v>
      </c>
      <c r="G976" t="s">
        <v>581</v>
      </c>
      <c r="H976" s="81">
        <v>81</v>
      </c>
      <c r="I976" t="s">
        <v>27</v>
      </c>
      <c r="J976" s="3">
        <v>530.15</v>
      </c>
    </row>
    <row r="977" spans="1:10" x14ac:dyDescent="0.25">
      <c r="A977" t="s">
        <v>106</v>
      </c>
      <c r="B977" t="s">
        <v>49</v>
      </c>
      <c r="C977" s="82">
        <v>3554578207</v>
      </c>
      <c r="D977">
        <v>201605</v>
      </c>
      <c r="E977" s="1">
        <v>42491</v>
      </c>
      <c r="F977" s="1">
        <v>42521</v>
      </c>
      <c r="G977" t="s">
        <v>581</v>
      </c>
      <c r="H977" s="81">
        <v>18</v>
      </c>
      <c r="I977" t="s">
        <v>27</v>
      </c>
      <c r="J977" s="3">
        <v>146.44</v>
      </c>
    </row>
    <row r="978" spans="1:10" x14ac:dyDescent="0.25">
      <c r="A978" t="s">
        <v>106</v>
      </c>
      <c r="B978" t="s">
        <v>49</v>
      </c>
      <c r="C978" s="82">
        <v>3554578207</v>
      </c>
      <c r="D978">
        <v>201606</v>
      </c>
      <c r="E978" s="1">
        <v>42522</v>
      </c>
      <c r="F978" s="1">
        <v>42551</v>
      </c>
      <c r="G978" t="s">
        <v>581</v>
      </c>
      <c r="H978" s="81">
        <v>0</v>
      </c>
      <c r="I978" t="s">
        <v>27</v>
      </c>
      <c r="J978" s="3">
        <v>20.45</v>
      </c>
    </row>
    <row r="979" spans="1:10" x14ac:dyDescent="0.25">
      <c r="A979" t="s">
        <v>495</v>
      </c>
      <c r="B979" t="s">
        <v>49</v>
      </c>
      <c r="C979" s="82">
        <v>3506231004</v>
      </c>
      <c r="D979">
        <v>201507</v>
      </c>
      <c r="E979" s="1">
        <v>42186</v>
      </c>
      <c r="F979" s="1">
        <v>42216</v>
      </c>
      <c r="G979" t="s">
        <v>496</v>
      </c>
      <c r="H979" s="81">
        <v>0</v>
      </c>
      <c r="I979" t="s">
        <v>27</v>
      </c>
      <c r="J979" s="3">
        <v>20.45</v>
      </c>
    </row>
    <row r="980" spans="1:10" x14ac:dyDescent="0.25">
      <c r="A980" t="s">
        <v>495</v>
      </c>
      <c r="B980" t="s">
        <v>49</v>
      </c>
      <c r="C980" s="82">
        <v>3506231004</v>
      </c>
      <c r="D980">
        <v>201508</v>
      </c>
      <c r="E980" s="1">
        <v>42217</v>
      </c>
      <c r="F980" s="1">
        <v>42247</v>
      </c>
      <c r="G980" t="s">
        <v>496</v>
      </c>
      <c r="H980" s="81">
        <v>0</v>
      </c>
      <c r="I980" t="s">
        <v>27</v>
      </c>
      <c r="J980" s="3">
        <v>20.45</v>
      </c>
    </row>
    <row r="981" spans="1:10" x14ac:dyDescent="0.25">
      <c r="A981" t="s">
        <v>495</v>
      </c>
      <c r="B981" t="s">
        <v>49</v>
      </c>
      <c r="C981" s="82">
        <v>3506231004</v>
      </c>
      <c r="D981">
        <v>201509</v>
      </c>
      <c r="E981" s="1">
        <v>42248</v>
      </c>
      <c r="F981" s="1">
        <v>42277</v>
      </c>
      <c r="G981" t="s">
        <v>496</v>
      </c>
      <c r="H981" s="81">
        <v>0</v>
      </c>
      <c r="I981" t="s">
        <v>27</v>
      </c>
      <c r="J981" s="3">
        <v>20.45</v>
      </c>
    </row>
    <row r="982" spans="1:10" x14ac:dyDescent="0.25">
      <c r="A982" t="s">
        <v>495</v>
      </c>
      <c r="B982" t="s">
        <v>49</v>
      </c>
      <c r="C982" s="82">
        <v>3506231004</v>
      </c>
      <c r="D982">
        <v>201510</v>
      </c>
      <c r="E982" s="1">
        <v>42278</v>
      </c>
      <c r="F982" s="1">
        <v>42308</v>
      </c>
      <c r="G982" t="s">
        <v>496</v>
      </c>
      <c r="H982" s="81">
        <v>0</v>
      </c>
      <c r="I982" t="s">
        <v>27</v>
      </c>
      <c r="J982" s="3">
        <v>20.45</v>
      </c>
    </row>
    <row r="983" spans="1:10" x14ac:dyDescent="0.25">
      <c r="A983" t="s">
        <v>495</v>
      </c>
      <c r="B983" t="s">
        <v>49</v>
      </c>
      <c r="C983" s="82">
        <v>3506231004</v>
      </c>
      <c r="D983">
        <v>201511</v>
      </c>
      <c r="E983" s="1">
        <v>42309</v>
      </c>
      <c r="F983" s="1">
        <v>42338</v>
      </c>
      <c r="G983" t="s">
        <v>496</v>
      </c>
      <c r="H983" s="81">
        <v>0</v>
      </c>
      <c r="I983" t="s">
        <v>27</v>
      </c>
      <c r="J983" s="3">
        <v>20.45</v>
      </c>
    </row>
    <row r="984" spans="1:10" x14ac:dyDescent="0.25">
      <c r="A984" t="s">
        <v>495</v>
      </c>
      <c r="B984" t="s">
        <v>49</v>
      </c>
      <c r="C984" s="82">
        <v>3506231004</v>
      </c>
      <c r="D984">
        <v>201512</v>
      </c>
      <c r="E984" s="1">
        <v>42339</v>
      </c>
      <c r="F984" s="1">
        <v>42369</v>
      </c>
      <c r="G984" t="s">
        <v>496</v>
      </c>
      <c r="H984" s="81">
        <v>0</v>
      </c>
      <c r="I984" t="s">
        <v>27</v>
      </c>
      <c r="J984" s="3">
        <v>22</v>
      </c>
    </row>
    <row r="985" spans="1:10" x14ac:dyDescent="0.25">
      <c r="A985" t="s">
        <v>495</v>
      </c>
      <c r="B985" t="s">
        <v>49</v>
      </c>
      <c r="C985" s="82">
        <v>3506231004</v>
      </c>
      <c r="D985">
        <v>201601</v>
      </c>
      <c r="E985" s="1">
        <v>42370</v>
      </c>
      <c r="F985" s="1">
        <v>42400</v>
      </c>
      <c r="G985" t="s">
        <v>496</v>
      </c>
      <c r="H985" s="81">
        <v>0</v>
      </c>
      <c r="I985" t="s">
        <v>27</v>
      </c>
      <c r="J985" s="3">
        <v>20.45</v>
      </c>
    </row>
    <row r="986" spans="1:10" x14ac:dyDescent="0.25">
      <c r="A986" t="s">
        <v>495</v>
      </c>
      <c r="B986" t="s">
        <v>49</v>
      </c>
      <c r="C986" s="82">
        <v>3506231004</v>
      </c>
      <c r="D986">
        <v>201602</v>
      </c>
      <c r="E986" s="1">
        <v>42401</v>
      </c>
      <c r="F986" s="1">
        <v>42429</v>
      </c>
      <c r="G986" t="s">
        <v>496</v>
      </c>
      <c r="H986" s="81">
        <v>0</v>
      </c>
      <c r="I986" t="s">
        <v>27</v>
      </c>
      <c r="J986" s="3">
        <v>21.29</v>
      </c>
    </row>
    <row r="987" spans="1:10" x14ac:dyDescent="0.25">
      <c r="A987" t="s">
        <v>495</v>
      </c>
      <c r="B987" t="s">
        <v>49</v>
      </c>
      <c r="C987" s="82">
        <v>3506231004</v>
      </c>
      <c r="D987">
        <v>201603</v>
      </c>
      <c r="E987" s="1">
        <v>42430</v>
      </c>
      <c r="F987" s="1">
        <v>42460</v>
      </c>
      <c r="G987" t="s">
        <v>496</v>
      </c>
      <c r="H987" s="81">
        <v>0</v>
      </c>
      <c r="I987" t="s">
        <v>27</v>
      </c>
      <c r="J987" s="3">
        <v>20.45</v>
      </c>
    </row>
    <row r="988" spans="1:10" x14ac:dyDescent="0.25">
      <c r="A988" t="s">
        <v>495</v>
      </c>
      <c r="B988" t="s">
        <v>49</v>
      </c>
      <c r="C988" s="82">
        <v>3506231004</v>
      </c>
      <c r="D988">
        <v>201604</v>
      </c>
      <c r="E988" s="1">
        <v>42461</v>
      </c>
      <c r="F988" s="1">
        <v>42490</v>
      </c>
      <c r="G988" t="s">
        <v>496</v>
      </c>
      <c r="H988" s="81">
        <v>0</v>
      </c>
      <c r="I988" t="s">
        <v>27</v>
      </c>
      <c r="J988" s="3">
        <v>20.45</v>
      </c>
    </row>
    <row r="989" spans="1:10" x14ac:dyDescent="0.25">
      <c r="A989" t="s">
        <v>495</v>
      </c>
      <c r="B989" t="s">
        <v>49</v>
      </c>
      <c r="C989" s="82">
        <v>3506231004</v>
      </c>
      <c r="D989">
        <v>201605</v>
      </c>
      <c r="E989" s="1">
        <v>42491</v>
      </c>
      <c r="F989" s="1">
        <v>42521</v>
      </c>
      <c r="G989" t="s">
        <v>496</v>
      </c>
      <c r="H989" s="81">
        <v>0</v>
      </c>
      <c r="I989" t="s">
        <v>27</v>
      </c>
      <c r="J989" s="3">
        <v>20.45</v>
      </c>
    </row>
    <row r="990" spans="1:10" x14ac:dyDescent="0.25">
      <c r="A990" t="s">
        <v>495</v>
      </c>
      <c r="B990" t="s">
        <v>49</v>
      </c>
      <c r="C990" s="82">
        <v>3506231004</v>
      </c>
      <c r="D990">
        <v>201606</v>
      </c>
      <c r="E990" s="1">
        <v>42522</v>
      </c>
      <c r="F990" s="1">
        <v>42551</v>
      </c>
      <c r="G990" t="s">
        <v>496</v>
      </c>
      <c r="H990" s="81">
        <v>0</v>
      </c>
      <c r="I990" t="s">
        <v>27</v>
      </c>
      <c r="J990" s="3">
        <v>20.45</v>
      </c>
    </row>
    <row r="991" spans="1:10" x14ac:dyDescent="0.25">
      <c r="A991" t="s">
        <v>495</v>
      </c>
      <c r="B991" t="s">
        <v>49</v>
      </c>
      <c r="C991" s="82">
        <v>3554000004</v>
      </c>
      <c r="D991">
        <v>201507</v>
      </c>
      <c r="E991" s="1">
        <v>42186</v>
      </c>
      <c r="F991" s="1">
        <v>42216</v>
      </c>
      <c r="G991" t="s">
        <v>499</v>
      </c>
      <c r="H991" s="81">
        <v>426</v>
      </c>
      <c r="I991" t="s">
        <v>27</v>
      </c>
      <c r="J991" s="3">
        <v>1861.5</v>
      </c>
    </row>
    <row r="992" spans="1:10" x14ac:dyDescent="0.25">
      <c r="A992" t="s">
        <v>495</v>
      </c>
      <c r="B992" t="s">
        <v>49</v>
      </c>
      <c r="C992" s="82">
        <v>3554000004</v>
      </c>
      <c r="D992">
        <v>201508</v>
      </c>
      <c r="E992" s="1">
        <v>42217</v>
      </c>
      <c r="F992" s="1">
        <v>42247</v>
      </c>
      <c r="G992" t="s">
        <v>499</v>
      </c>
      <c r="H992" s="81">
        <v>482</v>
      </c>
      <c r="I992" t="s">
        <v>27</v>
      </c>
      <c r="J992" s="3">
        <v>2768.53</v>
      </c>
    </row>
    <row r="993" spans="1:10" x14ac:dyDescent="0.25">
      <c r="A993" t="s">
        <v>495</v>
      </c>
      <c r="B993" t="s">
        <v>49</v>
      </c>
      <c r="C993" s="82">
        <v>3554000004</v>
      </c>
      <c r="D993">
        <v>201509</v>
      </c>
      <c r="E993" s="1">
        <v>42248</v>
      </c>
      <c r="F993" s="1">
        <v>42277</v>
      </c>
      <c r="G993" t="s">
        <v>499</v>
      </c>
      <c r="H993" s="81">
        <v>569</v>
      </c>
      <c r="I993" t="s">
        <v>27</v>
      </c>
      <c r="J993" s="3">
        <v>3230.52</v>
      </c>
    </row>
    <row r="994" spans="1:10" x14ac:dyDescent="0.25">
      <c r="A994" t="s">
        <v>495</v>
      </c>
      <c r="B994" t="s">
        <v>49</v>
      </c>
      <c r="C994" s="82">
        <v>3554000004</v>
      </c>
      <c r="D994">
        <v>201510</v>
      </c>
      <c r="E994" s="1">
        <v>42278</v>
      </c>
      <c r="F994" s="1">
        <v>42308</v>
      </c>
      <c r="G994" t="s">
        <v>499</v>
      </c>
      <c r="H994" s="81">
        <v>837</v>
      </c>
      <c r="I994" t="s">
        <v>27</v>
      </c>
      <c r="J994" s="3">
        <v>4964.93</v>
      </c>
    </row>
    <row r="995" spans="1:10" x14ac:dyDescent="0.25">
      <c r="A995" t="s">
        <v>495</v>
      </c>
      <c r="B995" t="s">
        <v>49</v>
      </c>
      <c r="C995" s="82">
        <v>3554000004</v>
      </c>
      <c r="D995">
        <v>201511</v>
      </c>
      <c r="E995" s="1">
        <v>42309</v>
      </c>
      <c r="F995" s="1">
        <v>42338</v>
      </c>
      <c r="G995" t="s">
        <v>499</v>
      </c>
      <c r="H995" s="81">
        <v>1128</v>
      </c>
      <c r="I995" t="s">
        <v>27</v>
      </c>
      <c r="J995" s="3">
        <v>6584.33</v>
      </c>
    </row>
    <row r="996" spans="1:10" x14ac:dyDescent="0.25">
      <c r="A996" t="s">
        <v>495</v>
      </c>
      <c r="B996" t="s">
        <v>49</v>
      </c>
      <c r="C996" s="82">
        <v>3554000004</v>
      </c>
      <c r="D996">
        <v>201512</v>
      </c>
      <c r="E996" s="1">
        <v>42339</v>
      </c>
      <c r="F996" s="1">
        <v>42369</v>
      </c>
      <c r="G996" t="s">
        <v>499</v>
      </c>
      <c r="H996" s="81">
        <v>1204</v>
      </c>
      <c r="I996" t="s">
        <v>27</v>
      </c>
      <c r="J996" s="3">
        <v>7000.08</v>
      </c>
    </row>
    <row r="997" spans="1:10" x14ac:dyDescent="0.25">
      <c r="A997" t="s">
        <v>495</v>
      </c>
      <c r="B997" t="s">
        <v>49</v>
      </c>
      <c r="C997" s="82">
        <v>3554000004</v>
      </c>
      <c r="D997">
        <v>201601</v>
      </c>
      <c r="E997" s="1">
        <v>42370</v>
      </c>
      <c r="F997" s="1">
        <v>42400</v>
      </c>
      <c r="G997" t="s">
        <v>499</v>
      </c>
      <c r="H997" s="81">
        <v>1329</v>
      </c>
      <c r="I997" t="s">
        <v>27</v>
      </c>
      <c r="J997" s="3">
        <v>7654.72</v>
      </c>
    </row>
    <row r="998" spans="1:10" x14ac:dyDescent="0.25">
      <c r="A998" t="s">
        <v>495</v>
      </c>
      <c r="B998" t="s">
        <v>49</v>
      </c>
      <c r="C998" s="82">
        <v>3554000004</v>
      </c>
      <c r="D998">
        <v>201602</v>
      </c>
      <c r="E998" s="1">
        <v>42401</v>
      </c>
      <c r="F998" s="1">
        <v>42429</v>
      </c>
      <c r="G998" t="s">
        <v>499</v>
      </c>
      <c r="H998" s="81">
        <v>1376</v>
      </c>
      <c r="I998" t="s">
        <v>27</v>
      </c>
      <c r="J998" s="3">
        <v>8194.25</v>
      </c>
    </row>
    <row r="999" spans="1:10" x14ac:dyDescent="0.25">
      <c r="A999" t="s">
        <v>495</v>
      </c>
      <c r="B999" t="s">
        <v>49</v>
      </c>
      <c r="C999" s="82">
        <v>3554000004</v>
      </c>
      <c r="D999">
        <v>201603</v>
      </c>
      <c r="E999" s="1">
        <v>42430</v>
      </c>
      <c r="F999" s="1">
        <v>42460</v>
      </c>
      <c r="G999" t="s">
        <v>499</v>
      </c>
      <c r="H999" s="81">
        <v>1035</v>
      </c>
      <c r="I999" t="s">
        <v>27</v>
      </c>
      <c r="J999" s="3">
        <v>5883.17</v>
      </c>
    </row>
    <row r="1000" spans="1:10" x14ac:dyDescent="0.25">
      <c r="A1000" t="s">
        <v>495</v>
      </c>
      <c r="B1000" t="s">
        <v>49</v>
      </c>
      <c r="C1000" s="82">
        <v>3554000004</v>
      </c>
      <c r="D1000">
        <v>201604</v>
      </c>
      <c r="E1000" s="1">
        <v>42461</v>
      </c>
      <c r="F1000" s="1">
        <v>42490</v>
      </c>
      <c r="G1000" t="s">
        <v>499</v>
      </c>
      <c r="H1000" s="81">
        <v>968</v>
      </c>
      <c r="I1000" t="s">
        <v>27</v>
      </c>
      <c r="J1000" s="3">
        <v>5457.29</v>
      </c>
    </row>
    <row r="1001" spans="1:10" x14ac:dyDescent="0.25">
      <c r="A1001" t="s">
        <v>495</v>
      </c>
      <c r="B1001" t="s">
        <v>49</v>
      </c>
      <c r="C1001" s="82">
        <v>3554000004</v>
      </c>
      <c r="D1001">
        <v>201605</v>
      </c>
      <c r="E1001" s="1">
        <v>42491</v>
      </c>
      <c r="F1001" s="1">
        <v>42521</v>
      </c>
      <c r="G1001" t="s">
        <v>499</v>
      </c>
      <c r="H1001" s="81">
        <v>794</v>
      </c>
      <c r="I1001" t="s">
        <v>27</v>
      </c>
      <c r="J1001" s="3">
        <v>4718.12</v>
      </c>
    </row>
    <row r="1002" spans="1:10" x14ac:dyDescent="0.25">
      <c r="A1002" t="s">
        <v>495</v>
      </c>
      <c r="B1002" t="s">
        <v>49</v>
      </c>
      <c r="C1002" s="82">
        <v>3554000004</v>
      </c>
      <c r="D1002">
        <v>201606</v>
      </c>
      <c r="E1002" s="1">
        <v>42522</v>
      </c>
      <c r="F1002" s="1">
        <v>42551</v>
      </c>
      <c r="G1002" t="s">
        <v>499</v>
      </c>
      <c r="H1002" s="81">
        <v>590</v>
      </c>
      <c r="I1002" t="s">
        <v>27</v>
      </c>
      <c r="J1002" s="3">
        <v>3308.41</v>
      </c>
    </row>
    <row r="1003" spans="1:10" x14ac:dyDescent="0.25">
      <c r="A1003" t="s">
        <v>592</v>
      </c>
      <c r="B1003" t="s">
        <v>49</v>
      </c>
      <c r="C1003" s="82">
        <v>3554080113</v>
      </c>
      <c r="D1003">
        <v>201507</v>
      </c>
      <c r="E1003" s="1">
        <v>42186</v>
      </c>
      <c r="F1003" s="1">
        <v>42216</v>
      </c>
      <c r="G1003" t="s">
        <v>593</v>
      </c>
      <c r="H1003" s="81">
        <v>391</v>
      </c>
      <c r="I1003" t="s">
        <v>27</v>
      </c>
      <c r="J1003" s="3">
        <v>1950.24</v>
      </c>
    </row>
    <row r="1004" spans="1:10" x14ac:dyDescent="0.25">
      <c r="A1004" t="s">
        <v>592</v>
      </c>
      <c r="B1004" t="s">
        <v>49</v>
      </c>
      <c r="C1004" s="82">
        <v>3554080113</v>
      </c>
      <c r="D1004">
        <v>201508</v>
      </c>
      <c r="E1004" s="1">
        <v>42217</v>
      </c>
      <c r="F1004" s="1">
        <v>42247</v>
      </c>
      <c r="G1004" t="s">
        <v>593</v>
      </c>
      <c r="H1004" s="81">
        <v>391</v>
      </c>
      <c r="I1004" t="s">
        <v>27</v>
      </c>
      <c r="J1004" s="3">
        <v>2269.04</v>
      </c>
    </row>
    <row r="1005" spans="1:10" x14ac:dyDescent="0.25">
      <c r="A1005" t="s">
        <v>592</v>
      </c>
      <c r="B1005" t="s">
        <v>49</v>
      </c>
      <c r="C1005" s="82">
        <v>3554080113</v>
      </c>
      <c r="D1005">
        <v>201509</v>
      </c>
      <c r="E1005" s="1">
        <v>42248</v>
      </c>
      <c r="F1005" s="1">
        <v>42277</v>
      </c>
      <c r="G1005" t="s">
        <v>593</v>
      </c>
      <c r="H1005" s="81">
        <v>438</v>
      </c>
      <c r="I1005" t="s">
        <v>27</v>
      </c>
      <c r="J1005" s="3">
        <v>2508.83</v>
      </c>
    </row>
    <row r="1006" spans="1:10" x14ac:dyDescent="0.25">
      <c r="A1006" t="s">
        <v>592</v>
      </c>
      <c r="B1006" t="s">
        <v>49</v>
      </c>
      <c r="C1006" s="82">
        <v>3554080113</v>
      </c>
      <c r="D1006">
        <v>201510</v>
      </c>
      <c r="E1006" s="1">
        <v>42278</v>
      </c>
      <c r="F1006" s="1">
        <v>42308</v>
      </c>
      <c r="G1006" t="s">
        <v>593</v>
      </c>
      <c r="H1006" s="81">
        <v>579</v>
      </c>
      <c r="I1006" t="s">
        <v>27</v>
      </c>
      <c r="J1006" s="3">
        <v>3465.42</v>
      </c>
    </row>
    <row r="1007" spans="1:10" x14ac:dyDescent="0.25">
      <c r="A1007" t="s">
        <v>592</v>
      </c>
      <c r="B1007" t="s">
        <v>49</v>
      </c>
      <c r="C1007" s="82">
        <v>3554080113</v>
      </c>
      <c r="D1007">
        <v>201511</v>
      </c>
      <c r="E1007" s="1">
        <v>42309</v>
      </c>
      <c r="F1007" s="1">
        <v>42338</v>
      </c>
      <c r="G1007" t="s">
        <v>593</v>
      </c>
      <c r="H1007" s="81">
        <v>889</v>
      </c>
      <c r="I1007" t="s">
        <v>27</v>
      </c>
      <c r="J1007" s="3">
        <v>4409.67</v>
      </c>
    </row>
    <row r="1008" spans="1:10" x14ac:dyDescent="0.25">
      <c r="A1008" t="s">
        <v>592</v>
      </c>
      <c r="B1008" t="s">
        <v>49</v>
      </c>
      <c r="C1008" s="82">
        <v>3554080113</v>
      </c>
      <c r="D1008">
        <v>201512</v>
      </c>
      <c r="E1008" s="1">
        <v>42339</v>
      </c>
      <c r="F1008" s="1">
        <v>42369</v>
      </c>
      <c r="G1008" t="s">
        <v>593</v>
      </c>
      <c r="H1008" s="81">
        <v>986</v>
      </c>
      <c r="I1008" t="s">
        <v>27</v>
      </c>
      <c r="J1008" s="3">
        <v>5749.6</v>
      </c>
    </row>
    <row r="1009" spans="1:10" x14ac:dyDescent="0.25">
      <c r="A1009" t="s">
        <v>592</v>
      </c>
      <c r="B1009" t="s">
        <v>49</v>
      </c>
      <c r="C1009" s="82">
        <v>3554080113</v>
      </c>
      <c r="D1009">
        <v>201601</v>
      </c>
      <c r="E1009" s="1">
        <v>42370</v>
      </c>
      <c r="F1009" s="1">
        <v>42400</v>
      </c>
      <c r="G1009" t="s">
        <v>593</v>
      </c>
      <c r="H1009" s="81">
        <v>1315</v>
      </c>
      <c r="I1009" t="s">
        <v>27</v>
      </c>
      <c r="J1009" s="3">
        <v>7578.09</v>
      </c>
    </row>
    <row r="1010" spans="1:10" x14ac:dyDescent="0.25">
      <c r="A1010" t="s">
        <v>592</v>
      </c>
      <c r="B1010" t="s">
        <v>49</v>
      </c>
      <c r="C1010" s="82">
        <v>3554080113</v>
      </c>
      <c r="D1010">
        <v>201602</v>
      </c>
      <c r="E1010" s="1">
        <v>42401</v>
      </c>
      <c r="F1010" s="1">
        <v>42429</v>
      </c>
      <c r="G1010" t="s">
        <v>593</v>
      </c>
      <c r="H1010" s="81">
        <v>1129</v>
      </c>
      <c r="I1010" t="s">
        <v>27</v>
      </c>
      <c r="J1010" s="3">
        <v>6741.65</v>
      </c>
    </row>
    <row r="1011" spans="1:10" x14ac:dyDescent="0.25">
      <c r="A1011" t="s">
        <v>592</v>
      </c>
      <c r="B1011" t="s">
        <v>49</v>
      </c>
      <c r="C1011" s="82">
        <v>3554080113</v>
      </c>
      <c r="D1011">
        <v>201603</v>
      </c>
      <c r="E1011" s="1">
        <v>42430</v>
      </c>
      <c r="F1011" s="1">
        <v>42460</v>
      </c>
      <c r="G1011" t="s">
        <v>593</v>
      </c>
      <c r="H1011" s="81">
        <v>567</v>
      </c>
      <c r="I1011" t="s">
        <v>27</v>
      </c>
      <c r="J1011" s="3">
        <v>3268.36</v>
      </c>
    </row>
    <row r="1012" spans="1:10" x14ac:dyDescent="0.25">
      <c r="A1012" t="s">
        <v>592</v>
      </c>
      <c r="B1012" t="s">
        <v>49</v>
      </c>
      <c r="C1012" s="82">
        <v>3554080113</v>
      </c>
      <c r="D1012">
        <v>201604</v>
      </c>
      <c r="E1012" s="1">
        <v>42461</v>
      </c>
      <c r="F1012" s="1">
        <v>42490</v>
      </c>
      <c r="G1012" t="s">
        <v>593</v>
      </c>
      <c r="H1012" s="81">
        <v>515</v>
      </c>
      <c r="I1012" t="s">
        <v>27</v>
      </c>
      <c r="J1012" s="3">
        <v>2949.64</v>
      </c>
    </row>
    <row r="1013" spans="1:10" x14ac:dyDescent="0.25">
      <c r="A1013" t="s">
        <v>592</v>
      </c>
      <c r="B1013" t="s">
        <v>49</v>
      </c>
      <c r="C1013" s="82">
        <v>3554080113</v>
      </c>
      <c r="D1013">
        <v>201605</v>
      </c>
      <c r="E1013" s="1">
        <v>42491</v>
      </c>
      <c r="F1013" s="1">
        <v>42521</v>
      </c>
      <c r="G1013" t="s">
        <v>593</v>
      </c>
      <c r="H1013" s="81">
        <v>320</v>
      </c>
      <c r="I1013" t="s">
        <v>27</v>
      </c>
      <c r="J1013" s="3">
        <v>1958.57</v>
      </c>
    </row>
    <row r="1014" spans="1:10" x14ac:dyDescent="0.25">
      <c r="A1014" t="s">
        <v>592</v>
      </c>
      <c r="B1014" t="s">
        <v>49</v>
      </c>
      <c r="C1014" s="82">
        <v>3554080113</v>
      </c>
      <c r="D1014">
        <v>201606</v>
      </c>
      <c r="E1014" s="1">
        <v>42522</v>
      </c>
      <c r="F1014" s="1">
        <v>42551</v>
      </c>
      <c r="G1014" t="s">
        <v>593</v>
      </c>
      <c r="H1014" s="81">
        <v>435</v>
      </c>
      <c r="I1014" t="s">
        <v>27</v>
      </c>
      <c r="J1014" s="3">
        <v>2464.5300000000002</v>
      </c>
    </row>
    <row r="1015" spans="1:10" x14ac:dyDescent="0.25">
      <c r="A1015" t="s">
        <v>586</v>
      </c>
      <c r="B1015" t="s">
        <v>49</v>
      </c>
      <c r="C1015" s="82">
        <v>3509165407</v>
      </c>
      <c r="D1015">
        <v>201507</v>
      </c>
      <c r="E1015" s="1">
        <v>42186</v>
      </c>
      <c r="F1015" s="1">
        <v>42216</v>
      </c>
      <c r="G1015" t="s">
        <v>587</v>
      </c>
      <c r="H1015" s="81">
        <v>43</v>
      </c>
      <c r="I1015" t="s">
        <v>27</v>
      </c>
      <c r="J1015" s="3">
        <v>263.95999999999998</v>
      </c>
    </row>
    <row r="1016" spans="1:10" x14ac:dyDescent="0.25">
      <c r="A1016" t="s">
        <v>586</v>
      </c>
      <c r="B1016" t="s">
        <v>49</v>
      </c>
      <c r="C1016" s="82">
        <v>3509165407</v>
      </c>
      <c r="D1016">
        <v>201508</v>
      </c>
      <c r="E1016" s="1">
        <v>42217</v>
      </c>
      <c r="F1016" s="1">
        <v>42247</v>
      </c>
      <c r="G1016" t="s">
        <v>587</v>
      </c>
      <c r="H1016" s="81">
        <v>0</v>
      </c>
      <c r="I1016" t="s">
        <v>27</v>
      </c>
      <c r="J1016" s="3">
        <v>20.45</v>
      </c>
    </row>
    <row r="1017" spans="1:10" x14ac:dyDescent="0.25">
      <c r="A1017" t="s">
        <v>586</v>
      </c>
      <c r="B1017" t="s">
        <v>49</v>
      </c>
      <c r="C1017" s="82">
        <v>3509165407</v>
      </c>
      <c r="D1017">
        <v>201509</v>
      </c>
      <c r="E1017" s="1">
        <v>42248</v>
      </c>
      <c r="F1017" s="1">
        <v>42277</v>
      </c>
      <c r="G1017" t="s">
        <v>587</v>
      </c>
      <c r="H1017" s="81">
        <v>0</v>
      </c>
      <c r="I1017" t="s">
        <v>27</v>
      </c>
      <c r="J1017" s="3">
        <v>20.45</v>
      </c>
    </row>
    <row r="1018" spans="1:10" x14ac:dyDescent="0.25">
      <c r="A1018" t="s">
        <v>586</v>
      </c>
      <c r="B1018" t="s">
        <v>49</v>
      </c>
      <c r="C1018" s="82">
        <v>3509165407</v>
      </c>
      <c r="D1018">
        <v>201510</v>
      </c>
      <c r="E1018" s="1">
        <v>42278</v>
      </c>
      <c r="F1018" s="1">
        <v>42307</v>
      </c>
      <c r="G1018" t="s">
        <v>587</v>
      </c>
      <c r="H1018" s="81">
        <v>4</v>
      </c>
      <c r="I1018" t="s">
        <v>27</v>
      </c>
      <c r="J1018" s="3">
        <v>46.31</v>
      </c>
    </row>
    <row r="1019" spans="1:10" x14ac:dyDescent="0.25">
      <c r="A1019" t="s">
        <v>586</v>
      </c>
      <c r="B1019" t="s">
        <v>49</v>
      </c>
      <c r="C1019" s="82">
        <v>3509165407</v>
      </c>
      <c r="D1019">
        <v>201511</v>
      </c>
      <c r="E1019" s="1">
        <v>42309</v>
      </c>
      <c r="F1019" s="1">
        <v>42338</v>
      </c>
      <c r="G1019" t="s">
        <v>587</v>
      </c>
      <c r="H1019" s="81">
        <v>12</v>
      </c>
      <c r="I1019" t="s">
        <v>27</v>
      </c>
      <c r="J1019" s="3">
        <v>105.56</v>
      </c>
    </row>
    <row r="1020" spans="1:10" x14ac:dyDescent="0.25">
      <c r="A1020" t="s">
        <v>586</v>
      </c>
      <c r="B1020" t="s">
        <v>49</v>
      </c>
      <c r="C1020" s="82">
        <v>3509165407</v>
      </c>
      <c r="D1020">
        <v>201512</v>
      </c>
      <c r="E1020" s="1">
        <v>42339</v>
      </c>
      <c r="F1020" s="1">
        <v>42369</v>
      </c>
      <c r="G1020" t="s">
        <v>587</v>
      </c>
      <c r="H1020" s="81">
        <v>17</v>
      </c>
      <c r="I1020" t="s">
        <v>27</v>
      </c>
      <c r="J1020" s="3">
        <v>138.59</v>
      </c>
    </row>
    <row r="1021" spans="1:10" x14ac:dyDescent="0.25">
      <c r="A1021" t="s">
        <v>586</v>
      </c>
      <c r="B1021" t="s">
        <v>49</v>
      </c>
      <c r="C1021" s="82">
        <v>3509165407</v>
      </c>
      <c r="D1021">
        <v>201601</v>
      </c>
      <c r="E1021" s="1">
        <v>42370</v>
      </c>
      <c r="F1021" s="1">
        <v>42400</v>
      </c>
      <c r="G1021" t="s">
        <v>587</v>
      </c>
      <c r="H1021" s="81">
        <v>26</v>
      </c>
      <c r="I1021" t="s">
        <v>27</v>
      </c>
      <c r="J1021" s="3">
        <v>196.73</v>
      </c>
    </row>
    <row r="1022" spans="1:10" x14ac:dyDescent="0.25">
      <c r="A1022" t="s">
        <v>586</v>
      </c>
      <c r="B1022" t="s">
        <v>49</v>
      </c>
      <c r="C1022" s="82">
        <v>3509165407</v>
      </c>
      <c r="D1022">
        <v>201602</v>
      </c>
      <c r="E1022" s="1">
        <v>42401</v>
      </c>
      <c r="F1022" s="1">
        <v>42429</v>
      </c>
      <c r="G1022" t="s">
        <v>587</v>
      </c>
      <c r="H1022" s="81">
        <v>26</v>
      </c>
      <c r="I1022" t="s">
        <v>27</v>
      </c>
      <c r="J1022" s="3">
        <v>201.68</v>
      </c>
    </row>
    <row r="1023" spans="1:10" x14ac:dyDescent="0.25">
      <c r="A1023" t="s">
        <v>586</v>
      </c>
      <c r="B1023" t="s">
        <v>49</v>
      </c>
      <c r="C1023" s="82">
        <v>3509165407</v>
      </c>
      <c r="D1023">
        <v>201603</v>
      </c>
      <c r="E1023" s="1">
        <v>42430</v>
      </c>
      <c r="F1023" s="1">
        <v>42460</v>
      </c>
      <c r="G1023" t="s">
        <v>587</v>
      </c>
      <c r="H1023" s="81">
        <v>10</v>
      </c>
      <c r="I1023" t="s">
        <v>27</v>
      </c>
      <c r="J1023" s="3">
        <v>87.77</v>
      </c>
    </row>
    <row r="1024" spans="1:10" x14ac:dyDescent="0.25">
      <c r="A1024" t="s">
        <v>586</v>
      </c>
      <c r="B1024" t="s">
        <v>49</v>
      </c>
      <c r="C1024" s="82">
        <v>3509165407</v>
      </c>
      <c r="D1024">
        <v>201604</v>
      </c>
      <c r="E1024" s="1">
        <v>42461</v>
      </c>
      <c r="F1024" s="1">
        <v>42490</v>
      </c>
      <c r="G1024" t="s">
        <v>587</v>
      </c>
      <c r="H1024" s="81">
        <v>6</v>
      </c>
      <c r="I1024" t="s">
        <v>27</v>
      </c>
      <c r="J1024" s="3">
        <v>61.1</v>
      </c>
    </row>
    <row r="1025" spans="1:10" x14ac:dyDescent="0.25">
      <c r="A1025" t="s">
        <v>586</v>
      </c>
      <c r="B1025" t="s">
        <v>49</v>
      </c>
      <c r="C1025" s="82">
        <v>3509165407</v>
      </c>
      <c r="D1025">
        <v>201605</v>
      </c>
      <c r="E1025" s="1">
        <v>42491</v>
      </c>
      <c r="F1025" s="1">
        <v>42521</v>
      </c>
      <c r="G1025" t="s">
        <v>587</v>
      </c>
      <c r="H1025" s="81">
        <v>2</v>
      </c>
      <c r="I1025" t="s">
        <v>27</v>
      </c>
      <c r="J1025" s="3">
        <v>35.21</v>
      </c>
    </row>
    <row r="1026" spans="1:10" x14ac:dyDescent="0.25">
      <c r="A1026" t="s">
        <v>586</v>
      </c>
      <c r="B1026" t="s">
        <v>49</v>
      </c>
      <c r="C1026" s="82">
        <v>3509165407</v>
      </c>
      <c r="D1026">
        <v>201606</v>
      </c>
      <c r="E1026" s="1">
        <v>42522</v>
      </c>
      <c r="F1026" s="1">
        <v>42551</v>
      </c>
      <c r="G1026" t="s">
        <v>587</v>
      </c>
      <c r="H1026" s="81">
        <v>0</v>
      </c>
      <c r="I1026" t="s">
        <v>27</v>
      </c>
      <c r="J1026" s="3">
        <v>20.45</v>
      </c>
    </row>
    <row r="1027" spans="1:10" x14ac:dyDescent="0.25">
      <c r="A1027" t="s">
        <v>588</v>
      </c>
      <c r="B1027" t="s">
        <v>49</v>
      </c>
      <c r="C1027" s="82">
        <v>3509165605</v>
      </c>
      <c r="D1027">
        <v>201507</v>
      </c>
      <c r="E1027" s="1">
        <v>42186</v>
      </c>
      <c r="F1027" s="1">
        <v>42216</v>
      </c>
      <c r="G1027" t="s">
        <v>589</v>
      </c>
      <c r="H1027" s="81">
        <v>0</v>
      </c>
      <c r="I1027" t="s">
        <v>27</v>
      </c>
      <c r="J1027" s="3">
        <v>12.66</v>
      </c>
    </row>
    <row r="1028" spans="1:10" x14ac:dyDescent="0.25">
      <c r="A1028" t="s">
        <v>588</v>
      </c>
      <c r="B1028" t="s">
        <v>49</v>
      </c>
      <c r="C1028" s="82">
        <v>3509165605</v>
      </c>
      <c r="D1028">
        <v>201508</v>
      </c>
      <c r="E1028" s="1">
        <v>42217</v>
      </c>
      <c r="F1028" s="1">
        <v>42247</v>
      </c>
      <c r="G1028" t="s">
        <v>589</v>
      </c>
      <c r="H1028" s="81">
        <v>0</v>
      </c>
      <c r="I1028" t="s">
        <v>27</v>
      </c>
      <c r="J1028" s="3">
        <v>20.45</v>
      </c>
    </row>
    <row r="1029" spans="1:10" x14ac:dyDescent="0.25">
      <c r="A1029" t="s">
        <v>588</v>
      </c>
      <c r="B1029" t="s">
        <v>49</v>
      </c>
      <c r="C1029" s="82">
        <v>3509165605</v>
      </c>
      <c r="D1029">
        <v>201509</v>
      </c>
      <c r="E1029" s="1">
        <v>42248</v>
      </c>
      <c r="F1029" s="1">
        <v>42277</v>
      </c>
      <c r="G1029" t="s">
        <v>589</v>
      </c>
      <c r="H1029" s="81">
        <v>0</v>
      </c>
      <c r="I1029" t="s">
        <v>27</v>
      </c>
      <c r="J1029" s="3">
        <v>23.4</v>
      </c>
    </row>
    <row r="1030" spans="1:10" x14ac:dyDescent="0.25">
      <c r="A1030" t="s">
        <v>588</v>
      </c>
      <c r="B1030" t="s">
        <v>49</v>
      </c>
      <c r="C1030" s="82">
        <v>3509165605</v>
      </c>
      <c r="D1030">
        <v>201510</v>
      </c>
      <c r="E1030" s="1">
        <v>42278</v>
      </c>
      <c r="F1030" s="1">
        <v>42308</v>
      </c>
      <c r="G1030" t="s">
        <v>589</v>
      </c>
      <c r="H1030" s="81">
        <v>5</v>
      </c>
      <c r="I1030" t="s">
        <v>27</v>
      </c>
      <c r="J1030" s="3">
        <v>52.6</v>
      </c>
    </row>
    <row r="1031" spans="1:10" x14ac:dyDescent="0.25">
      <c r="A1031" t="s">
        <v>588</v>
      </c>
      <c r="B1031" t="s">
        <v>49</v>
      </c>
      <c r="C1031" s="82">
        <v>3509165605</v>
      </c>
      <c r="D1031">
        <v>201511</v>
      </c>
      <c r="E1031" s="1">
        <v>42309</v>
      </c>
      <c r="F1031" s="1">
        <v>42338</v>
      </c>
      <c r="G1031" t="s">
        <v>589</v>
      </c>
      <c r="H1031" s="81">
        <v>7</v>
      </c>
      <c r="I1031" t="s">
        <v>27</v>
      </c>
      <c r="J1031" s="3">
        <v>70.77</v>
      </c>
    </row>
    <row r="1032" spans="1:10" x14ac:dyDescent="0.25">
      <c r="A1032" t="s">
        <v>588</v>
      </c>
      <c r="B1032" t="s">
        <v>49</v>
      </c>
      <c r="C1032" s="82">
        <v>3509165605</v>
      </c>
      <c r="D1032">
        <v>201512</v>
      </c>
      <c r="E1032" s="1">
        <v>42339</v>
      </c>
      <c r="F1032" s="1">
        <v>42369</v>
      </c>
      <c r="G1032" t="s">
        <v>589</v>
      </c>
      <c r="H1032" s="81">
        <v>9</v>
      </c>
      <c r="I1032" t="s">
        <v>27</v>
      </c>
      <c r="J1032" s="3">
        <v>80.989999999999995</v>
      </c>
    </row>
    <row r="1033" spans="1:10" x14ac:dyDescent="0.25">
      <c r="A1033" t="s">
        <v>588</v>
      </c>
      <c r="B1033" t="s">
        <v>49</v>
      </c>
      <c r="C1033" s="82">
        <v>3509165605</v>
      </c>
      <c r="D1033">
        <v>201601</v>
      </c>
      <c r="E1033" s="1">
        <v>42370</v>
      </c>
      <c r="F1033" s="1">
        <v>42400</v>
      </c>
      <c r="G1033" t="s">
        <v>589</v>
      </c>
      <c r="H1033" s="81">
        <v>14</v>
      </c>
      <c r="I1033" t="s">
        <v>27</v>
      </c>
      <c r="J1033" s="3">
        <v>117.2</v>
      </c>
    </row>
    <row r="1034" spans="1:10" x14ac:dyDescent="0.25">
      <c r="A1034" t="s">
        <v>588</v>
      </c>
      <c r="B1034" t="s">
        <v>49</v>
      </c>
      <c r="C1034" s="82">
        <v>3509165605</v>
      </c>
      <c r="D1034">
        <v>201602</v>
      </c>
      <c r="E1034" s="1">
        <v>42401</v>
      </c>
      <c r="F1034" s="1">
        <v>42429</v>
      </c>
      <c r="G1034" t="s">
        <v>589</v>
      </c>
      <c r="H1034" s="81">
        <v>15</v>
      </c>
      <c r="I1034" t="s">
        <v>27</v>
      </c>
      <c r="J1034" s="3">
        <v>124.99</v>
      </c>
    </row>
    <row r="1035" spans="1:10" x14ac:dyDescent="0.25">
      <c r="A1035" t="s">
        <v>588</v>
      </c>
      <c r="B1035" t="s">
        <v>49</v>
      </c>
      <c r="C1035" s="82">
        <v>3509165605</v>
      </c>
      <c r="D1035">
        <v>201603</v>
      </c>
      <c r="E1035" s="1">
        <v>42430</v>
      </c>
      <c r="F1035" s="1">
        <v>42460</v>
      </c>
      <c r="G1035" t="s">
        <v>589</v>
      </c>
      <c r="H1035" s="81">
        <v>5</v>
      </c>
      <c r="I1035" t="s">
        <v>27</v>
      </c>
      <c r="J1035" s="3">
        <v>52.94</v>
      </c>
    </row>
    <row r="1036" spans="1:10" x14ac:dyDescent="0.25">
      <c r="A1036" t="s">
        <v>588</v>
      </c>
      <c r="B1036" t="s">
        <v>49</v>
      </c>
      <c r="C1036" s="82">
        <v>3509165605</v>
      </c>
      <c r="D1036">
        <v>201604</v>
      </c>
      <c r="E1036" s="1">
        <v>42461</v>
      </c>
      <c r="F1036" s="1">
        <v>42490</v>
      </c>
      <c r="G1036" t="s">
        <v>589</v>
      </c>
      <c r="H1036" s="81">
        <v>4</v>
      </c>
      <c r="I1036" t="s">
        <v>27</v>
      </c>
      <c r="J1036" s="3">
        <v>46.05</v>
      </c>
    </row>
    <row r="1037" spans="1:10" x14ac:dyDescent="0.25">
      <c r="A1037" t="s">
        <v>588</v>
      </c>
      <c r="B1037" t="s">
        <v>49</v>
      </c>
      <c r="C1037" s="82">
        <v>3509165605</v>
      </c>
      <c r="D1037">
        <v>201605</v>
      </c>
      <c r="E1037" s="1">
        <v>42491</v>
      </c>
      <c r="F1037" s="1">
        <v>42521</v>
      </c>
      <c r="G1037" t="s">
        <v>589</v>
      </c>
      <c r="H1037" s="81">
        <v>2</v>
      </c>
      <c r="I1037" t="s">
        <v>27</v>
      </c>
      <c r="J1037" s="3">
        <v>35.21</v>
      </c>
    </row>
    <row r="1038" spans="1:10" x14ac:dyDescent="0.25">
      <c r="A1038" t="s">
        <v>588</v>
      </c>
      <c r="B1038" t="s">
        <v>49</v>
      </c>
      <c r="C1038" s="82">
        <v>3509165605</v>
      </c>
      <c r="D1038">
        <v>201606</v>
      </c>
      <c r="E1038" s="1">
        <v>42522</v>
      </c>
      <c r="F1038" s="1">
        <v>42551</v>
      </c>
      <c r="G1038" t="s">
        <v>589</v>
      </c>
      <c r="H1038" s="81">
        <v>0</v>
      </c>
      <c r="I1038" t="s">
        <v>27</v>
      </c>
      <c r="J1038" s="3">
        <v>21.17</v>
      </c>
    </row>
    <row r="1039" spans="1:10" x14ac:dyDescent="0.25">
      <c r="A1039" t="s">
        <v>497</v>
      </c>
      <c r="B1039" t="s">
        <v>49</v>
      </c>
      <c r="C1039" s="82">
        <v>3554080204</v>
      </c>
      <c r="D1039">
        <v>201507</v>
      </c>
      <c r="E1039" s="1">
        <v>42186</v>
      </c>
      <c r="F1039" s="1">
        <v>42216</v>
      </c>
      <c r="G1039" t="s">
        <v>498</v>
      </c>
      <c r="H1039" s="81">
        <v>198</v>
      </c>
      <c r="I1039" t="s">
        <v>27</v>
      </c>
      <c r="J1039" s="3">
        <v>750.03</v>
      </c>
    </row>
    <row r="1040" spans="1:10" x14ac:dyDescent="0.25">
      <c r="A1040" t="s">
        <v>497</v>
      </c>
      <c r="B1040" t="s">
        <v>49</v>
      </c>
      <c r="C1040" s="82">
        <v>3554080204</v>
      </c>
      <c r="D1040">
        <v>201508</v>
      </c>
      <c r="E1040" s="1">
        <v>42217</v>
      </c>
      <c r="F1040" s="1">
        <v>42247</v>
      </c>
      <c r="G1040" t="s">
        <v>498</v>
      </c>
      <c r="H1040" s="81">
        <v>212</v>
      </c>
      <c r="I1040" t="s">
        <v>27</v>
      </c>
      <c r="J1040" s="3">
        <v>1272.5999999999999</v>
      </c>
    </row>
    <row r="1041" spans="1:10" x14ac:dyDescent="0.25">
      <c r="A1041" t="s">
        <v>497</v>
      </c>
      <c r="B1041" t="s">
        <v>49</v>
      </c>
      <c r="C1041" s="82">
        <v>3554080204</v>
      </c>
      <c r="D1041">
        <v>201509</v>
      </c>
      <c r="E1041" s="1">
        <v>42248</v>
      </c>
      <c r="F1041" s="1">
        <v>42277</v>
      </c>
      <c r="G1041" t="s">
        <v>498</v>
      </c>
      <c r="H1041" s="81">
        <v>265</v>
      </c>
      <c r="I1041" t="s">
        <v>27</v>
      </c>
      <c r="J1041" s="3">
        <v>1559.74</v>
      </c>
    </row>
    <row r="1042" spans="1:10" x14ac:dyDescent="0.25">
      <c r="A1042" t="s">
        <v>497</v>
      </c>
      <c r="B1042" t="s">
        <v>49</v>
      </c>
      <c r="C1042" s="82">
        <v>3554080204</v>
      </c>
      <c r="D1042">
        <v>201510</v>
      </c>
      <c r="E1042" s="1">
        <v>42278</v>
      </c>
      <c r="F1042" s="1">
        <v>42308</v>
      </c>
      <c r="G1042" t="s">
        <v>498</v>
      </c>
      <c r="H1042" s="81">
        <v>522</v>
      </c>
      <c r="I1042" t="s">
        <v>27</v>
      </c>
      <c r="J1042" s="3">
        <v>3132.26</v>
      </c>
    </row>
    <row r="1043" spans="1:10" x14ac:dyDescent="0.25">
      <c r="A1043" t="s">
        <v>497</v>
      </c>
      <c r="B1043" t="s">
        <v>49</v>
      </c>
      <c r="C1043" s="82">
        <v>3554080204</v>
      </c>
      <c r="D1043">
        <v>201511</v>
      </c>
      <c r="E1043" s="1">
        <v>42309</v>
      </c>
      <c r="F1043" s="1">
        <v>42338</v>
      </c>
      <c r="G1043" t="s">
        <v>498</v>
      </c>
      <c r="H1043" s="81">
        <v>752</v>
      </c>
      <c r="I1043" t="s">
        <v>27</v>
      </c>
      <c r="J1043" s="3">
        <v>4424.57</v>
      </c>
    </row>
    <row r="1044" spans="1:10" x14ac:dyDescent="0.25">
      <c r="A1044" t="s">
        <v>497</v>
      </c>
      <c r="B1044" t="s">
        <v>49</v>
      </c>
      <c r="C1044" s="82">
        <v>3554080204</v>
      </c>
      <c r="D1044">
        <v>201512</v>
      </c>
      <c r="E1044" s="1">
        <v>42339</v>
      </c>
      <c r="F1044" s="1">
        <v>42369</v>
      </c>
      <c r="G1044" t="s">
        <v>498</v>
      </c>
      <c r="H1044" s="81">
        <v>844</v>
      </c>
      <c r="I1044" t="s">
        <v>27</v>
      </c>
      <c r="J1044" s="3">
        <v>4938.1899999999996</v>
      </c>
    </row>
    <row r="1045" spans="1:10" x14ac:dyDescent="0.25">
      <c r="A1045" t="s">
        <v>497</v>
      </c>
      <c r="B1045" t="s">
        <v>49</v>
      </c>
      <c r="C1045" s="82">
        <v>3554080204</v>
      </c>
      <c r="D1045">
        <v>201601</v>
      </c>
      <c r="E1045" s="1">
        <v>42370</v>
      </c>
      <c r="F1045" s="1">
        <v>42400</v>
      </c>
      <c r="G1045" t="s">
        <v>498</v>
      </c>
      <c r="H1045" s="81">
        <v>1279</v>
      </c>
      <c r="I1045" t="s">
        <v>27</v>
      </c>
      <c r="J1045" s="3">
        <v>7369.16</v>
      </c>
    </row>
    <row r="1046" spans="1:10" x14ac:dyDescent="0.25">
      <c r="A1046" t="s">
        <v>497</v>
      </c>
      <c r="B1046" t="s">
        <v>49</v>
      </c>
      <c r="C1046" s="82">
        <v>3554080204</v>
      </c>
      <c r="D1046">
        <v>201602</v>
      </c>
      <c r="E1046" s="1">
        <v>42401</v>
      </c>
      <c r="F1046" s="1">
        <v>42429</v>
      </c>
      <c r="G1046" t="s">
        <v>498</v>
      </c>
      <c r="H1046" s="81">
        <v>1262</v>
      </c>
      <c r="I1046" t="s">
        <v>27</v>
      </c>
      <c r="J1046" s="3">
        <v>7520.67</v>
      </c>
    </row>
    <row r="1047" spans="1:10" x14ac:dyDescent="0.25">
      <c r="A1047" t="s">
        <v>497</v>
      </c>
      <c r="B1047" t="s">
        <v>49</v>
      </c>
      <c r="C1047" s="82">
        <v>3554080204</v>
      </c>
      <c r="D1047">
        <v>201603</v>
      </c>
      <c r="E1047" s="1">
        <v>42430</v>
      </c>
      <c r="F1047" s="1">
        <v>42460</v>
      </c>
      <c r="G1047" t="s">
        <v>498</v>
      </c>
      <c r="H1047" s="81">
        <v>662</v>
      </c>
      <c r="I1047" t="s">
        <v>27</v>
      </c>
      <c r="J1047" s="3">
        <v>3798.49</v>
      </c>
    </row>
    <row r="1048" spans="1:10" x14ac:dyDescent="0.25">
      <c r="A1048" t="s">
        <v>497</v>
      </c>
      <c r="B1048" t="s">
        <v>49</v>
      </c>
      <c r="C1048" s="82">
        <v>3554080204</v>
      </c>
      <c r="D1048">
        <v>201604</v>
      </c>
      <c r="E1048" s="1">
        <v>42461</v>
      </c>
      <c r="F1048" s="1">
        <v>42490</v>
      </c>
      <c r="G1048" t="s">
        <v>498</v>
      </c>
      <c r="H1048" s="81">
        <v>573</v>
      </c>
      <c r="I1048" t="s">
        <v>27</v>
      </c>
      <c r="J1048" s="3">
        <v>3271.58</v>
      </c>
    </row>
    <row r="1049" spans="1:10" x14ac:dyDescent="0.25">
      <c r="A1049" t="s">
        <v>497</v>
      </c>
      <c r="B1049" t="s">
        <v>49</v>
      </c>
      <c r="C1049" s="82">
        <v>3554080204</v>
      </c>
      <c r="D1049">
        <v>201605</v>
      </c>
      <c r="E1049" s="1">
        <v>42491</v>
      </c>
      <c r="F1049" s="1">
        <v>42521</v>
      </c>
      <c r="G1049" t="s">
        <v>498</v>
      </c>
      <c r="H1049" s="81">
        <v>395</v>
      </c>
      <c r="I1049" t="s">
        <v>27</v>
      </c>
      <c r="J1049" s="3">
        <v>2397.86</v>
      </c>
    </row>
    <row r="1050" spans="1:10" x14ac:dyDescent="0.25">
      <c r="A1050" t="s">
        <v>497</v>
      </c>
      <c r="B1050" t="s">
        <v>49</v>
      </c>
      <c r="C1050" s="82">
        <v>3554080204</v>
      </c>
      <c r="D1050">
        <v>201606</v>
      </c>
      <c r="E1050" s="1">
        <v>42522</v>
      </c>
      <c r="F1050" s="1">
        <v>42551</v>
      </c>
      <c r="G1050" t="s">
        <v>498</v>
      </c>
      <c r="H1050" s="81">
        <v>282</v>
      </c>
      <c r="I1050" t="s">
        <v>27</v>
      </c>
      <c r="J1050" s="3">
        <v>1636.09</v>
      </c>
    </row>
    <row r="1051" spans="1:10" x14ac:dyDescent="0.25">
      <c r="A1051" t="s">
        <v>594</v>
      </c>
      <c r="B1051" t="s">
        <v>49</v>
      </c>
      <c r="C1051" s="82">
        <v>3554001606</v>
      </c>
      <c r="D1051">
        <v>201507</v>
      </c>
      <c r="E1051" s="1">
        <v>42186</v>
      </c>
      <c r="F1051" s="1">
        <v>42216</v>
      </c>
      <c r="G1051" t="s">
        <v>595</v>
      </c>
      <c r="H1051" s="81">
        <v>0</v>
      </c>
      <c r="I1051" t="s">
        <v>27</v>
      </c>
      <c r="J1051" s="3">
        <v>12.06</v>
      </c>
    </row>
    <row r="1052" spans="1:10" x14ac:dyDescent="0.25">
      <c r="A1052" t="s">
        <v>594</v>
      </c>
      <c r="B1052" t="s">
        <v>49</v>
      </c>
      <c r="C1052" s="82">
        <v>3554001606</v>
      </c>
      <c r="D1052">
        <v>201508</v>
      </c>
      <c r="E1052" s="1">
        <v>42217</v>
      </c>
      <c r="F1052" s="1">
        <v>42247</v>
      </c>
      <c r="G1052" t="s">
        <v>595</v>
      </c>
      <c r="H1052" s="81">
        <v>0</v>
      </c>
      <c r="I1052" t="s">
        <v>27</v>
      </c>
      <c r="J1052" s="3">
        <v>12.01</v>
      </c>
    </row>
    <row r="1053" spans="1:10" x14ac:dyDescent="0.25">
      <c r="A1053" t="s">
        <v>594</v>
      </c>
      <c r="B1053" t="s">
        <v>49</v>
      </c>
      <c r="C1053" s="82">
        <v>3554001606</v>
      </c>
      <c r="D1053">
        <v>201509</v>
      </c>
      <c r="E1053" s="1">
        <v>42248</v>
      </c>
      <c r="F1053" s="1">
        <v>42277</v>
      </c>
      <c r="G1053" t="s">
        <v>595</v>
      </c>
      <c r="H1053" s="81">
        <v>0</v>
      </c>
      <c r="I1053" t="s">
        <v>27</v>
      </c>
      <c r="J1053" s="3">
        <v>14.54</v>
      </c>
    </row>
    <row r="1054" spans="1:10" x14ac:dyDescent="0.25">
      <c r="A1054" t="s">
        <v>594</v>
      </c>
      <c r="B1054" t="s">
        <v>49</v>
      </c>
      <c r="C1054" s="82">
        <v>3554001606</v>
      </c>
      <c r="D1054">
        <v>201510</v>
      </c>
      <c r="E1054" s="1">
        <v>42278</v>
      </c>
      <c r="F1054" s="1">
        <v>42308</v>
      </c>
      <c r="G1054" t="s">
        <v>595</v>
      </c>
      <c r="H1054" s="81">
        <v>35</v>
      </c>
      <c r="I1054" t="s">
        <v>27</v>
      </c>
      <c r="J1054" s="3">
        <v>250.5</v>
      </c>
    </row>
    <row r="1055" spans="1:10" x14ac:dyDescent="0.25">
      <c r="A1055" t="s">
        <v>594</v>
      </c>
      <c r="B1055" t="s">
        <v>49</v>
      </c>
      <c r="C1055" s="82">
        <v>3554001606</v>
      </c>
      <c r="D1055">
        <v>201511</v>
      </c>
      <c r="E1055" s="1">
        <v>42309</v>
      </c>
      <c r="F1055" s="1">
        <v>42338</v>
      </c>
      <c r="G1055" t="s">
        <v>595</v>
      </c>
      <c r="H1055" s="81">
        <v>79</v>
      </c>
      <c r="I1055" t="s">
        <v>27</v>
      </c>
      <c r="J1055" s="3">
        <v>530.57000000000005</v>
      </c>
    </row>
    <row r="1056" spans="1:10" x14ac:dyDescent="0.25">
      <c r="A1056" t="s">
        <v>594</v>
      </c>
      <c r="B1056" t="s">
        <v>49</v>
      </c>
      <c r="C1056" s="82">
        <v>3554001606</v>
      </c>
      <c r="D1056">
        <v>201512</v>
      </c>
      <c r="E1056" s="1">
        <v>42339</v>
      </c>
      <c r="F1056" s="1">
        <v>42369</v>
      </c>
      <c r="G1056" t="s">
        <v>595</v>
      </c>
      <c r="H1056" s="81">
        <v>112</v>
      </c>
      <c r="I1056" t="s">
        <v>27</v>
      </c>
      <c r="J1056" s="3">
        <v>731.07</v>
      </c>
    </row>
    <row r="1057" spans="1:10" x14ac:dyDescent="0.25">
      <c r="A1057" t="s">
        <v>594</v>
      </c>
      <c r="B1057" t="s">
        <v>49</v>
      </c>
      <c r="C1057" s="82">
        <v>3554001606</v>
      </c>
      <c r="D1057">
        <v>201601</v>
      </c>
      <c r="E1057" s="1">
        <v>42370</v>
      </c>
      <c r="F1057" s="1">
        <v>42400</v>
      </c>
      <c r="G1057" t="s">
        <v>595</v>
      </c>
      <c r="H1057" s="81">
        <v>184</v>
      </c>
      <c r="I1057" t="s">
        <v>27</v>
      </c>
      <c r="J1057" s="3">
        <v>1146.56</v>
      </c>
    </row>
    <row r="1058" spans="1:10" x14ac:dyDescent="0.25">
      <c r="A1058" t="s">
        <v>594</v>
      </c>
      <c r="B1058" t="s">
        <v>49</v>
      </c>
      <c r="C1058" s="82">
        <v>3554001606</v>
      </c>
      <c r="D1058">
        <v>201602</v>
      </c>
      <c r="E1058" s="1">
        <v>42401</v>
      </c>
      <c r="F1058" s="1">
        <v>42429</v>
      </c>
      <c r="G1058" t="s">
        <v>595</v>
      </c>
      <c r="H1058" s="81">
        <v>167</v>
      </c>
      <c r="I1058" t="s">
        <v>27</v>
      </c>
      <c r="J1058" s="3">
        <v>1035.96</v>
      </c>
    </row>
    <row r="1059" spans="1:10" x14ac:dyDescent="0.25">
      <c r="A1059" t="s">
        <v>594</v>
      </c>
      <c r="B1059" t="s">
        <v>49</v>
      </c>
      <c r="C1059" s="82">
        <v>3554001606</v>
      </c>
      <c r="D1059">
        <v>201603</v>
      </c>
      <c r="E1059" s="1">
        <v>42430</v>
      </c>
      <c r="F1059" s="1">
        <v>42460</v>
      </c>
      <c r="G1059" t="s">
        <v>595</v>
      </c>
      <c r="H1059" s="81">
        <v>73</v>
      </c>
      <c r="I1059" t="s">
        <v>27</v>
      </c>
      <c r="J1059" s="3">
        <v>486</v>
      </c>
    </row>
    <row r="1060" spans="1:10" x14ac:dyDescent="0.25">
      <c r="A1060" t="s">
        <v>594</v>
      </c>
      <c r="B1060" t="s">
        <v>49</v>
      </c>
      <c r="C1060" s="82">
        <v>3554001606</v>
      </c>
      <c r="D1060">
        <v>201604</v>
      </c>
      <c r="E1060" s="1">
        <v>42461</v>
      </c>
      <c r="F1060" s="1">
        <v>42490</v>
      </c>
      <c r="G1060" t="s">
        <v>595</v>
      </c>
      <c r="H1060" s="81">
        <v>42</v>
      </c>
      <c r="I1060" t="s">
        <v>27</v>
      </c>
      <c r="J1060" s="3">
        <v>277.17</v>
      </c>
    </row>
    <row r="1061" spans="1:10" x14ac:dyDescent="0.25">
      <c r="A1061" t="s">
        <v>594</v>
      </c>
      <c r="B1061" t="s">
        <v>49</v>
      </c>
      <c r="C1061" s="82">
        <v>3554001606</v>
      </c>
      <c r="D1061">
        <v>201605</v>
      </c>
      <c r="E1061" s="1">
        <v>42491</v>
      </c>
      <c r="F1061" s="1">
        <v>42521</v>
      </c>
      <c r="G1061" t="s">
        <v>595</v>
      </c>
      <c r="H1061" s="81">
        <v>29</v>
      </c>
      <c r="I1061" t="s">
        <v>27</v>
      </c>
      <c r="J1061" s="3">
        <v>211.56</v>
      </c>
    </row>
    <row r="1062" spans="1:10" x14ac:dyDescent="0.25">
      <c r="A1062" t="s">
        <v>594</v>
      </c>
      <c r="B1062" t="s">
        <v>49</v>
      </c>
      <c r="C1062" s="82">
        <v>3554001606</v>
      </c>
      <c r="D1062">
        <v>201606</v>
      </c>
      <c r="E1062" s="1">
        <v>42522</v>
      </c>
      <c r="F1062" s="1">
        <v>42551</v>
      </c>
      <c r="G1062" t="s">
        <v>595</v>
      </c>
      <c r="H1062" s="81">
        <v>0</v>
      </c>
      <c r="I1062" t="s">
        <v>27</v>
      </c>
      <c r="J1062" s="3">
        <v>13.79</v>
      </c>
    </row>
    <row r="1063" spans="1:10" x14ac:dyDescent="0.25">
      <c r="E1063" s="1"/>
      <c r="F1063" s="1"/>
      <c r="H1063" s="96">
        <f>SUM(H920:H1062)</f>
        <v>29282</v>
      </c>
      <c r="I1063" t="s">
        <v>27</v>
      </c>
      <c r="J1063" s="95">
        <f>SUM(J920:J1062)</f>
        <v>172112.12000000005</v>
      </c>
    </row>
    <row r="1064" spans="1:10" ht="15.75" thickBot="1" x14ac:dyDescent="0.3">
      <c r="E1064" s="1"/>
      <c r="F1064" s="1"/>
      <c r="G1064" s="20" t="s">
        <v>739</v>
      </c>
      <c r="H1064" s="97">
        <v>-1215</v>
      </c>
      <c r="J1064" s="98">
        <v>-10447.459999999999</v>
      </c>
    </row>
    <row r="1065" spans="1:10" ht="15.75" thickBot="1" x14ac:dyDescent="0.3">
      <c r="E1065" s="1"/>
      <c r="F1065" s="1"/>
      <c r="H1065" s="91">
        <f>SUM(H1063:H1064)</f>
        <v>28067</v>
      </c>
      <c r="J1065" s="6">
        <f>SUM(J1063:J1064)</f>
        <v>161664.66000000006</v>
      </c>
    </row>
    <row r="1066" spans="1:10" x14ac:dyDescent="0.25">
      <c r="E1066" s="1"/>
      <c r="F1066" s="1"/>
      <c r="H1066" s="81"/>
      <c r="J1066" s="3"/>
    </row>
    <row r="1067" spans="1:10" x14ac:dyDescent="0.25">
      <c r="A1067" t="s">
        <v>57</v>
      </c>
      <c r="B1067" t="s">
        <v>59</v>
      </c>
      <c r="C1067" s="82">
        <v>306220377</v>
      </c>
      <c r="D1067">
        <v>201507</v>
      </c>
      <c r="E1067" s="1">
        <v>42186</v>
      </c>
      <c r="F1067" s="1">
        <v>42214</v>
      </c>
      <c r="G1067" t="s">
        <v>722</v>
      </c>
      <c r="H1067" s="81">
        <v>93</v>
      </c>
      <c r="I1067" t="s">
        <v>47</v>
      </c>
      <c r="J1067" s="3">
        <v>958.09</v>
      </c>
    </row>
    <row r="1068" spans="1:10" x14ac:dyDescent="0.25">
      <c r="A1068" t="s">
        <v>57</v>
      </c>
      <c r="B1068" t="s">
        <v>59</v>
      </c>
      <c r="C1068" s="82">
        <v>306220377</v>
      </c>
      <c r="D1068">
        <v>201508</v>
      </c>
      <c r="E1068" s="1">
        <v>42215</v>
      </c>
      <c r="F1068" s="1">
        <v>42243</v>
      </c>
      <c r="G1068" t="s">
        <v>722</v>
      </c>
      <c r="H1068" s="81">
        <v>125</v>
      </c>
      <c r="I1068" t="s">
        <v>47</v>
      </c>
      <c r="J1068" s="3">
        <v>1276.73</v>
      </c>
    </row>
    <row r="1069" spans="1:10" x14ac:dyDescent="0.25">
      <c r="A1069" t="s">
        <v>57</v>
      </c>
      <c r="B1069" t="s">
        <v>59</v>
      </c>
      <c r="C1069" s="82">
        <v>306220377</v>
      </c>
      <c r="D1069">
        <v>201509</v>
      </c>
      <c r="E1069" s="1">
        <v>42244</v>
      </c>
      <c r="F1069" s="1">
        <v>42275</v>
      </c>
      <c r="G1069" t="s">
        <v>722</v>
      </c>
      <c r="H1069" s="81">
        <v>182</v>
      </c>
      <c r="I1069" t="s">
        <v>47</v>
      </c>
      <c r="J1069" s="3">
        <v>1904.08</v>
      </c>
    </row>
    <row r="1070" spans="1:10" x14ac:dyDescent="0.25">
      <c r="A1070" t="s">
        <v>57</v>
      </c>
      <c r="B1070" t="s">
        <v>59</v>
      </c>
      <c r="C1070" s="82">
        <v>306220377</v>
      </c>
      <c r="D1070">
        <v>201510</v>
      </c>
      <c r="E1070" s="1">
        <v>42276</v>
      </c>
      <c r="F1070" s="1">
        <v>42310</v>
      </c>
      <c r="G1070" t="s">
        <v>722</v>
      </c>
      <c r="H1070" s="81">
        <v>182</v>
      </c>
      <c r="I1070" t="s">
        <v>47</v>
      </c>
      <c r="J1070" s="3">
        <v>1904.08</v>
      </c>
    </row>
    <row r="1071" spans="1:10" x14ac:dyDescent="0.25">
      <c r="A1071" t="s">
        <v>57</v>
      </c>
      <c r="B1071" t="s">
        <v>59</v>
      </c>
      <c r="C1071" s="82">
        <v>306220377</v>
      </c>
      <c r="D1071">
        <v>201511</v>
      </c>
      <c r="E1071" s="1">
        <v>42311</v>
      </c>
      <c r="F1071" s="1">
        <v>42341</v>
      </c>
      <c r="G1071" t="s">
        <v>722</v>
      </c>
      <c r="H1071" s="81">
        <v>111</v>
      </c>
      <c r="I1071" t="s">
        <v>47</v>
      </c>
      <c r="J1071" s="3">
        <v>1147.93</v>
      </c>
    </row>
    <row r="1072" spans="1:10" x14ac:dyDescent="0.25">
      <c r="A1072" t="s">
        <v>57</v>
      </c>
      <c r="B1072" t="s">
        <v>59</v>
      </c>
      <c r="C1072" s="82">
        <v>306220377</v>
      </c>
      <c r="D1072">
        <v>201512</v>
      </c>
      <c r="E1072" s="1">
        <v>42342</v>
      </c>
      <c r="F1072" s="1">
        <v>42369</v>
      </c>
      <c r="G1072" t="s">
        <v>722</v>
      </c>
      <c r="H1072" s="81">
        <v>78</v>
      </c>
      <c r="I1072" t="s">
        <v>47</v>
      </c>
      <c r="J1072" s="3">
        <v>844.33</v>
      </c>
    </row>
    <row r="1073" spans="1:10" x14ac:dyDescent="0.25">
      <c r="A1073" t="s">
        <v>57</v>
      </c>
      <c r="B1073" t="s">
        <v>59</v>
      </c>
      <c r="C1073" s="82">
        <v>306220377</v>
      </c>
      <c r="D1073">
        <v>201601</v>
      </c>
      <c r="E1073" s="1">
        <v>42370</v>
      </c>
      <c r="F1073" s="1">
        <v>42402</v>
      </c>
      <c r="G1073" t="s">
        <v>722</v>
      </c>
      <c r="H1073" s="81">
        <v>86</v>
      </c>
      <c r="I1073" t="s">
        <v>47</v>
      </c>
      <c r="J1073" s="3">
        <v>917.93</v>
      </c>
    </row>
    <row r="1074" spans="1:10" x14ac:dyDescent="0.25">
      <c r="A1074" t="s">
        <v>57</v>
      </c>
      <c r="B1074" t="s">
        <v>59</v>
      </c>
      <c r="C1074" s="82">
        <v>306220377</v>
      </c>
      <c r="D1074">
        <v>201602</v>
      </c>
      <c r="E1074" s="1">
        <v>42403</v>
      </c>
      <c r="F1074" s="1">
        <v>42433</v>
      </c>
      <c r="G1074" t="s">
        <v>722</v>
      </c>
      <c r="H1074" s="81">
        <v>130</v>
      </c>
      <c r="I1074" t="s">
        <v>47</v>
      </c>
      <c r="J1074" s="3">
        <v>1322.73</v>
      </c>
    </row>
    <row r="1075" spans="1:10" x14ac:dyDescent="0.25">
      <c r="A1075" t="s">
        <v>57</v>
      </c>
      <c r="B1075" t="s">
        <v>59</v>
      </c>
      <c r="C1075" s="82">
        <v>306220377</v>
      </c>
      <c r="D1075">
        <v>201603</v>
      </c>
      <c r="E1075" s="1">
        <v>42434</v>
      </c>
      <c r="F1075" s="1">
        <v>42461</v>
      </c>
      <c r="G1075" t="s">
        <v>722</v>
      </c>
      <c r="H1075" s="81">
        <v>105</v>
      </c>
      <c r="I1075" t="s">
        <v>47</v>
      </c>
      <c r="J1075" s="3">
        <v>1107.95</v>
      </c>
    </row>
    <row r="1076" spans="1:10" x14ac:dyDescent="0.25">
      <c r="A1076" t="s">
        <v>57</v>
      </c>
      <c r="B1076" t="s">
        <v>59</v>
      </c>
      <c r="C1076" s="82">
        <v>306220377</v>
      </c>
      <c r="D1076">
        <v>201604</v>
      </c>
      <c r="E1076" s="1">
        <v>42462</v>
      </c>
      <c r="F1076" s="1">
        <v>42493</v>
      </c>
      <c r="G1076" t="s">
        <v>722</v>
      </c>
      <c r="H1076" s="81">
        <v>130</v>
      </c>
      <c r="I1076" t="s">
        <v>47</v>
      </c>
      <c r="J1076" s="3">
        <v>1341.2</v>
      </c>
    </row>
    <row r="1077" spans="1:10" x14ac:dyDescent="0.25">
      <c r="A1077" t="s">
        <v>57</v>
      </c>
      <c r="B1077" t="s">
        <v>59</v>
      </c>
      <c r="C1077" s="82">
        <v>306220377</v>
      </c>
      <c r="D1077">
        <v>201605</v>
      </c>
      <c r="E1077" s="1">
        <v>42494</v>
      </c>
      <c r="F1077" s="1">
        <v>42521</v>
      </c>
      <c r="G1077" t="s">
        <v>722</v>
      </c>
      <c r="H1077" s="81">
        <v>90</v>
      </c>
      <c r="I1077" t="s">
        <v>47</v>
      </c>
      <c r="J1077" s="3">
        <v>968</v>
      </c>
    </row>
    <row r="1078" spans="1:10" x14ac:dyDescent="0.25">
      <c r="A1078" t="s">
        <v>57</v>
      </c>
      <c r="B1078" t="s">
        <v>59</v>
      </c>
      <c r="C1078" s="82">
        <v>306220377</v>
      </c>
      <c r="D1078">
        <v>201606</v>
      </c>
      <c r="E1078" s="1">
        <v>42522</v>
      </c>
      <c r="F1078" s="1">
        <v>42550</v>
      </c>
      <c r="G1078" t="s">
        <v>722</v>
      </c>
      <c r="H1078" s="81">
        <v>98</v>
      </c>
      <c r="I1078" t="s">
        <v>47</v>
      </c>
      <c r="J1078" s="3">
        <v>1042.6400000000001</v>
      </c>
    </row>
    <row r="1079" spans="1:10" x14ac:dyDescent="0.25">
      <c r="A1079" t="s">
        <v>582</v>
      </c>
      <c r="B1079" t="s">
        <v>59</v>
      </c>
      <c r="C1079" s="82">
        <v>306567876</v>
      </c>
      <c r="D1079">
        <v>201509</v>
      </c>
      <c r="E1079" s="1">
        <v>42222</v>
      </c>
      <c r="F1079" s="1">
        <v>42313</v>
      </c>
      <c r="G1079" t="s">
        <v>725</v>
      </c>
      <c r="H1079" s="81">
        <v>10</v>
      </c>
      <c r="I1079" t="s">
        <v>47</v>
      </c>
      <c r="J1079" s="3">
        <v>35.299999999999997</v>
      </c>
    </row>
    <row r="1080" spans="1:10" x14ac:dyDescent="0.25">
      <c r="A1080" t="s">
        <v>582</v>
      </c>
      <c r="B1080" t="s">
        <v>59</v>
      </c>
      <c r="C1080" s="82">
        <v>306567876</v>
      </c>
      <c r="D1080">
        <v>201512</v>
      </c>
      <c r="E1080" s="1">
        <v>42314</v>
      </c>
      <c r="F1080" s="1">
        <v>42408</v>
      </c>
      <c r="G1080" t="s">
        <v>725</v>
      </c>
      <c r="H1080" s="81">
        <v>13</v>
      </c>
      <c r="I1080" t="s">
        <v>47</v>
      </c>
      <c r="J1080" s="3">
        <v>42.95</v>
      </c>
    </row>
    <row r="1081" spans="1:10" x14ac:dyDescent="0.25">
      <c r="A1081" t="s">
        <v>582</v>
      </c>
      <c r="B1081" t="s">
        <v>59</v>
      </c>
      <c r="C1081" s="82">
        <v>306567876</v>
      </c>
      <c r="D1081">
        <v>201603</v>
      </c>
      <c r="E1081" s="1">
        <v>42409</v>
      </c>
      <c r="F1081" s="1">
        <v>42496</v>
      </c>
      <c r="G1081" t="s">
        <v>725</v>
      </c>
      <c r="H1081" s="81">
        <v>10</v>
      </c>
      <c r="I1081" t="s">
        <v>47</v>
      </c>
      <c r="J1081" s="3">
        <v>36.9</v>
      </c>
    </row>
    <row r="1082" spans="1:10" x14ac:dyDescent="0.25">
      <c r="A1082" t="s">
        <v>582</v>
      </c>
      <c r="B1082" t="s">
        <v>59</v>
      </c>
      <c r="C1082" s="82">
        <v>306567876</v>
      </c>
      <c r="D1082">
        <v>201606</v>
      </c>
      <c r="E1082" s="1">
        <v>42497</v>
      </c>
      <c r="F1082" s="1">
        <v>42591</v>
      </c>
      <c r="G1082" t="s">
        <v>725</v>
      </c>
      <c r="H1082" s="81">
        <v>4</v>
      </c>
      <c r="I1082" t="s">
        <v>47</v>
      </c>
      <c r="J1082" s="3">
        <v>20.82</v>
      </c>
    </row>
    <row r="1083" spans="1:10" x14ac:dyDescent="0.25">
      <c r="A1083" t="s">
        <v>691</v>
      </c>
      <c r="B1083" t="s">
        <v>59</v>
      </c>
      <c r="C1083" s="82">
        <v>305395659</v>
      </c>
      <c r="D1083">
        <v>201507</v>
      </c>
      <c r="E1083" s="1">
        <v>42186</v>
      </c>
      <c r="F1083" s="1">
        <v>42214</v>
      </c>
      <c r="G1083" t="s">
        <v>709</v>
      </c>
      <c r="H1083" s="81">
        <v>19</v>
      </c>
      <c r="I1083" t="s">
        <v>47</v>
      </c>
      <c r="J1083" s="3">
        <v>209.21</v>
      </c>
    </row>
    <row r="1084" spans="1:10" x14ac:dyDescent="0.25">
      <c r="A1084" t="s">
        <v>691</v>
      </c>
      <c r="B1084" t="s">
        <v>59</v>
      </c>
      <c r="C1084" s="82">
        <v>305395659</v>
      </c>
      <c r="D1084">
        <v>201508</v>
      </c>
      <c r="E1084" s="1">
        <v>42215</v>
      </c>
      <c r="F1084" s="1">
        <v>42243</v>
      </c>
      <c r="G1084" t="s">
        <v>709</v>
      </c>
      <c r="H1084" s="81">
        <v>20</v>
      </c>
      <c r="I1084" t="s">
        <v>47</v>
      </c>
      <c r="J1084" s="3">
        <v>226.13</v>
      </c>
    </row>
    <row r="1085" spans="1:10" x14ac:dyDescent="0.25">
      <c r="A1085" t="s">
        <v>691</v>
      </c>
      <c r="B1085" t="s">
        <v>59</v>
      </c>
      <c r="C1085" s="82">
        <v>305395659</v>
      </c>
      <c r="D1085">
        <v>201509</v>
      </c>
      <c r="E1085" s="1">
        <v>42244</v>
      </c>
      <c r="F1085" s="1">
        <v>42275</v>
      </c>
      <c r="G1085" t="s">
        <v>709</v>
      </c>
      <c r="H1085" s="81">
        <v>34</v>
      </c>
      <c r="I1085" t="s">
        <v>47</v>
      </c>
      <c r="J1085" s="3">
        <v>354.93</v>
      </c>
    </row>
    <row r="1086" spans="1:10" x14ac:dyDescent="0.25">
      <c r="A1086" t="s">
        <v>691</v>
      </c>
      <c r="B1086" t="s">
        <v>59</v>
      </c>
      <c r="C1086" s="82">
        <v>305395659</v>
      </c>
      <c r="D1086">
        <v>201510</v>
      </c>
      <c r="E1086" s="1">
        <v>42276</v>
      </c>
      <c r="F1086" s="1">
        <v>42310</v>
      </c>
      <c r="G1086" t="s">
        <v>709</v>
      </c>
      <c r="H1086" s="81">
        <v>39</v>
      </c>
      <c r="I1086" t="s">
        <v>47</v>
      </c>
      <c r="J1086" s="3">
        <v>400.93</v>
      </c>
    </row>
    <row r="1087" spans="1:10" x14ac:dyDescent="0.25">
      <c r="A1087" t="s">
        <v>691</v>
      </c>
      <c r="B1087" t="s">
        <v>59</v>
      </c>
      <c r="C1087" s="82">
        <v>305395659</v>
      </c>
      <c r="D1087">
        <v>201511</v>
      </c>
      <c r="E1087" s="1">
        <v>42311</v>
      </c>
      <c r="F1087" s="1">
        <v>42341</v>
      </c>
      <c r="G1087" t="s">
        <v>709</v>
      </c>
      <c r="H1087" s="81">
        <v>29</v>
      </c>
      <c r="I1087" t="s">
        <v>47</v>
      </c>
      <c r="J1087" s="3">
        <v>308.93</v>
      </c>
    </row>
    <row r="1088" spans="1:10" x14ac:dyDescent="0.25">
      <c r="A1088" t="s">
        <v>691</v>
      </c>
      <c r="B1088" t="s">
        <v>59</v>
      </c>
      <c r="C1088" s="82">
        <v>305395659</v>
      </c>
      <c r="D1088">
        <v>201512</v>
      </c>
      <c r="E1088" s="1">
        <v>42342</v>
      </c>
      <c r="F1088" s="1">
        <v>42369</v>
      </c>
      <c r="G1088" t="s">
        <v>709</v>
      </c>
      <c r="H1088" s="81">
        <v>19</v>
      </c>
      <c r="I1088" t="s">
        <v>47</v>
      </c>
      <c r="J1088" s="3">
        <v>216.93</v>
      </c>
    </row>
    <row r="1089" spans="1:10" x14ac:dyDescent="0.25">
      <c r="A1089" t="s">
        <v>691</v>
      </c>
      <c r="B1089" t="s">
        <v>59</v>
      </c>
      <c r="C1089" s="82">
        <v>305395659</v>
      </c>
      <c r="D1089">
        <v>201601</v>
      </c>
      <c r="E1089" s="1">
        <v>42370</v>
      </c>
      <c r="F1089" s="1">
        <v>42402</v>
      </c>
      <c r="G1089" t="s">
        <v>709</v>
      </c>
      <c r="H1089" s="81">
        <v>21</v>
      </c>
      <c r="I1089" t="s">
        <v>47</v>
      </c>
      <c r="J1089" s="3">
        <v>235.33</v>
      </c>
    </row>
    <row r="1090" spans="1:10" x14ac:dyDescent="0.25">
      <c r="A1090" t="s">
        <v>691</v>
      </c>
      <c r="B1090" t="s">
        <v>59</v>
      </c>
      <c r="C1090" s="82">
        <v>305395659</v>
      </c>
      <c r="D1090">
        <v>201602</v>
      </c>
      <c r="E1090" s="1">
        <v>42403</v>
      </c>
      <c r="F1090" s="1">
        <v>42433</v>
      </c>
      <c r="G1090" t="s">
        <v>709</v>
      </c>
      <c r="H1090" s="81">
        <v>34</v>
      </c>
      <c r="I1090" t="s">
        <v>47</v>
      </c>
      <c r="J1090" s="3">
        <v>354.93</v>
      </c>
    </row>
    <row r="1091" spans="1:10" x14ac:dyDescent="0.25">
      <c r="A1091" t="s">
        <v>691</v>
      </c>
      <c r="B1091" t="s">
        <v>59</v>
      </c>
      <c r="C1091" s="82">
        <v>305395659</v>
      </c>
      <c r="D1091">
        <v>201603</v>
      </c>
      <c r="E1091" s="1">
        <v>42434</v>
      </c>
      <c r="F1091" s="1">
        <v>42461</v>
      </c>
      <c r="G1091" t="s">
        <v>709</v>
      </c>
      <c r="H1091" s="81">
        <v>28</v>
      </c>
      <c r="I1091" t="s">
        <v>47</v>
      </c>
      <c r="J1091" s="3">
        <v>303.83999999999997</v>
      </c>
    </row>
    <row r="1092" spans="1:10" x14ac:dyDescent="0.25">
      <c r="A1092" t="s">
        <v>691</v>
      </c>
      <c r="B1092" t="s">
        <v>59</v>
      </c>
      <c r="C1092" s="82">
        <v>305395659</v>
      </c>
      <c r="D1092">
        <v>201604</v>
      </c>
      <c r="E1092" s="1">
        <v>42462</v>
      </c>
      <c r="F1092" s="1">
        <v>42493</v>
      </c>
      <c r="G1092" t="s">
        <v>709</v>
      </c>
      <c r="H1092" s="81">
        <v>38</v>
      </c>
      <c r="I1092" t="s">
        <v>47</v>
      </c>
      <c r="J1092" s="3">
        <v>397.14</v>
      </c>
    </row>
    <row r="1093" spans="1:10" x14ac:dyDescent="0.25">
      <c r="A1093" t="s">
        <v>691</v>
      </c>
      <c r="B1093" t="s">
        <v>59</v>
      </c>
      <c r="C1093" s="82">
        <v>305395659</v>
      </c>
      <c r="D1093">
        <v>201605</v>
      </c>
      <c r="E1093" s="1">
        <v>42494</v>
      </c>
      <c r="F1093" s="1">
        <v>42521</v>
      </c>
      <c r="G1093" t="s">
        <v>709</v>
      </c>
      <c r="H1093" s="81">
        <v>19</v>
      </c>
      <c r="I1093" t="s">
        <v>47</v>
      </c>
      <c r="J1093" s="3">
        <v>219.87</v>
      </c>
    </row>
    <row r="1094" spans="1:10" x14ac:dyDescent="0.25">
      <c r="A1094" t="s">
        <v>691</v>
      </c>
      <c r="B1094" t="s">
        <v>59</v>
      </c>
      <c r="C1094" s="82">
        <v>305395659</v>
      </c>
      <c r="D1094">
        <v>201606</v>
      </c>
      <c r="E1094" s="1">
        <v>42522</v>
      </c>
      <c r="F1094" s="1">
        <v>42550</v>
      </c>
      <c r="G1094" t="s">
        <v>709</v>
      </c>
      <c r="H1094" s="81">
        <v>20</v>
      </c>
      <c r="I1094" t="s">
        <v>47</v>
      </c>
      <c r="J1094" s="3">
        <v>229.2</v>
      </c>
    </row>
    <row r="1095" spans="1:10" x14ac:dyDescent="0.25">
      <c r="A1095" t="s">
        <v>542</v>
      </c>
      <c r="B1095" t="s">
        <v>59</v>
      </c>
      <c r="C1095" s="82">
        <v>305395634</v>
      </c>
      <c r="D1095">
        <v>201507</v>
      </c>
      <c r="E1095" s="1">
        <v>42186</v>
      </c>
      <c r="F1095" s="1">
        <v>42214</v>
      </c>
      <c r="G1095" t="s">
        <v>560</v>
      </c>
      <c r="H1095" s="81">
        <v>21</v>
      </c>
      <c r="I1095" t="s">
        <v>47</v>
      </c>
      <c r="J1095" s="3">
        <v>245.97</v>
      </c>
    </row>
    <row r="1096" spans="1:10" x14ac:dyDescent="0.25">
      <c r="A1096" t="s">
        <v>542</v>
      </c>
      <c r="B1096" t="s">
        <v>59</v>
      </c>
      <c r="C1096" s="82">
        <v>305395634</v>
      </c>
      <c r="D1096">
        <v>201508</v>
      </c>
      <c r="E1096" s="1">
        <v>42215</v>
      </c>
      <c r="F1096" s="1">
        <v>42243</v>
      </c>
      <c r="G1096" t="s">
        <v>560</v>
      </c>
      <c r="H1096" s="81">
        <v>7</v>
      </c>
      <c r="I1096" t="s">
        <v>47</v>
      </c>
      <c r="J1096" s="3">
        <v>129.24</v>
      </c>
    </row>
    <row r="1097" spans="1:10" x14ac:dyDescent="0.25">
      <c r="A1097" t="s">
        <v>542</v>
      </c>
      <c r="B1097" t="s">
        <v>59</v>
      </c>
      <c r="C1097" s="82">
        <v>305395634</v>
      </c>
      <c r="D1097">
        <v>201509</v>
      </c>
      <c r="E1097" s="1">
        <v>42244</v>
      </c>
      <c r="F1097" s="1">
        <v>42275</v>
      </c>
      <c r="G1097" t="s">
        <v>560</v>
      </c>
      <c r="H1097" s="81">
        <v>46</v>
      </c>
      <c r="I1097" t="s">
        <v>47</v>
      </c>
      <c r="J1097" s="3">
        <v>488.04</v>
      </c>
    </row>
    <row r="1098" spans="1:10" x14ac:dyDescent="0.25">
      <c r="A1098" t="s">
        <v>542</v>
      </c>
      <c r="B1098" t="s">
        <v>59</v>
      </c>
      <c r="C1098" s="82">
        <v>305395634</v>
      </c>
      <c r="D1098">
        <v>201510</v>
      </c>
      <c r="E1098" s="1">
        <v>42276</v>
      </c>
      <c r="F1098" s="1">
        <v>42310</v>
      </c>
      <c r="G1098" t="s">
        <v>560</v>
      </c>
      <c r="H1098" s="81">
        <v>66</v>
      </c>
      <c r="I1098" t="s">
        <v>47</v>
      </c>
      <c r="J1098" s="3">
        <v>686.24</v>
      </c>
    </row>
    <row r="1099" spans="1:10" x14ac:dyDescent="0.25">
      <c r="A1099" t="s">
        <v>542</v>
      </c>
      <c r="B1099" t="s">
        <v>59</v>
      </c>
      <c r="C1099" s="82">
        <v>305395634</v>
      </c>
      <c r="D1099">
        <v>201511</v>
      </c>
      <c r="E1099" s="1">
        <v>42311</v>
      </c>
      <c r="F1099" s="1">
        <v>42341</v>
      </c>
      <c r="G1099" t="s">
        <v>560</v>
      </c>
      <c r="H1099" s="81">
        <v>54</v>
      </c>
      <c r="I1099" t="s">
        <v>47</v>
      </c>
      <c r="J1099" s="3">
        <v>561.64</v>
      </c>
    </row>
    <row r="1100" spans="1:10" x14ac:dyDescent="0.25">
      <c r="A1100" t="s">
        <v>542</v>
      </c>
      <c r="B1100" t="s">
        <v>59</v>
      </c>
      <c r="C1100" s="82">
        <v>305395634</v>
      </c>
      <c r="D1100">
        <v>201512</v>
      </c>
      <c r="E1100" s="1">
        <v>42342</v>
      </c>
      <c r="F1100" s="1">
        <v>42369</v>
      </c>
      <c r="G1100" t="s">
        <v>560</v>
      </c>
      <c r="H1100" s="81">
        <v>39</v>
      </c>
      <c r="I1100" t="s">
        <v>47</v>
      </c>
      <c r="J1100" s="3">
        <v>423.64</v>
      </c>
    </row>
    <row r="1101" spans="1:10" x14ac:dyDescent="0.25">
      <c r="A1101" t="s">
        <v>542</v>
      </c>
      <c r="B1101" t="s">
        <v>59</v>
      </c>
      <c r="C1101" s="82">
        <v>305395634</v>
      </c>
      <c r="D1101">
        <v>201601</v>
      </c>
      <c r="E1101" s="1">
        <v>42370</v>
      </c>
      <c r="F1101" s="1">
        <v>42402</v>
      </c>
      <c r="G1101" t="s">
        <v>560</v>
      </c>
      <c r="H1101" s="81">
        <v>18</v>
      </c>
      <c r="I1101" t="s">
        <v>47</v>
      </c>
      <c r="J1101" s="3">
        <v>230.44</v>
      </c>
    </row>
    <row r="1102" spans="1:10" x14ac:dyDescent="0.25">
      <c r="A1102" t="s">
        <v>542</v>
      </c>
      <c r="B1102" t="s">
        <v>59</v>
      </c>
      <c r="C1102" s="82">
        <v>305395634</v>
      </c>
      <c r="D1102">
        <v>201602</v>
      </c>
      <c r="E1102" s="1">
        <v>42403</v>
      </c>
      <c r="F1102" s="1">
        <v>42433</v>
      </c>
      <c r="G1102" t="s">
        <v>560</v>
      </c>
      <c r="H1102" s="81">
        <v>61</v>
      </c>
      <c r="I1102" t="s">
        <v>47</v>
      </c>
      <c r="J1102" s="3">
        <v>626.04</v>
      </c>
    </row>
    <row r="1103" spans="1:10" x14ac:dyDescent="0.25">
      <c r="A1103" t="s">
        <v>542</v>
      </c>
      <c r="B1103" t="s">
        <v>59</v>
      </c>
      <c r="C1103" s="82">
        <v>305395634</v>
      </c>
      <c r="D1103">
        <v>201603</v>
      </c>
      <c r="E1103" s="1">
        <v>42434</v>
      </c>
      <c r="F1103" s="1">
        <v>42461</v>
      </c>
      <c r="G1103" t="s">
        <v>560</v>
      </c>
      <c r="H1103" s="81">
        <v>50</v>
      </c>
      <c r="I1103" t="s">
        <v>47</v>
      </c>
      <c r="J1103" s="3">
        <v>532</v>
      </c>
    </row>
    <row r="1104" spans="1:10" x14ac:dyDescent="0.25">
      <c r="A1104" t="s">
        <v>542</v>
      </c>
      <c r="B1104" t="s">
        <v>59</v>
      </c>
      <c r="C1104" s="82">
        <v>305395634</v>
      </c>
      <c r="D1104">
        <v>201604</v>
      </c>
      <c r="E1104" s="1">
        <v>42462</v>
      </c>
      <c r="F1104" s="1">
        <v>42493</v>
      </c>
      <c r="G1104" t="s">
        <v>560</v>
      </c>
      <c r="H1104" s="81">
        <v>68</v>
      </c>
      <c r="I1104" t="s">
        <v>47</v>
      </c>
      <c r="J1104" s="3">
        <v>699.94</v>
      </c>
    </row>
    <row r="1105" spans="1:10" x14ac:dyDescent="0.25">
      <c r="A1105" t="s">
        <v>542</v>
      </c>
      <c r="B1105" t="s">
        <v>59</v>
      </c>
      <c r="C1105" s="82">
        <v>305395634</v>
      </c>
      <c r="D1105">
        <v>201605</v>
      </c>
      <c r="E1105" s="1">
        <v>42494</v>
      </c>
      <c r="F1105" s="1">
        <v>42521</v>
      </c>
      <c r="G1105" t="s">
        <v>560</v>
      </c>
      <c r="H1105" s="81">
        <v>17</v>
      </c>
      <c r="I1105" t="s">
        <v>47</v>
      </c>
      <c r="J1105" s="3">
        <v>224.11</v>
      </c>
    </row>
    <row r="1106" spans="1:10" x14ac:dyDescent="0.25">
      <c r="A1106" t="s">
        <v>542</v>
      </c>
      <c r="B1106" t="s">
        <v>59</v>
      </c>
      <c r="C1106" s="82">
        <v>305395634</v>
      </c>
      <c r="D1106">
        <v>201606</v>
      </c>
      <c r="E1106" s="1">
        <v>42522</v>
      </c>
      <c r="F1106" s="1">
        <v>42550</v>
      </c>
      <c r="G1106" t="s">
        <v>560</v>
      </c>
      <c r="H1106" s="81">
        <v>14</v>
      </c>
      <c r="I1106" t="s">
        <v>47</v>
      </c>
      <c r="J1106" s="3">
        <v>196.12</v>
      </c>
    </row>
    <row r="1107" spans="1:10" x14ac:dyDescent="0.25">
      <c r="A1107" t="s">
        <v>579</v>
      </c>
      <c r="B1107" t="s">
        <v>59</v>
      </c>
      <c r="C1107" s="82">
        <v>306567033</v>
      </c>
      <c r="D1107">
        <v>201507</v>
      </c>
      <c r="E1107" s="1">
        <v>42167</v>
      </c>
      <c r="F1107" s="1">
        <v>42250</v>
      </c>
      <c r="G1107" t="s">
        <v>728</v>
      </c>
      <c r="H1107" s="81">
        <v>5</v>
      </c>
      <c r="I1107" t="s">
        <v>47</v>
      </c>
      <c r="J1107" s="3">
        <v>24.5</v>
      </c>
    </row>
    <row r="1108" spans="1:10" x14ac:dyDescent="0.25">
      <c r="A1108" t="s">
        <v>579</v>
      </c>
      <c r="B1108" t="s">
        <v>59</v>
      </c>
      <c r="C1108" s="82">
        <v>306567033</v>
      </c>
      <c r="D1108">
        <v>201510</v>
      </c>
      <c r="E1108" s="1">
        <v>42251</v>
      </c>
      <c r="F1108" s="1">
        <v>42340</v>
      </c>
      <c r="G1108" t="s">
        <v>728</v>
      </c>
      <c r="H1108" s="81">
        <v>5</v>
      </c>
      <c r="I1108" t="s">
        <v>47</v>
      </c>
      <c r="J1108" s="3">
        <v>24.5</v>
      </c>
    </row>
    <row r="1109" spans="1:10" x14ac:dyDescent="0.25">
      <c r="A1109" t="s">
        <v>579</v>
      </c>
      <c r="B1109" t="s">
        <v>59</v>
      </c>
      <c r="C1109" s="82">
        <v>306567033</v>
      </c>
      <c r="D1109">
        <v>201601</v>
      </c>
      <c r="E1109" s="1">
        <v>42341</v>
      </c>
      <c r="F1109" s="1">
        <v>42440</v>
      </c>
      <c r="G1109" t="s">
        <v>728</v>
      </c>
      <c r="H1109" s="81">
        <v>3</v>
      </c>
      <c r="I1109" t="s">
        <v>47</v>
      </c>
      <c r="J1109" s="3">
        <v>19.399999999999999</v>
      </c>
    </row>
    <row r="1110" spans="1:10" x14ac:dyDescent="0.25">
      <c r="A1110" t="s">
        <v>579</v>
      </c>
      <c r="B1110" t="s">
        <v>59</v>
      </c>
      <c r="C1110" s="82">
        <v>306567033</v>
      </c>
      <c r="D1110">
        <v>201604</v>
      </c>
      <c r="E1110" s="1">
        <v>42441</v>
      </c>
      <c r="F1110" s="1">
        <v>42529</v>
      </c>
      <c r="G1110" t="s">
        <v>728</v>
      </c>
      <c r="H1110" s="81">
        <v>4</v>
      </c>
      <c r="I1110" t="s">
        <v>47</v>
      </c>
      <c r="J1110" s="3">
        <v>22.62</v>
      </c>
    </row>
    <row r="1111" spans="1:10" x14ac:dyDescent="0.25">
      <c r="A1111" t="s">
        <v>652</v>
      </c>
      <c r="B1111" t="s">
        <v>59</v>
      </c>
      <c r="C1111" s="82">
        <v>306599861</v>
      </c>
      <c r="D1111">
        <v>201507</v>
      </c>
      <c r="E1111" s="1">
        <v>42186</v>
      </c>
      <c r="F1111" s="1">
        <v>42214</v>
      </c>
      <c r="G1111" t="s">
        <v>729</v>
      </c>
      <c r="H1111" s="81">
        <v>2</v>
      </c>
      <c r="I1111" t="s">
        <v>47</v>
      </c>
      <c r="J1111" s="3">
        <v>27.44</v>
      </c>
    </row>
    <row r="1112" spans="1:10" x14ac:dyDescent="0.25">
      <c r="A1112" t="s">
        <v>652</v>
      </c>
      <c r="B1112" t="s">
        <v>59</v>
      </c>
      <c r="C1112" s="82">
        <v>306599861</v>
      </c>
      <c r="D1112">
        <v>201508</v>
      </c>
      <c r="E1112" s="1">
        <v>42215</v>
      </c>
      <c r="F1112" s="1">
        <v>42247</v>
      </c>
      <c r="G1112" t="s">
        <v>729</v>
      </c>
      <c r="H1112" s="81">
        <v>6</v>
      </c>
      <c r="I1112" t="s">
        <v>47</v>
      </c>
      <c r="J1112" s="3">
        <v>65.72</v>
      </c>
    </row>
    <row r="1113" spans="1:10" x14ac:dyDescent="0.25">
      <c r="A1113" t="s">
        <v>652</v>
      </c>
      <c r="B1113" t="s">
        <v>59</v>
      </c>
      <c r="C1113" s="82">
        <v>306599861</v>
      </c>
      <c r="D1113">
        <v>201509</v>
      </c>
      <c r="E1113" s="1">
        <v>42248</v>
      </c>
      <c r="F1113" s="1">
        <v>42276</v>
      </c>
      <c r="G1113" t="s">
        <v>729</v>
      </c>
      <c r="H1113" s="81">
        <v>13</v>
      </c>
      <c r="I1113" t="s">
        <v>47</v>
      </c>
      <c r="J1113" s="3">
        <v>147.87</v>
      </c>
    </row>
    <row r="1114" spans="1:10" x14ac:dyDescent="0.25">
      <c r="A1114" t="s">
        <v>652</v>
      </c>
      <c r="B1114" t="s">
        <v>59</v>
      </c>
      <c r="C1114" s="82">
        <v>306599861</v>
      </c>
      <c r="D1114">
        <v>201510</v>
      </c>
      <c r="E1114" s="1">
        <v>42277</v>
      </c>
      <c r="F1114" s="1">
        <v>42310</v>
      </c>
      <c r="G1114" t="s">
        <v>729</v>
      </c>
      <c r="H1114" s="81">
        <v>3</v>
      </c>
      <c r="I1114" t="s">
        <v>47</v>
      </c>
      <c r="J1114" s="3">
        <v>38.119999999999997</v>
      </c>
    </row>
    <row r="1115" spans="1:10" x14ac:dyDescent="0.25">
      <c r="A1115" t="s">
        <v>652</v>
      </c>
      <c r="B1115" t="s">
        <v>59</v>
      </c>
      <c r="C1115" s="82">
        <v>306599861</v>
      </c>
      <c r="D1115">
        <v>201511</v>
      </c>
      <c r="E1115" s="1">
        <v>42311</v>
      </c>
      <c r="F1115" s="1">
        <v>42342</v>
      </c>
      <c r="G1115" t="s">
        <v>729</v>
      </c>
      <c r="H1115" s="81">
        <v>2</v>
      </c>
      <c r="I1115" t="s">
        <v>47</v>
      </c>
      <c r="J1115" s="3">
        <v>28.92</v>
      </c>
    </row>
    <row r="1116" spans="1:10" x14ac:dyDescent="0.25">
      <c r="A1116" t="s">
        <v>652</v>
      </c>
      <c r="B1116" t="s">
        <v>59</v>
      </c>
      <c r="C1116" s="82">
        <v>306599861</v>
      </c>
      <c r="D1116">
        <v>201512</v>
      </c>
      <c r="E1116" s="1">
        <v>42343</v>
      </c>
      <c r="F1116" s="1">
        <v>42373</v>
      </c>
      <c r="G1116" t="s">
        <v>729</v>
      </c>
      <c r="H1116" s="81">
        <v>1</v>
      </c>
      <c r="I1116" t="s">
        <v>47</v>
      </c>
      <c r="J1116" s="3">
        <v>19.72</v>
      </c>
    </row>
    <row r="1117" spans="1:10" x14ac:dyDescent="0.25">
      <c r="A1117" t="s">
        <v>652</v>
      </c>
      <c r="B1117" t="s">
        <v>59</v>
      </c>
      <c r="C1117" s="82">
        <v>306599861</v>
      </c>
      <c r="D1117">
        <v>201601</v>
      </c>
      <c r="E1117" s="1">
        <v>42374</v>
      </c>
      <c r="F1117" s="1">
        <v>42401</v>
      </c>
      <c r="G1117" t="s">
        <v>729</v>
      </c>
      <c r="H1117" s="81">
        <v>5</v>
      </c>
      <c r="I1117" t="s">
        <v>47</v>
      </c>
      <c r="J1117" s="3">
        <v>56.52</v>
      </c>
    </row>
    <row r="1118" spans="1:10" x14ac:dyDescent="0.25">
      <c r="A1118" t="s">
        <v>652</v>
      </c>
      <c r="B1118" t="s">
        <v>59</v>
      </c>
      <c r="C1118" s="82">
        <v>306599861</v>
      </c>
      <c r="D1118">
        <v>201602</v>
      </c>
      <c r="E1118" s="1">
        <v>42402</v>
      </c>
      <c r="F1118" s="1">
        <v>42436</v>
      </c>
      <c r="G1118" t="s">
        <v>729</v>
      </c>
      <c r="H1118" s="81">
        <v>2</v>
      </c>
      <c r="I1118" t="s">
        <v>47</v>
      </c>
      <c r="J1118" s="3">
        <v>28.92</v>
      </c>
    </row>
    <row r="1119" spans="1:10" x14ac:dyDescent="0.25">
      <c r="A1119" t="s">
        <v>652</v>
      </c>
      <c r="B1119" t="s">
        <v>59</v>
      </c>
      <c r="C1119" s="82">
        <v>306599861</v>
      </c>
      <c r="D1119">
        <v>201603</v>
      </c>
      <c r="E1119" s="1">
        <v>42437</v>
      </c>
      <c r="F1119" s="1">
        <v>42461</v>
      </c>
      <c r="G1119" t="s">
        <v>729</v>
      </c>
      <c r="H1119" s="81">
        <v>2</v>
      </c>
      <c r="I1119" t="s">
        <v>47</v>
      </c>
      <c r="J1119" s="3">
        <v>29.29</v>
      </c>
    </row>
    <row r="1120" spans="1:10" x14ac:dyDescent="0.25">
      <c r="A1120" t="s">
        <v>652</v>
      </c>
      <c r="B1120" t="s">
        <v>59</v>
      </c>
      <c r="C1120" s="82">
        <v>306599861</v>
      </c>
      <c r="D1120">
        <v>201604</v>
      </c>
      <c r="E1120" s="1">
        <v>42462</v>
      </c>
      <c r="F1120" s="1">
        <v>42492</v>
      </c>
      <c r="G1120" t="s">
        <v>729</v>
      </c>
      <c r="H1120" s="81">
        <v>2</v>
      </c>
      <c r="I1120" t="s">
        <v>47</v>
      </c>
      <c r="J1120" s="3">
        <v>29.29</v>
      </c>
    </row>
    <row r="1121" spans="1:10" x14ac:dyDescent="0.25">
      <c r="A1121" t="s">
        <v>652</v>
      </c>
      <c r="B1121" t="s">
        <v>59</v>
      </c>
      <c r="C1121" s="82">
        <v>306599861</v>
      </c>
      <c r="D1121">
        <v>201605</v>
      </c>
      <c r="E1121" s="1">
        <v>42494</v>
      </c>
      <c r="F1121" s="1">
        <v>42528</v>
      </c>
      <c r="G1121" t="s">
        <v>729</v>
      </c>
      <c r="H1121" s="81">
        <v>3</v>
      </c>
      <c r="I1121" t="s">
        <v>47</v>
      </c>
      <c r="J1121" s="3">
        <v>38.619999999999997</v>
      </c>
    </row>
    <row r="1122" spans="1:10" x14ac:dyDescent="0.25">
      <c r="A1122" t="s">
        <v>652</v>
      </c>
      <c r="B1122" t="s">
        <v>59</v>
      </c>
      <c r="C1122" s="82">
        <v>306599861</v>
      </c>
      <c r="D1122">
        <v>201606</v>
      </c>
      <c r="E1122" s="1">
        <v>42529</v>
      </c>
      <c r="F1122" s="1">
        <v>42551</v>
      </c>
      <c r="G1122" t="s">
        <v>729</v>
      </c>
      <c r="H1122" s="81">
        <v>2</v>
      </c>
      <c r="I1122" t="s">
        <v>47</v>
      </c>
      <c r="J1122" s="3">
        <v>29.29</v>
      </c>
    </row>
    <row r="1123" spans="1:10" x14ac:dyDescent="0.25">
      <c r="A1123" t="s">
        <v>584</v>
      </c>
      <c r="B1123" t="s">
        <v>59</v>
      </c>
      <c r="C1123" s="82">
        <v>306568338</v>
      </c>
      <c r="D1123">
        <v>201509</v>
      </c>
      <c r="E1123" s="1">
        <v>42222</v>
      </c>
      <c r="F1123" s="1">
        <v>42313</v>
      </c>
      <c r="G1123" t="s">
        <v>710</v>
      </c>
      <c r="H1123" s="81">
        <v>9</v>
      </c>
      <c r="I1123" t="s">
        <v>47</v>
      </c>
      <c r="J1123" s="3">
        <v>32.75</v>
      </c>
    </row>
    <row r="1124" spans="1:10" x14ac:dyDescent="0.25">
      <c r="A1124" t="s">
        <v>584</v>
      </c>
      <c r="B1124" t="s">
        <v>59</v>
      </c>
      <c r="C1124" s="82">
        <v>306568338</v>
      </c>
      <c r="D1124">
        <v>201512</v>
      </c>
      <c r="E1124" s="1">
        <v>42314</v>
      </c>
      <c r="F1124" s="1">
        <v>42408</v>
      </c>
      <c r="G1124" t="s">
        <v>710</v>
      </c>
      <c r="H1124" s="81">
        <v>17</v>
      </c>
      <c r="I1124" t="s">
        <v>47</v>
      </c>
      <c r="J1124" s="3">
        <v>53.15</v>
      </c>
    </row>
    <row r="1125" spans="1:10" x14ac:dyDescent="0.25">
      <c r="A1125" t="s">
        <v>584</v>
      </c>
      <c r="B1125" t="s">
        <v>59</v>
      </c>
      <c r="C1125" s="82">
        <v>306568338</v>
      </c>
      <c r="D1125">
        <v>201603</v>
      </c>
      <c r="E1125" s="1">
        <v>42409</v>
      </c>
      <c r="F1125" s="1">
        <v>42496</v>
      </c>
      <c r="G1125" t="s">
        <v>710</v>
      </c>
      <c r="H1125" s="81">
        <v>41</v>
      </c>
      <c r="I1125" t="s">
        <v>47</v>
      </c>
      <c r="J1125" s="3">
        <v>119.98</v>
      </c>
    </row>
    <row r="1126" spans="1:10" x14ac:dyDescent="0.25">
      <c r="A1126" t="s">
        <v>584</v>
      </c>
      <c r="B1126" t="s">
        <v>59</v>
      </c>
      <c r="C1126" s="82">
        <v>306568338</v>
      </c>
      <c r="D1126">
        <v>201606</v>
      </c>
      <c r="E1126" s="1">
        <v>42497</v>
      </c>
      <c r="F1126" s="1">
        <v>42591</v>
      </c>
      <c r="G1126" t="s">
        <v>710</v>
      </c>
      <c r="H1126" s="81">
        <v>34</v>
      </c>
      <c r="I1126" t="s">
        <v>47</v>
      </c>
      <c r="J1126" s="3">
        <v>146.82</v>
      </c>
    </row>
    <row r="1127" spans="1:10" x14ac:dyDescent="0.25">
      <c r="A1127" t="s">
        <v>539</v>
      </c>
      <c r="B1127" t="s">
        <v>59</v>
      </c>
      <c r="C1127" s="82">
        <v>305395576</v>
      </c>
      <c r="D1127">
        <v>201507</v>
      </c>
      <c r="E1127" s="1">
        <v>42186</v>
      </c>
      <c r="F1127" s="1">
        <v>42214</v>
      </c>
      <c r="G1127" t="s">
        <v>561</v>
      </c>
      <c r="H1127" s="81">
        <v>73</v>
      </c>
      <c r="I1127" t="s">
        <v>47</v>
      </c>
      <c r="J1127" s="3">
        <v>774.69</v>
      </c>
    </row>
    <row r="1128" spans="1:10" x14ac:dyDescent="0.25">
      <c r="A1128" t="s">
        <v>539</v>
      </c>
      <c r="B1128" t="s">
        <v>59</v>
      </c>
      <c r="C1128" s="82">
        <v>305395576</v>
      </c>
      <c r="D1128">
        <v>201508</v>
      </c>
      <c r="E1128" s="1">
        <v>42215</v>
      </c>
      <c r="F1128" s="1">
        <v>42243</v>
      </c>
      <c r="G1128" t="s">
        <v>561</v>
      </c>
      <c r="H1128" s="81">
        <v>66</v>
      </c>
      <c r="I1128" t="s">
        <v>47</v>
      </c>
      <c r="J1128" s="3">
        <v>733.93</v>
      </c>
    </row>
    <row r="1129" spans="1:10" x14ac:dyDescent="0.25">
      <c r="A1129" t="s">
        <v>539</v>
      </c>
      <c r="B1129" t="s">
        <v>59</v>
      </c>
      <c r="C1129" s="82">
        <v>305395576</v>
      </c>
      <c r="D1129">
        <v>201509</v>
      </c>
      <c r="E1129" s="1">
        <v>42244</v>
      </c>
      <c r="F1129" s="1">
        <v>42275</v>
      </c>
      <c r="G1129" t="s">
        <v>561</v>
      </c>
      <c r="H1129" s="81">
        <v>123</v>
      </c>
      <c r="I1129" t="s">
        <v>47</v>
      </c>
      <c r="J1129" s="3">
        <v>1258.33</v>
      </c>
    </row>
    <row r="1130" spans="1:10" x14ac:dyDescent="0.25">
      <c r="A1130" t="s">
        <v>539</v>
      </c>
      <c r="B1130" t="s">
        <v>59</v>
      </c>
      <c r="C1130" s="82">
        <v>305395576</v>
      </c>
      <c r="D1130">
        <v>201510</v>
      </c>
      <c r="E1130" s="1">
        <v>42276</v>
      </c>
      <c r="F1130" s="1">
        <v>42310</v>
      </c>
      <c r="G1130" t="s">
        <v>561</v>
      </c>
      <c r="H1130" s="81">
        <v>135</v>
      </c>
      <c r="I1130" t="s">
        <v>47</v>
      </c>
      <c r="J1130" s="3">
        <v>1368.73</v>
      </c>
    </row>
    <row r="1131" spans="1:10" x14ac:dyDescent="0.25">
      <c r="A1131" t="s">
        <v>539</v>
      </c>
      <c r="B1131" t="s">
        <v>59</v>
      </c>
      <c r="C1131" s="82">
        <v>305395576</v>
      </c>
      <c r="D1131">
        <v>201511</v>
      </c>
      <c r="E1131" s="1">
        <v>42311</v>
      </c>
      <c r="F1131" s="1">
        <v>42341</v>
      </c>
      <c r="G1131" t="s">
        <v>561</v>
      </c>
      <c r="H1131" s="81">
        <v>106</v>
      </c>
      <c r="I1131" t="s">
        <v>47</v>
      </c>
      <c r="J1131" s="3">
        <v>1101.93</v>
      </c>
    </row>
    <row r="1132" spans="1:10" x14ac:dyDescent="0.25">
      <c r="A1132" t="s">
        <v>539</v>
      </c>
      <c r="B1132" t="s">
        <v>59</v>
      </c>
      <c r="C1132" s="82">
        <v>305395576</v>
      </c>
      <c r="D1132">
        <v>201512</v>
      </c>
      <c r="E1132" s="1">
        <v>42342</v>
      </c>
      <c r="F1132" s="1">
        <v>42369</v>
      </c>
      <c r="G1132" t="s">
        <v>561</v>
      </c>
      <c r="H1132" s="81">
        <v>38</v>
      </c>
      <c r="I1132" t="s">
        <v>47</v>
      </c>
      <c r="J1132" s="3">
        <v>476.33</v>
      </c>
    </row>
    <row r="1133" spans="1:10" x14ac:dyDescent="0.25">
      <c r="A1133" t="s">
        <v>539</v>
      </c>
      <c r="B1133" t="s">
        <v>59</v>
      </c>
      <c r="C1133" s="82">
        <v>305395576</v>
      </c>
      <c r="D1133">
        <v>201601</v>
      </c>
      <c r="E1133" s="1">
        <v>42370</v>
      </c>
      <c r="F1133" s="1">
        <v>42402</v>
      </c>
      <c r="G1133" t="s">
        <v>561</v>
      </c>
      <c r="H1133" s="81">
        <v>18</v>
      </c>
      <c r="I1133" t="s">
        <v>47</v>
      </c>
      <c r="J1133" s="3">
        <v>292.33</v>
      </c>
    </row>
    <row r="1134" spans="1:10" x14ac:dyDescent="0.25">
      <c r="A1134" t="s">
        <v>539</v>
      </c>
      <c r="B1134" t="s">
        <v>59</v>
      </c>
      <c r="C1134" s="82">
        <v>305395576</v>
      </c>
      <c r="D1134">
        <v>201602</v>
      </c>
      <c r="E1134" s="1">
        <v>42403</v>
      </c>
      <c r="F1134" s="1">
        <v>42433</v>
      </c>
      <c r="G1134" t="s">
        <v>561</v>
      </c>
      <c r="H1134" s="81">
        <v>44</v>
      </c>
      <c r="I1134" t="s">
        <v>47</v>
      </c>
      <c r="J1134" s="3">
        <v>531.53</v>
      </c>
    </row>
    <row r="1135" spans="1:10" x14ac:dyDescent="0.25">
      <c r="A1135" t="s">
        <v>539</v>
      </c>
      <c r="B1135" t="s">
        <v>59</v>
      </c>
      <c r="C1135" s="82">
        <v>305395576</v>
      </c>
      <c r="D1135">
        <v>201603</v>
      </c>
      <c r="E1135" s="1">
        <v>42434</v>
      </c>
      <c r="F1135" s="1">
        <v>42461</v>
      </c>
      <c r="G1135" t="s">
        <v>561</v>
      </c>
      <c r="H1135" s="81">
        <v>36</v>
      </c>
      <c r="I1135" t="s">
        <v>47</v>
      </c>
      <c r="J1135" s="3">
        <v>464.18</v>
      </c>
    </row>
    <row r="1136" spans="1:10" x14ac:dyDescent="0.25">
      <c r="A1136" t="s">
        <v>539</v>
      </c>
      <c r="B1136" t="s">
        <v>59</v>
      </c>
      <c r="C1136" s="82">
        <v>305395576</v>
      </c>
      <c r="D1136">
        <v>201604</v>
      </c>
      <c r="E1136" s="1">
        <v>42462</v>
      </c>
      <c r="F1136" s="1">
        <v>42493</v>
      </c>
      <c r="G1136" t="s">
        <v>561</v>
      </c>
      <c r="H1136" s="81">
        <v>45</v>
      </c>
      <c r="I1136" t="s">
        <v>47</v>
      </c>
      <c r="J1136" s="3">
        <v>548.15</v>
      </c>
    </row>
    <row r="1137" spans="1:10" x14ac:dyDescent="0.25">
      <c r="A1137" t="s">
        <v>539</v>
      </c>
      <c r="B1137" t="s">
        <v>59</v>
      </c>
      <c r="C1137" s="82">
        <v>305395576</v>
      </c>
      <c r="D1137">
        <v>201605</v>
      </c>
      <c r="E1137" s="1">
        <v>42494</v>
      </c>
      <c r="F1137" s="1">
        <v>42521</v>
      </c>
      <c r="G1137" t="s">
        <v>561</v>
      </c>
      <c r="H1137" s="81">
        <v>22</v>
      </c>
      <c r="I1137" t="s">
        <v>47</v>
      </c>
      <c r="J1137" s="3">
        <v>333.56</v>
      </c>
    </row>
    <row r="1138" spans="1:10" x14ac:dyDescent="0.25">
      <c r="A1138" t="s">
        <v>539</v>
      </c>
      <c r="B1138" t="s">
        <v>59</v>
      </c>
      <c r="C1138" s="82">
        <v>305395576</v>
      </c>
      <c r="D1138">
        <v>201606</v>
      </c>
      <c r="E1138" s="1">
        <v>42522</v>
      </c>
      <c r="F1138" s="1">
        <v>42550</v>
      </c>
      <c r="G1138" t="s">
        <v>561</v>
      </c>
      <c r="H1138" s="81">
        <v>18</v>
      </c>
      <c r="I1138" t="s">
        <v>47</v>
      </c>
      <c r="J1138" s="3">
        <v>296.24</v>
      </c>
    </row>
    <row r="1139" spans="1:10" x14ac:dyDescent="0.25">
      <c r="A1139" t="s">
        <v>502</v>
      </c>
      <c r="B1139" t="s">
        <v>59</v>
      </c>
      <c r="C1139" s="82">
        <v>301865069</v>
      </c>
      <c r="D1139">
        <v>201507</v>
      </c>
      <c r="E1139" s="1">
        <v>42186</v>
      </c>
      <c r="F1139" s="1">
        <v>42214</v>
      </c>
      <c r="G1139" t="s">
        <v>562</v>
      </c>
      <c r="H1139" s="81">
        <v>23</v>
      </c>
      <c r="I1139" t="s">
        <v>47</v>
      </c>
      <c r="J1139" s="3">
        <v>384.53</v>
      </c>
    </row>
    <row r="1140" spans="1:10" x14ac:dyDescent="0.25">
      <c r="A1140" t="s">
        <v>502</v>
      </c>
      <c r="B1140" t="s">
        <v>59</v>
      </c>
      <c r="C1140" s="82">
        <v>301865069</v>
      </c>
      <c r="D1140">
        <v>201508</v>
      </c>
      <c r="E1140" s="1">
        <v>42215</v>
      </c>
      <c r="F1140" s="1">
        <v>42243</v>
      </c>
      <c r="G1140" t="s">
        <v>562</v>
      </c>
      <c r="H1140" s="81">
        <v>19</v>
      </c>
      <c r="I1140" t="s">
        <v>47</v>
      </c>
      <c r="J1140" s="3">
        <v>384.16</v>
      </c>
    </row>
    <row r="1141" spans="1:10" x14ac:dyDescent="0.25">
      <c r="A1141" t="s">
        <v>502</v>
      </c>
      <c r="B1141" t="s">
        <v>59</v>
      </c>
      <c r="C1141" s="82">
        <v>301865069</v>
      </c>
      <c r="D1141">
        <v>201509</v>
      </c>
      <c r="E1141" s="1">
        <v>42244</v>
      </c>
      <c r="F1141" s="1">
        <v>42275</v>
      </c>
      <c r="G1141" t="s">
        <v>562</v>
      </c>
      <c r="H1141" s="81">
        <v>50</v>
      </c>
      <c r="I1141" t="s">
        <v>47</v>
      </c>
      <c r="J1141" s="3">
        <v>669.36</v>
      </c>
    </row>
    <row r="1142" spans="1:10" x14ac:dyDescent="0.25">
      <c r="A1142" t="s">
        <v>502</v>
      </c>
      <c r="B1142" t="s">
        <v>59</v>
      </c>
      <c r="C1142" s="82">
        <v>301865069</v>
      </c>
      <c r="D1142">
        <v>201510</v>
      </c>
      <c r="E1142" s="1">
        <v>42276</v>
      </c>
      <c r="F1142" s="1">
        <v>42310</v>
      </c>
      <c r="G1142" t="s">
        <v>562</v>
      </c>
      <c r="H1142" s="81">
        <v>60</v>
      </c>
      <c r="I1142" t="s">
        <v>47</v>
      </c>
      <c r="J1142" s="3">
        <v>764.91</v>
      </c>
    </row>
    <row r="1143" spans="1:10" x14ac:dyDescent="0.25">
      <c r="A1143" t="s">
        <v>502</v>
      </c>
      <c r="B1143" t="s">
        <v>59</v>
      </c>
      <c r="C1143" s="82">
        <v>301865069</v>
      </c>
      <c r="D1143">
        <v>201511</v>
      </c>
      <c r="E1143" s="1">
        <v>42311</v>
      </c>
      <c r="F1143" s="1">
        <v>42341</v>
      </c>
      <c r="G1143" t="s">
        <v>562</v>
      </c>
      <c r="H1143" s="81">
        <v>46</v>
      </c>
      <c r="I1143" t="s">
        <v>47</v>
      </c>
      <c r="J1143" s="3">
        <v>632.55999999999995</v>
      </c>
    </row>
    <row r="1144" spans="1:10" x14ac:dyDescent="0.25">
      <c r="A1144" t="s">
        <v>502</v>
      </c>
      <c r="B1144" t="s">
        <v>59</v>
      </c>
      <c r="C1144" s="82">
        <v>301865069</v>
      </c>
      <c r="D1144">
        <v>201512</v>
      </c>
      <c r="E1144" s="1">
        <v>42342</v>
      </c>
      <c r="F1144" s="1">
        <v>42369</v>
      </c>
      <c r="G1144" t="s">
        <v>562</v>
      </c>
      <c r="H1144" s="81">
        <v>32</v>
      </c>
      <c r="I1144" t="s">
        <v>47</v>
      </c>
      <c r="J1144" s="3">
        <v>503.76</v>
      </c>
    </row>
    <row r="1145" spans="1:10" x14ac:dyDescent="0.25">
      <c r="A1145" t="s">
        <v>502</v>
      </c>
      <c r="B1145" t="s">
        <v>59</v>
      </c>
      <c r="C1145" s="82">
        <v>301865069</v>
      </c>
      <c r="D1145">
        <v>201601</v>
      </c>
      <c r="E1145" s="1">
        <v>42370</v>
      </c>
      <c r="F1145" s="1">
        <v>42402</v>
      </c>
      <c r="G1145" t="s">
        <v>562</v>
      </c>
      <c r="H1145" s="81">
        <v>25</v>
      </c>
      <c r="I1145" t="s">
        <v>47</v>
      </c>
      <c r="J1145" s="3">
        <v>439.36</v>
      </c>
    </row>
    <row r="1146" spans="1:10" x14ac:dyDescent="0.25">
      <c r="A1146" t="s">
        <v>502</v>
      </c>
      <c r="B1146" t="s">
        <v>59</v>
      </c>
      <c r="C1146" s="82">
        <v>301865069</v>
      </c>
      <c r="D1146">
        <v>201602</v>
      </c>
      <c r="E1146" s="1">
        <v>42403</v>
      </c>
      <c r="F1146" s="1">
        <v>42433</v>
      </c>
      <c r="G1146" t="s">
        <v>562</v>
      </c>
      <c r="H1146" s="81">
        <v>58</v>
      </c>
      <c r="I1146" t="s">
        <v>47</v>
      </c>
      <c r="J1146" s="3">
        <v>742.96</v>
      </c>
    </row>
    <row r="1147" spans="1:10" x14ac:dyDescent="0.25">
      <c r="A1147" t="s">
        <v>502</v>
      </c>
      <c r="B1147" t="s">
        <v>59</v>
      </c>
      <c r="C1147" s="82">
        <v>301865069</v>
      </c>
      <c r="D1147">
        <v>201603</v>
      </c>
      <c r="E1147" s="1">
        <v>42434</v>
      </c>
      <c r="F1147" s="1">
        <v>42461</v>
      </c>
      <c r="G1147" t="s">
        <v>562</v>
      </c>
      <c r="H1147" s="81">
        <v>41</v>
      </c>
      <c r="I1147" t="s">
        <v>47</v>
      </c>
      <c r="J1147" s="3">
        <v>594.04</v>
      </c>
    </row>
    <row r="1148" spans="1:10" x14ac:dyDescent="0.25">
      <c r="A1148" t="s">
        <v>502</v>
      </c>
      <c r="B1148" t="s">
        <v>59</v>
      </c>
      <c r="C1148" s="82">
        <v>301865069</v>
      </c>
      <c r="D1148">
        <v>201604</v>
      </c>
      <c r="E1148" s="1">
        <v>42462</v>
      </c>
      <c r="F1148" s="1">
        <v>42493</v>
      </c>
      <c r="G1148" t="s">
        <v>562</v>
      </c>
      <c r="H1148" s="81">
        <v>55</v>
      </c>
      <c r="I1148" t="s">
        <v>47</v>
      </c>
      <c r="J1148" s="3">
        <v>724.66</v>
      </c>
    </row>
    <row r="1149" spans="1:10" x14ac:dyDescent="0.25">
      <c r="A1149" t="s">
        <v>502</v>
      </c>
      <c r="B1149" t="s">
        <v>59</v>
      </c>
      <c r="C1149" s="82">
        <v>301865069</v>
      </c>
      <c r="D1149">
        <v>201605</v>
      </c>
      <c r="E1149" s="1">
        <v>42494</v>
      </c>
      <c r="F1149" s="1">
        <v>42521</v>
      </c>
      <c r="G1149" t="s">
        <v>562</v>
      </c>
      <c r="H1149" s="81">
        <v>29</v>
      </c>
      <c r="I1149" t="s">
        <v>47</v>
      </c>
      <c r="J1149" s="3">
        <v>482.08</v>
      </c>
    </row>
    <row r="1150" spans="1:10" x14ac:dyDescent="0.25">
      <c r="A1150" t="s">
        <v>502</v>
      </c>
      <c r="B1150" t="s">
        <v>59</v>
      </c>
      <c r="C1150" s="82">
        <v>301865069</v>
      </c>
      <c r="D1150">
        <v>201606</v>
      </c>
      <c r="E1150" s="1">
        <v>42522</v>
      </c>
      <c r="F1150" s="1">
        <v>42550</v>
      </c>
      <c r="G1150" t="s">
        <v>562</v>
      </c>
      <c r="H1150" s="81">
        <v>24</v>
      </c>
      <c r="I1150" t="s">
        <v>47</v>
      </c>
      <c r="J1150" s="3">
        <v>435.43</v>
      </c>
    </row>
    <row r="1151" spans="1:10" x14ac:dyDescent="0.25">
      <c r="A1151" t="s">
        <v>532</v>
      </c>
      <c r="B1151" t="s">
        <v>59</v>
      </c>
      <c r="C1151" s="82">
        <v>301865275</v>
      </c>
      <c r="D1151">
        <v>201507</v>
      </c>
      <c r="E1151" s="1">
        <v>42186</v>
      </c>
      <c r="F1151" s="1">
        <v>42214</v>
      </c>
      <c r="G1151" t="s">
        <v>563</v>
      </c>
      <c r="H1151" s="81">
        <v>20</v>
      </c>
      <c r="I1151" t="s">
        <v>47</v>
      </c>
      <c r="J1151" s="3">
        <v>288.68</v>
      </c>
    </row>
    <row r="1152" spans="1:10" x14ac:dyDescent="0.25">
      <c r="A1152" t="s">
        <v>532</v>
      </c>
      <c r="B1152" t="s">
        <v>59</v>
      </c>
      <c r="C1152" s="82">
        <v>301865275</v>
      </c>
      <c r="D1152">
        <v>201508</v>
      </c>
      <c r="E1152" s="1">
        <v>42215</v>
      </c>
      <c r="F1152" s="1">
        <v>42243</v>
      </c>
      <c r="G1152" t="s">
        <v>563</v>
      </c>
      <c r="H1152" s="81">
        <v>11</v>
      </c>
      <c r="I1152" t="s">
        <v>47</v>
      </c>
      <c r="J1152" s="3">
        <v>227.93</v>
      </c>
    </row>
    <row r="1153" spans="1:10" x14ac:dyDescent="0.25">
      <c r="A1153" t="s">
        <v>532</v>
      </c>
      <c r="B1153" t="s">
        <v>59</v>
      </c>
      <c r="C1153" s="82">
        <v>301865275</v>
      </c>
      <c r="D1153">
        <v>201509</v>
      </c>
      <c r="E1153" s="1">
        <v>42244</v>
      </c>
      <c r="F1153" s="1">
        <v>42275</v>
      </c>
      <c r="G1153" t="s">
        <v>563</v>
      </c>
      <c r="H1153" s="81">
        <v>45</v>
      </c>
      <c r="I1153" t="s">
        <v>47</v>
      </c>
      <c r="J1153" s="3">
        <v>540.73</v>
      </c>
    </row>
    <row r="1154" spans="1:10" x14ac:dyDescent="0.25">
      <c r="A1154" t="s">
        <v>532</v>
      </c>
      <c r="B1154" t="s">
        <v>59</v>
      </c>
      <c r="C1154" s="82">
        <v>301865275</v>
      </c>
      <c r="D1154">
        <v>201510</v>
      </c>
      <c r="E1154" s="1">
        <v>42276</v>
      </c>
      <c r="F1154" s="1">
        <v>42310</v>
      </c>
      <c r="G1154" t="s">
        <v>563</v>
      </c>
      <c r="H1154" s="81">
        <v>78</v>
      </c>
      <c r="I1154" t="s">
        <v>47</v>
      </c>
      <c r="J1154" s="3">
        <v>957.93</v>
      </c>
    </row>
    <row r="1155" spans="1:10" x14ac:dyDescent="0.25">
      <c r="A1155" t="s">
        <v>532</v>
      </c>
      <c r="B1155" t="s">
        <v>59</v>
      </c>
      <c r="C1155" s="82">
        <v>301865275</v>
      </c>
      <c r="D1155">
        <v>201511</v>
      </c>
      <c r="E1155" s="1">
        <v>42311</v>
      </c>
      <c r="F1155" s="1">
        <v>42341</v>
      </c>
      <c r="G1155" t="s">
        <v>563</v>
      </c>
      <c r="H1155" s="81">
        <v>41</v>
      </c>
      <c r="I1155" t="s">
        <v>47</v>
      </c>
      <c r="J1155" s="3">
        <v>503.93</v>
      </c>
    </row>
    <row r="1156" spans="1:10" x14ac:dyDescent="0.25">
      <c r="A1156" t="s">
        <v>532</v>
      </c>
      <c r="B1156" t="s">
        <v>59</v>
      </c>
      <c r="C1156" s="82">
        <v>301865275</v>
      </c>
      <c r="D1156">
        <v>201512</v>
      </c>
      <c r="E1156" s="1">
        <v>42342</v>
      </c>
      <c r="F1156" s="1">
        <v>42369</v>
      </c>
      <c r="G1156" t="s">
        <v>563</v>
      </c>
      <c r="H1156" s="81">
        <v>30</v>
      </c>
      <c r="I1156" t="s">
        <v>47</v>
      </c>
      <c r="J1156" s="3">
        <v>402.73</v>
      </c>
    </row>
    <row r="1157" spans="1:10" x14ac:dyDescent="0.25">
      <c r="A1157" t="s">
        <v>532</v>
      </c>
      <c r="B1157" t="s">
        <v>59</v>
      </c>
      <c r="C1157" s="82">
        <v>301865275</v>
      </c>
      <c r="D1157">
        <v>201601</v>
      </c>
      <c r="E1157" s="1">
        <v>42370</v>
      </c>
      <c r="F1157" s="1">
        <v>42402</v>
      </c>
      <c r="G1157" t="s">
        <v>563</v>
      </c>
      <c r="H1157" s="81">
        <v>17</v>
      </c>
      <c r="I1157" t="s">
        <v>47</v>
      </c>
      <c r="J1157" s="3">
        <v>283.13</v>
      </c>
    </row>
    <row r="1158" spans="1:10" x14ac:dyDescent="0.25">
      <c r="A1158" t="s">
        <v>532</v>
      </c>
      <c r="B1158" t="s">
        <v>59</v>
      </c>
      <c r="C1158" s="82">
        <v>301865275</v>
      </c>
      <c r="D1158">
        <v>201602</v>
      </c>
      <c r="E1158" s="1">
        <v>42403</v>
      </c>
      <c r="F1158" s="1">
        <v>42433</v>
      </c>
      <c r="G1158" t="s">
        <v>563</v>
      </c>
      <c r="H1158" s="81">
        <v>52</v>
      </c>
      <c r="I1158" t="s">
        <v>47</v>
      </c>
      <c r="J1158" s="3">
        <v>605.13</v>
      </c>
    </row>
    <row r="1159" spans="1:10" x14ac:dyDescent="0.25">
      <c r="A1159" t="s">
        <v>532</v>
      </c>
      <c r="B1159" t="s">
        <v>59</v>
      </c>
      <c r="C1159" s="82">
        <v>301865275</v>
      </c>
      <c r="D1159">
        <v>201603</v>
      </c>
      <c r="E1159" s="1">
        <v>42434</v>
      </c>
      <c r="F1159" s="1">
        <v>42461</v>
      </c>
      <c r="G1159" t="s">
        <v>563</v>
      </c>
      <c r="H1159" s="81">
        <v>42</v>
      </c>
      <c r="I1159" t="s">
        <v>47</v>
      </c>
      <c r="J1159" s="3">
        <v>520.16</v>
      </c>
    </row>
    <row r="1160" spans="1:10" x14ac:dyDescent="0.25">
      <c r="A1160" t="s">
        <v>532</v>
      </c>
      <c r="B1160" t="s">
        <v>59</v>
      </c>
      <c r="C1160" s="82">
        <v>301865275</v>
      </c>
      <c r="D1160">
        <v>201604</v>
      </c>
      <c r="E1160" s="1">
        <v>42462</v>
      </c>
      <c r="F1160" s="1">
        <v>42493</v>
      </c>
      <c r="G1160" t="s">
        <v>563</v>
      </c>
      <c r="H1160" s="81">
        <v>50</v>
      </c>
      <c r="I1160" t="s">
        <v>47</v>
      </c>
      <c r="J1160" s="3">
        <v>594.79999999999995</v>
      </c>
    </row>
    <row r="1161" spans="1:10" x14ac:dyDescent="0.25">
      <c r="A1161" t="s">
        <v>532</v>
      </c>
      <c r="B1161" t="s">
        <v>59</v>
      </c>
      <c r="C1161" s="82">
        <v>301865275</v>
      </c>
      <c r="D1161">
        <v>201605</v>
      </c>
      <c r="E1161" s="1">
        <v>42494</v>
      </c>
      <c r="F1161" s="1">
        <v>42521</v>
      </c>
      <c r="G1161" t="s">
        <v>563</v>
      </c>
      <c r="H1161" s="81">
        <v>22</v>
      </c>
      <c r="I1161" t="s">
        <v>47</v>
      </c>
      <c r="J1161" s="3">
        <v>333.56</v>
      </c>
    </row>
    <row r="1162" spans="1:10" x14ac:dyDescent="0.25">
      <c r="A1162" t="s">
        <v>532</v>
      </c>
      <c r="B1162" t="s">
        <v>59</v>
      </c>
      <c r="C1162" s="82">
        <v>301865275</v>
      </c>
      <c r="D1162">
        <v>201606</v>
      </c>
      <c r="E1162" s="1">
        <v>42522</v>
      </c>
      <c r="F1162" s="1">
        <v>42550</v>
      </c>
      <c r="G1162" t="s">
        <v>563</v>
      </c>
      <c r="H1162" s="81">
        <v>17</v>
      </c>
      <c r="I1162" t="s">
        <v>47</v>
      </c>
      <c r="J1162" s="3">
        <v>286.91000000000003</v>
      </c>
    </row>
    <row r="1163" spans="1:10" x14ac:dyDescent="0.25">
      <c r="A1163" t="s">
        <v>660</v>
      </c>
      <c r="B1163" t="s">
        <v>59</v>
      </c>
      <c r="C1163" s="82">
        <v>301863767</v>
      </c>
      <c r="D1163">
        <v>201507</v>
      </c>
      <c r="E1163" s="1">
        <v>42186</v>
      </c>
      <c r="F1163" s="1">
        <v>42214</v>
      </c>
      <c r="G1163" t="s">
        <v>711</v>
      </c>
      <c r="H1163" s="81">
        <v>7</v>
      </c>
      <c r="I1163" t="s">
        <v>47</v>
      </c>
      <c r="J1163" s="3">
        <v>99.17</v>
      </c>
    </row>
    <row r="1164" spans="1:10" x14ac:dyDescent="0.25">
      <c r="A1164" t="s">
        <v>660</v>
      </c>
      <c r="B1164" t="s">
        <v>59</v>
      </c>
      <c r="C1164" s="82">
        <v>301863767</v>
      </c>
      <c r="D1164">
        <v>201508</v>
      </c>
      <c r="E1164" s="1">
        <v>42215</v>
      </c>
      <c r="F1164" s="1">
        <v>42243</v>
      </c>
      <c r="G1164" t="s">
        <v>711</v>
      </c>
      <c r="H1164" s="81">
        <v>6</v>
      </c>
      <c r="I1164" t="s">
        <v>47</v>
      </c>
      <c r="J1164" s="3">
        <v>97.33</v>
      </c>
    </row>
    <row r="1165" spans="1:10" x14ac:dyDescent="0.25">
      <c r="A1165" t="s">
        <v>660</v>
      </c>
      <c r="B1165" t="s">
        <v>59</v>
      </c>
      <c r="C1165" s="82">
        <v>301863767</v>
      </c>
      <c r="D1165">
        <v>201509</v>
      </c>
      <c r="E1165" s="1">
        <v>42244</v>
      </c>
      <c r="F1165" s="1">
        <v>42275</v>
      </c>
      <c r="G1165" t="s">
        <v>711</v>
      </c>
      <c r="H1165" s="81">
        <v>6</v>
      </c>
      <c r="I1165" t="s">
        <v>47</v>
      </c>
      <c r="J1165" s="3">
        <v>97.33</v>
      </c>
    </row>
    <row r="1166" spans="1:10" x14ac:dyDescent="0.25">
      <c r="A1166" t="s">
        <v>660</v>
      </c>
      <c r="B1166" t="s">
        <v>59</v>
      </c>
      <c r="C1166" s="82">
        <v>301863767</v>
      </c>
      <c r="D1166">
        <v>201510</v>
      </c>
      <c r="E1166" s="1">
        <v>42276</v>
      </c>
      <c r="F1166" s="1">
        <v>42310</v>
      </c>
      <c r="G1166" t="s">
        <v>711</v>
      </c>
      <c r="H1166" s="81">
        <v>7</v>
      </c>
      <c r="I1166" t="s">
        <v>47</v>
      </c>
      <c r="J1166" s="3">
        <v>106.53</v>
      </c>
    </row>
    <row r="1167" spans="1:10" x14ac:dyDescent="0.25">
      <c r="A1167" t="s">
        <v>660</v>
      </c>
      <c r="B1167" t="s">
        <v>59</v>
      </c>
      <c r="C1167" s="82">
        <v>301863767</v>
      </c>
      <c r="D1167">
        <v>201511</v>
      </c>
      <c r="E1167" s="1">
        <v>42311</v>
      </c>
      <c r="F1167" s="1">
        <v>42341</v>
      </c>
      <c r="G1167" t="s">
        <v>711</v>
      </c>
      <c r="H1167" s="81">
        <v>6</v>
      </c>
      <c r="I1167" t="s">
        <v>47</v>
      </c>
      <c r="J1167" s="3">
        <v>97.33</v>
      </c>
    </row>
    <row r="1168" spans="1:10" x14ac:dyDescent="0.25">
      <c r="A1168" t="s">
        <v>660</v>
      </c>
      <c r="B1168" t="s">
        <v>59</v>
      </c>
      <c r="C1168" s="82">
        <v>301863767</v>
      </c>
      <c r="D1168">
        <v>201512</v>
      </c>
      <c r="E1168" s="1">
        <v>42342</v>
      </c>
      <c r="F1168" s="1">
        <v>42369</v>
      </c>
      <c r="G1168" t="s">
        <v>711</v>
      </c>
      <c r="H1168" s="81">
        <v>5</v>
      </c>
      <c r="I1168" t="s">
        <v>47</v>
      </c>
      <c r="J1168" s="3">
        <v>88.13</v>
      </c>
    </row>
    <row r="1169" spans="1:10" x14ac:dyDescent="0.25">
      <c r="A1169" t="s">
        <v>660</v>
      </c>
      <c r="B1169" t="s">
        <v>59</v>
      </c>
      <c r="C1169" s="82">
        <v>301863767</v>
      </c>
      <c r="D1169">
        <v>201601</v>
      </c>
      <c r="E1169" s="1">
        <v>42370</v>
      </c>
      <c r="F1169" s="1">
        <v>42402</v>
      </c>
      <c r="G1169" t="s">
        <v>711</v>
      </c>
      <c r="H1169" s="81">
        <v>5</v>
      </c>
      <c r="I1169" t="s">
        <v>47</v>
      </c>
      <c r="J1169" s="3">
        <v>88.13</v>
      </c>
    </row>
    <row r="1170" spans="1:10" x14ac:dyDescent="0.25">
      <c r="A1170" t="s">
        <v>660</v>
      </c>
      <c r="B1170" t="s">
        <v>59</v>
      </c>
      <c r="C1170" s="82">
        <v>301863767</v>
      </c>
      <c r="D1170">
        <v>201602</v>
      </c>
      <c r="E1170" s="1">
        <v>42403</v>
      </c>
      <c r="F1170" s="1">
        <v>42433</v>
      </c>
      <c r="G1170" t="s">
        <v>711</v>
      </c>
      <c r="H1170" s="81">
        <v>7</v>
      </c>
      <c r="I1170" t="s">
        <v>47</v>
      </c>
      <c r="J1170" s="3">
        <v>106.53</v>
      </c>
    </row>
    <row r="1171" spans="1:10" x14ac:dyDescent="0.25">
      <c r="A1171" t="s">
        <v>660</v>
      </c>
      <c r="B1171" t="s">
        <v>59</v>
      </c>
      <c r="C1171" s="82">
        <v>301863767</v>
      </c>
      <c r="D1171">
        <v>201603</v>
      </c>
      <c r="E1171" s="1">
        <v>42434</v>
      </c>
      <c r="F1171" s="1">
        <v>42461</v>
      </c>
      <c r="G1171" t="s">
        <v>711</v>
      </c>
      <c r="H1171" s="81">
        <v>7</v>
      </c>
      <c r="I1171" t="s">
        <v>47</v>
      </c>
      <c r="J1171" s="3">
        <v>107.91</v>
      </c>
    </row>
    <row r="1172" spans="1:10" x14ac:dyDescent="0.25">
      <c r="A1172" t="s">
        <v>660</v>
      </c>
      <c r="B1172" t="s">
        <v>59</v>
      </c>
      <c r="C1172" s="82">
        <v>301863767</v>
      </c>
      <c r="D1172">
        <v>201604</v>
      </c>
      <c r="E1172" s="1">
        <v>42462</v>
      </c>
      <c r="F1172" s="1">
        <v>42493</v>
      </c>
      <c r="G1172" t="s">
        <v>711</v>
      </c>
      <c r="H1172" s="81">
        <v>7</v>
      </c>
      <c r="I1172" t="s">
        <v>47</v>
      </c>
      <c r="J1172" s="3">
        <v>107.91</v>
      </c>
    </row>
    <row r="1173" spans="1:10" x14ac:dyDescent="0.25">
      <c r="A1173" t="s">
        <v>660</v>
      </c>
      <c r="B1173" t="s">
        <v>59</v>
      </c>
      <c r="C1173" s="82">
        <v>301863767</v>
      </c>
      <c r="D1173">
        <v>201605</v>
      </c>
      <c r="E1173" s="1">
        <v>42494</v>
      </c>
      <c r="F1173" s="1">
        <v>42521</v>
      </c>
      <c r="G1173" t="s">
        <v>711</v>
      </c>
      <c r="H1173" s="81">
        <v>6</v>
      </c>
      <c r="I1173" t="s">
        <v>47</v>
      </c>
      <c r="J1173" s="3">
        <v>98.58</v>
      </c>
    </row>
    <row r="1174" spans="1:10" x14ac:dyDescent="0.25">
      <c r="A1174" t="s">
        <v>660</v>
      </c>
      <c r="B1174" t="s">
        <v>59</v>
      </c>
      <c r="C1174" s="82">
        <v>301863767</v>
      </c>
      <c r="D1174">
        <v>201606</v>
      </c>
      <c r="E1174" s="1">
        <v>42522</v>
      </c>
      <c r="F1174" s="1">
        <v>42550</v>
      </c>
      <c r="G1174" t="s">
        <v>711</v>
      </c>
      <c r="H1174" s="81">
        <v>7</v>
      </c>
      <c r="I1174" t="s">
        <v>47</v>
      </c>
      <c r="J1174" s="3">
        <v>107.91</v>
      </c>
    </row>
    <row r="1175" spans="1:10" x14ac:dyDescent="0.25">
      <c r="A1175" t="s">
        <v>590</v>
      </c>
      <c r="B1175" t="s">
        <v>59</v>
      </c>
      <c r="C1175" s="82">
        <v>301881884</v>
      </c>
      <c r="D1175">
        <v>201507</v>
      </c>
      <c r="E1175" s="1">
        <v>42186</v>
      </c>
      <c r="F1175" s="1">
        <v>42214</v>
      </c>
      <c r="G1175" t="s">
        <v>712</v>
      </c>
      <c r="H1175" s="81">
        <v>16</v>
      </c>
      <c r="I1175" t="s">
        <v>47</v>
      </c>
      <c r="J1175" s="3">
        <v>252</v>
      </c>
    </row>
    <row r="1176" spans="1:10" x14ac:dyDescent="0.25">
      <c r="A1176" t="s">
        <v>590</v>
      </c>
      <c r="B1176" t="s">
        <v>59</v>
      </c>
      <c r="C1176" s="82">
        <v>301881884</v>
      </c>
      <c r="D1176">
        <v>201508</v>
      </c>
      <c r="E1176" s="1">
        <v>42215</v>
      </c>
      <c r="F1176" s="1">
        <v>42243</v>
      </c>
      <c r="G1176" t="s">
        <v>712</v>
      </c>
      <c r="H1176" s="81">
        <v>21</v>
      </c>
      <c r="I1176" t="s">
        <v>47</v>
      </c>
      <c r="J1176" s="3">
        <v>319.93</v>
      </c>
    </row>
    <row r="1177" spans="1:10" x14ac:dyDescent="0.25">
      <c r="A1177" t="s">
        <v>590</v>
      </c>
      <c r="B1177" t="s">
        <v>59</v>
      </c>
      <c r="C1177" s="82">
        <v>301881884</v>
      </c>
      <c r="D1177">
        <v>201509</v>
      </c>
      <c r="E1177" s="1">
        <v>42244</v>
      </c>
      <c r="F1177" s="1">
        <v>42275</v>
      </c>
      <c r="G1177" t="s">
        <v>712</v>
      </c>
      <c r="H1177" s="81">
        <v>17</v>
      </c>
      <c r="I1177" t="s">
        <v>47</v>
      </c>
      <c r="J1177" s="3">
        <v>283.13</v>
      </c>
    </row>
    <row r="1178" spans="1:10" x14ac:dyDescent="0.25">
      <c r="A1178" t="s">
        <v>590</v>
      </c>
      <c r="B1178" t="s">
        <v>59</v>
      </c>
      <c r="C1178" s="82">
        <v>301881884</v>
      </c>
      <c r="D1178">
        <v>201510</v>
      </c>
      <c r="E1178" s="1">
        <v>42276</v>
      </c>
      <c r="F1178" s="1">
        <v>42310</v>
      </c>
      <c r="G1178" t="s">
        <v>712</v>
      </c>
      <c r="H1178" s="81">
        <v>18</v>
      </c>
      <c r="I1178" t="s">
        <v>47</v>
      </c>
      <c r="J1178" s="3">
        <v>292.33</v>
      </c>
    </row>
    <row r="1179" spans="1:10" x14ac:dyDescent="0.25">
      <c r="A1179" t="s">
        <v>590</v>
      </c>
      <c r="B1179" t="s">
        <v>59</v>
      </c>
      <c r="C1179" s="82">
        <v>301881884</v>
      </c>
      <c r="D1179">
        <v>201511</v>
      </c>
      <c r="E1179" s="1">
        <v>42311</v>
      </c>
      <c r="F1179" s="1">
        <v>42341</v>
      </c>
      <c r="G1179" t="s">
        <v>712</v>
      </c>
      <c r="H1179" s="81">
        <v>14</v>
      </c>
      <c r="I1179" t="s">
        <v>47</v>
      </c>
      <c r="J1179" s="3">
        <v>255.53</v>
      </c>
    </row>
    <row r="1180" spans="1:10" x14ac:dyDescent="0.25">
      <c r="A1180" t="s">
        <v>590</v>
      </c>
      <c r="B1180" t="s">
        <v>59</v>
      </c>
      <c r="C1180" s="82">
        <v>301881884</v>
      </c>
      <c r="D1180">
        <v>201512</v>
      </c>
      <c r="E1180" s="1">
        <v>42342</v>
      </c>
      <c r="F1180" s="1">
        <v>42369</v>
      </c>
      <c r="G1180" t="s">
        <v>712</v>
      </c>
      <c r="H1180" s="81">
        <v>14</v>
      </c>
      <c r="I1180" t="s">
        <v>47</v>
      </c>
      <c r="J1180" s="3">
        <v>255.53</v>
      </c>
    </row>
    <row r="1181" spans="1:10" x14ac:dyDescent="0.25">
      <c r="A1181" t="s">
        <v>590</v>
      </c>
      <c r="B1181" t="s">
        <v>59</v>
      </c>
      <c r="C1181" s="82">
        <v>301881884</v>
      </c>
      <c r="D1181">
        <v>201601</v>
      </c>
      <c r="E1181" s="1">
        <v>42370</v>
      </c>
      <c r="F1181" s="1">
        <v>42402</v>
      </c>
      <c r="G1181" t="s">
        <v>712</v>
      </c>
      <c r="H1181" s="81">
        <v>14</v>
      </c>
      <c r="I1181" t="s">
        <v>47</v>
      </c>
      <c r="J1181" s="3">
        <v>255.53</v>
      </c>
    </row>
    <row r="1182" spans="1:10" x14ac:dyDescent="0.25">
      <c r="A1182" t="s">
        <v>590</v>
      </c>
      <c r="B1182" t="s">
        <v>59</v>
      </c>
      <c r="C1182" s="82">
        <v>301881884</v>
      </c>
      <c r="D1182">
        <v>201602</v>
      </c>
      <c r="E1182" s="1">
        <v>42403</v>
      </c>
      <c r="F1182" s="1">
        <v>42433</v>
      </c>
      <c r="G1182" t="s">
        <v>712</v>
      </c>
      <c r="H1182" s="81">
        <v>25</v>
      </c>
      <c r="I1182" t="s">
        <v>47</v>
      </c>
      <c r="J1182" s="3">
        <v>356.73</v>
      </c>
    </row>
    <row r="1183" spans="1:10" x14ac:dyDescent="0.25">
      <c r="A1183" t="s">
        <v>590</v>
      </c>
      <c r="B1183" t="s">
        <v>59</v>
      </c>
      <c r="C1183" s="82">
        <v>301881884</v>
      </c>
      <c r="D1183">
        <v>201603</v>
      </c>
      <c r="E1183" s="1">
        <v>42434</v>
      </c>
      <c r="F1183" s="1">
        <v>42461</v>
      </c>
      <c r="G1183" t="s">
        <v>712</v>
      </c>
      <c r="H1183" s="81">
        <v>15</v>
      </c>
      <c r="I1183" t="s">
        <v>47</v>
      </c>
      <c r="J1183" s="3">
        <v>268.25</v>
      </c>
    </row>
    <row r="1184" spans="1:10" x14ac:dyDescent="0.25">
      <c r="A1184" t="s">
        <v>590</v>
      </c>
      <c r="B1184" t="s">
        <v>59</v>
      </c>
      <c r="C1184" s="82">
        <v>301881884</v>
      </c>
      <c r="D1184">
        <v>201604</v>
      </c>
      <c r="E1184" s="1">
        <v>42462</v>
      </c>
      <c r="F1184" s="1">
        <v>42494</v>
      </c>
      <c r="G1184" t="s">
        <v>712</v>
      </c>
      <c r="H1184" s="81">
        <v>19</v>
      </c>
      <c r="I1184" t="s">
        <v>47</v>
      </c>
      <c r="J1184" s="3">
        <v>305.57</v>
      </c>
    </row>
    <row r="1185" spans="1:10" x14ac:dyDescent="0.25">
      <c r="A1185" t="s">
        <v>590</v>
      </c>
      <c r="B1185" t="s">
        <v>59</v>
      </c>
      <c r="C1185" s="82">
        <v>301881884</v>
      </c>
      <c r="D1185">
        <v>201605</v>
      </c>
      <c r="E1185" s="1">
        <v>42494</v>
      </c>
      <c r="F1185" s="1">
        <v>42521</v>
      </c>
      <c r="G1185" t="s">
        <v>712</v>
      </c>
      <c r="H1185" s="81">
        <v>15</v>
      </c>
      <c r="I1185" t="s">
        <v>47</v>
      </c>
      <c r="J1185" s="3">
        <v>268.25</v>
      </c>
    </row>
    <row r="1186" spans="1:10" x14ac:dyDescent="0.25">
      <c r="A1186" t="s">
        <v>590</v>
      </c>
      <c r="B1186" t="s">
        <v>59</v>
      </c>
      <c r="C1186" s="82">
        <v>301881884</v>
      </c>
      <c r="D1186">
        <v>201606</v>
      </c>
      <c r="E1186" s="1">
        <v>42522</v>
      </c>
      <c r="F1186" s="1">
        <v>42550</v>
      </c>
      <c r="G1186" t="s">
        <v>712</v>
      </c>
      <c r="H1186" s="81">
        <v>22</v>
      </c>
      <c r="I1186" t="s">
        <v>47</v>
      </c>
      <c r="J1186" s="3">
        <v>333.56</v>
      </c>
    </row>
    <row r="1187" spans="1:10" x14ac:dyDescent="0.25">
      <c r="A1187" t="s">
        <v>106</v>
      </c>
      <c r="B1187" t="s">
        <v>59</v>
      </c>
      <c r="C1187" s="82">
        <v>301882072</v>
      </c>
      <c r="D1187">
        <v>201507</v>
      </c>
      <c r="E1187" s="1">
        <v>42186</v>
      </c>
      <c r="F1187" s="1">
        <v>42214</v>
      </c>
      <c r="G1187" t="s">
        <v>713</v>
      </c>
      <c r="H1187" s="81">
        <v>17</v>
      </c>
      <c r="I1187" t="s">
        <v>47</v>
      </c>
      <c r="J1187" s="3">
        <v>209.29</v>
      </c>
    </row>
    <row r="1188" spans="1:10" x14ac:dyDescent="0.25">
      <c r="A1188" t="s">
        <v>106</v>
      </c>
      <c r="B1188" t="s">
        <v>59</v>
      </c>
      <c r="C1188" s="82">
        <v>301882072</v>
      </c>
      <c r="D1188">
        <v>201508</v>
      </c>
      <c r="E1188" s="1">
        <v>42215</v>
      </c>
      <c r="F1188" s="1">
        <v>42243</v>
      </c>
      <c r="G1188" t="s">
        <v>713</v>
      </c>
      <c r="H1188" s="81">
        <v>129</v>
      </c>
      <c r="I1188" t="s">
        <v>47</v>
      </c>
      <c r="J1188" s="3">
        <v>1517.89</v>
      </c>
    </row>
    <row r="1189" spans="1:10" x14ac:dyDescent="0.25">
      <c r="A1189" t="s">
        <v>106</v>
      </c>
      <c r="B1189" t="s">
        <v>59</v>
      </c>
      <c r="C1189" s="82">
        <v>301882072</v>
      </c>
      <c r="D1189">
        <v>201509</v>
      </c>
      <c r="E1189" s="1">
        <v>42244</v>
      </c>
      <c r="F1189" s="1">
        <v>42275</v>
      </c>
      <c r="G1189" t="s">
        <v>713</v>
      </c>
      <c r="H1189" s="81">
        <v>475</v>
      </c>
      <c r="I1189" t="s">
        <v>47</v>
      </c>
      <c r="J1189" s="3">
        <v>5929.39</v>
      </c>
    </row>
    <row r="1190" spans="1:10" x14ac:dyDescent="0.25">
      <c r="A1190" t="s">
        <v>106</v>
      </c>
      <c r="B1190" t="s">
        <v>59</v>
      </c>
      <c r="C1190" s="82">
        <v>301882072</v>
      </c>
      <c r="D1190">
        <v>201510</v>
      </c>
      <c r="E1190" s="1">
        <v>42276</v>
      </c>
      <c r="F1190" s="1">
        <v>42310</v>
      </c>
      <c r="G1190" t="s">
        <v>713</v>
      </c>
      <c r="H1190" s="81">
        <v>88</v>
      </c>
      <c r="I1190" t="s">
        <v>47</v>
      </c>
      <c r="J1190" s="3">
        <v>995.14</v>
      </c>
    </row>
    <row r="1191" spans="1:10" x14ac:dyDescent="0.25">
      <c r="A1191" t="s">
        <v>106</v>
      </c>
      <c r="B1191" t="s">
        <v>59</v>
      </c>
      <c r="C1191" s="82">
        <v>301882072</v>
      </c>
      <c r="D1191">
        <v>201511</v>
      </c>
      <c r="E1191" s="1">
        <v>42311</v>
      </c>
      <c r="F1191" s="1">
        <v>42341</v>
      </c>
      <c r="G1191" t="s">
        <v>713</v>
      </c>
      <c r="H1191" s="81">
        <v>50</v>
      </c>
      <c r="I1191" t="s">
        <v>47</v>
      </c>
      <c r="J1191" s="3">
        <v>524.84</v>
      </c>
    </row>
    <row r="1192" spans="1:10" x14ac:dyDescent="0.25">
      <c r="A1192" t="s">
        <v>106</v>
      </c>
      <c r="B1192" t="s">
        <v>59</v>
      </c>
      <c r="C1192" s="82">
        <v>301882072</v>
      </c>
      <c r="D1192">
        <v>201512</v>
      </c>
      <c r="E1192" s="1">
        <v>42342</v>
      </c>
      <c r="F1192" s="1">
        <v>42369</v>
      </c>
      <c r="G1192" t="s">
        <v>713</v>
      </c>
      <c r="H1192" s="81">
        <v>50</v>
      </c>
      <c r="I1192" t="s">
        <v>47</v>
      </c>
      <c r="J1192" s="3">
        <v>524.84</v>
      </c>
    </row>
    <row r="1193" spans="1:10" x14ac:dyDescent="0.25">
      <c r="A1193" t="s">
        <v>106</v>
      </c>
      <c r="B1193" t="s">
        <v>59</v>
      </c>
      <c r="C1193" s="82">
        <v>301882072</v>
      </c>
      <c r="D1193">
        <v>201601</v>
      </c>
      <c r="E1193" s="1">
        <v>42370</v>
      </c>
      <c r="F1193" s="1">
        <v>42402</v>
      </c>
      <c r="G1193" t="s">
        <v>713</v>
      </c>
      <c r="H1193" s="81">
        <v>8</v>
      </c>
      <c r="I1193" t="s">
        <v>47</v>
      </c>
      <c r="J1193" s="3">
        <v>138.44</v>
      </c>
    </row>
    <row r="1194" spans="1:10" x14ac:dyDescent="0.25">
      <c r="A1194" t="s">
        <v>106</v>
      </c>
      <c r="B1194" t="s">
        <v>59</v>
      </c>
      <c r="C1194" s="82">
        <v>301882072</v>
      </c>
      <c r="D1194">
        <v>201602</v>
      </c>
      <c r="E1194" s="1">
        <v>42403</v>
      </c>
      <c r="F1194" s="1">
        <v>42433</v>
      </c>
      <c r="G1194" t="s">
        <v>713</v>
      </c>
      <c r="H1194" s="81">
        <v>0</v>
      </c>
      <c r="I1194" t="s">
        <v>47</v>
      </c>
      <c r="J1194" s="3">
        <v>64.84</v>
      </c>
    </row>
    <row r="1195" spans="1:10" x14ac:dyDescent="0.25">
      <c r="A1195" t="s">
        <v>106</v>
      </c>
      <c r="B1195" t="s">
        <v>59</v>
      </c>
      <c r="C1195" s="82">
        <v>301882072</v>
      </c>
      <c r="D1195">
        <v>201604</v>
      </c>
      <c r="E1195" s="1">
        <v>42434</v>
      </c>
      <c r="F1195" s="1">
        <v>42489</v>
      </c>
      <c r="G1195" t="s">
        <v>713</v>
      </c>
      <c r="H1195" s="81">
        <v>58</v>
      </c>
      <c r="I1195" t="s">
        <v>47</v>
      </c>
      <c r="J1195" s="3">
        <v>606.64</v>
      </c>
    </row>
    <row r="1196" spans="1:10" x14ac:dyDescent="0.25">
      <c r="A1196" t="s">
        <v>106</v>
      </c>
      <c r="B1196" t="s">
        <v>59</v>
      </c>
      <c r="C1196" s="82">
        <v>301882072</v>
      </c>
      <c r="D1196">
        <v>201605</v>
      </c>
      <c r="E1196" s="1">
        <v>42490</v>
      </c>
      <c r="F1196" s="1">
        <v>42521</v>
      </c>
      <c r="G1196" t="s">
        <v>713</v>
      </c>
      <c r="H1196" s="81">
        <v>6</v>
      </c>
      <c r="I1196" t="s">
        <v>47</v>
      </c>
      <c r="J1196" s="3">
        <v>121.48</v>
      </c>
    </row>
    <row r="1197" spans="1:10" x14ac:dyDescent="0.25">
      <c r="A1197" t="s">
        <v>106</v>
      </c>
      <c r="B1197" t="s">
        <v>59</v>
      </c>
      <c r="C1197" s="82">
        <v>301882072</v>
      </c>
      <c r="D1197">
        <v>201606</v>
      </c>
      <c r="E1197" s="1">
        <v>42522</v>
      </c>
      <c r="F1197" s="1">
        <v>42551</v>
      </c>
      <c r="G1197" t="s">
        <v>713</v>
      </c>
      <c r="H1197" s="81">
        <v>5</v>
      </c>
      <c r="I1197" t="s">
        <v>47</v>
      </c>
      <c r="J1197" s="3">
        <v>112.15</v>
      </c>
    </row>
    <row r="1198" spans="1:10" x14ac:dyDescent="0.25">
      <c r="A1198" t="s">
        <v>511</v>
      </c>
      <c r="B1198" t="s">
        <v>59</v>
      </c>
      <c r="C1198" s="82">
        <v>305393498</v>
      </c>
      <c r="D1198">
        <v>201507</v>
      </c>
      <c r="E1198" s="1">
        <v>42186</v>
      </c>
      <c r="F1198" s="1">
        <v>42214</v>
      </c>
      <c r="G1198" t="s">
        <v>565</v>
      </c>
      <c r="H1198" s="81">
        <v>14</v>
      </c>
      <c r="I1198" t="s">
        <v>47</v>
      </c>
      <c r="J1198" s="3">
        <v>181.78</v>
      </c>
    </row>
    <row r="1199" spans="1:10" x14ac:dyDescent="0.25">
      <c r="A1199" t="s">
        <v>511</v>
      </c>
      <c r="B1199" t="s">
        <v>59</v>
      </c>
      <c r="C1199" s="82">
        <v>305393498</v>
      </c>
      <c r="D1199">
        <v>201508</v>
      </c>
      <c r="E1199" s="1">
        <v>42215</v>
      </c>
      <c r="F1199" s="1">
        <v>42243</v>
      </c>
      <c r="G1199" t="s">
        <v>565</v>
      </c>
      <c r="H1199" s="81">
        <v>14</v>
      </c>
      <c r="I1199" t="s">
        <v>47</v>
      </c>
      <c r="J1199" s="3">
        <v>193.64</v>
      </c>
    </row>
    <row r="1200" spans="1:10" x14ac:dyDescent="0.25">
      <c r="A1200" t="s">
        <v>511</v>
      </c>
      <c r="B1200" t="s">
        <v>59</v>
      </c>
      <c r="C1200" s="82">
        <v>305393498</v>
      </c>
      <c r="D1200">
        <v>201509</v>
      </c>
      <c r="E1200" s="1">
        <v>42244</v>
      </c>
      <c r="F1200" s="1">
        <v>42275</v>
      </c>
      <c r="G1200" t="s">
        <v>565</v>
      </c>
      <c r="H1200" s="81">
        <v>97</v>
      </c>
      <c r="I1200" t="s">
        <v>47</v>
      </c>
      <c r="J1200" s="3">
        <v>978.54</v>
      </c>
    </row>
    <row r="1201" spans="1:10" x14ac:dyDescent="0.25">
      <c r="A1201" t="s">
        <v>511</v>
      </c>
      <c r="B1201" t="s">
        <v>59</v>
      </c>
      <c r="C1201" s="82">
        <v>305393498</v>
      </c>
      <c r="D1201">
        <v>201510</v>
      </c>
      <c r="E1201" s="1">
        <v>42276</v>
      </c>
      <c r="F1201" s="1">
        <v>42310</v>
      </c>
      <c r="G1201" t="s">
        <v>565</v>
      </c>
      <c r="H1201" s="81">
        <v>118</v>
      </c>
      <c r="I1201" t="s">
        <v>47</v>
      </c>
      <c r="J1201" s="3">
        <v>1246.29</v>
      </c>
    </row>
    <row r="1202" spans="1:10" x14ac:dyDescent="0.25">
      <c r="A1202" t="s">
        <v>511</v>
      </c>
      <c r="B1202" t="s">
        <v>59</v>
      </c>
      <c r="C1202" s="82">
        <v>305393498</v>
      </c>
      <c r="D1202">
        <v>201511</v>
      </c>
      <c r="E1202" s="1">
        <v>42311</v>
      </c>
      <c r="F1202" s="1">
        <v>42341</v>
      </c>
      <c r="G1202" t="s">
        <v>565</v>
      </c>
      <c r="H1202" s="81">
        <v>94</v>
      </c>
      <c r="I1202" t="s">
        <v>47</v>
      </c>
      <c r="J1202" s="3">
        <v>940.29</v>
      </c>
    </row>
    <row r="1203" spans="1:10" x14ac:dyDescent="0.25">
      <c r="A1203" t="s">
        <v>511</v>
      </c>
      <c r="B1203" t="s">
        <v>59</v>
      </c>
      <c r="C1203" s="82">
        <v>305393498</v>
      </c>
      <c r="D1203">
        <v>201512</v>
      </c>
      <c r="E1203" s="1">
        <v>42342</v>
      </c>
      <c r="F1203" s="1">
        <v>42369</v>
      </c>
      <c r="G1203" t="s">
        <v>565</v>
      </c>
      <c r="H1203" s="81">
        <v>63</v>
      </c>
      <c r="I1203" t="s">
        <v>47</v>
      </c>
      <c r="J1203" s="3">
        <v>644.44000000000005</v>
      </c>
    </row>
    <row r="1204" spans="1:10" x14ac:dyDescent="0.25">
      <c r="A1204" t="s">
        <v>511</v>
      </c>
      <c r="B1204" t="s">
        <v>59</v>
      </c>
      <c r="C1204" s="82">
        <v>305393498</v>
      </c>
      <c r="D1204">
        <v>201601</v>
      </c>
      <c r="E1204" s="1">
        <v>42370</v>
      </c>
      <c r="F1204" s="1">
        <v>42402</v>
      </c>
      <c r="G1204" t="s">
        <v>565</v>
      </c>
      <c r="H1204" s="81">
        <v>40</v>
      </c>
      <c r="I1204" t="s">
        <v>47</v>
      </c>
      <c r="J1204" s="3">
        <v>432.84</v>
      </c>
    </row>
    <row r="1205" spans="1:10" x14ac:dyDescent="0.25">
      <c r="A1205" t="s">
        <v>511</v>
      </c>
      <c r="B1205" t="s">
        <v>59</v>
      </c>
      <c r="C1205" s="82">
        <v>305393498</v>
      </c>
      <c r="D1205">
        <v>201602</v>
      </c>
      <c r="E1205" s="1">
        <v>42403</v>
      </c>
      <c r="F1205" s="1">
        <v>42433</v>
      </c>
      <c r="G1205" t="s">
        <v>565</v>
      </c>
      <c r="H1205" s="81">
        <v>111</v>
      </c>
      <c r="I1205" t="s">
        <v>47</v>
      </c>
      <c r="J1205" s="3">
        <v>1086.04</v>
      </c>
    </row>
    <row r="1206" spans="1:10" x14ac:dyDescent="0.25">
      <c r="A1206" t="s">
        <v>511</v>
      </c>
      <c r="B1206" t="s">
        <v>59</v>
      </c>
      <c r="C1206" s="82">
        <v>305393498</v>
      </c>
      <c r="D1206">
        <v>201603</v>
      </c>
      <c r="E1206" s="1">
        <v>42434</v>
      </c>
      <c r="F1206" s="1">
        <v>42461</v>
      </c>
      <c r="G1206" t="s">
        <v>565</v>
      </c>
      <c r="H1206" s="81">
        <v>74</v>
      </c>
      <c r="I1206" t="s">
        <v>47</v>
      </c>
      <c r="J1206" s="3">
        <v>755.92</v>
      </c>
    </row>
    <row r="1207" spans="1:10" x14ac:dyDescent="0.25">
      <c r="A1207" t="s">
        <v>511</v>
      </c>
      <c r="B1207" t="s">
        <v>59</v>
      </c>
      <c r="C1207" s="82">
        <v>305393498</v>
      </c>
      <c r="D1207">
        <v>201604</v>
      </c>
      <c r="E1207" s="1">
        <v>42462</v>
      </c>
      <c r="F1207" s="1">
        <v>42493</v>
      </c>
      <c r="G1207" t="s">
        <v>565</v>
      </c>
      <c r="H1207" s="81">
        <v>103</v>
      </c>
      <c r="I1207" t="s">
        <v>47</v>
      </c>
      <c r="J1207" s="3">
        <v>1026.49</v>
      </c>
    </row>
    <row r="1208" spans="1:10" x14ac:dyDescent="0.25">
      <c r="A1208" t="s">
        <v>511</v>
      </c>
      <c r="B1208" t="s">
        <v>59</v>
      </c>
      <c r="C1208" s="82">
        <v>305393498</v>
      </c>
      <c r="D1208">
        <v>201605</v>
      </c>
      <c r="E1208" s="1">
        <v>42494</v>
      </c>
      <c r="F1208" s="1">
        <v>42521</v>
      </c>
      <c r="G1208" t="s">
        <v>565</v>
      </c>
      <c r="H1208" s="81">
        <v>36</v>
      </c>
      <c r="I1208" t="s">
        <v>47</v>
      </c>
      <c r="J1208" s="3">
        <v>401.38</v>
      </c>
    </row>
    <row r="1209" spans="1:10" x14ac:dyDescent="0.25">
      <c r="A1209" t="s">
        <v>511</v>
      </c>
      <c r="B1209" t="s">
        <v>59</v>
      </c>
      <c r="C1209" s="82">
        <v>305393498</v>
      </c>
      <c r="D1209">
        <v>201606</v>
      </c>
      <c r="E1209" s="1">
        <v>42522</v>
      </c>
      <c r="F1209" s="1">
        <v>42550</v>
      </c>
      <c r="G1209" t="s">
        <v>565</v>
      </c>
      <c r="H1209" s="81">
        <v>27</v>
      </c>
      <c r="I1209" t="s">
        <v>47</v>
      </c>
      <c r="J1209" s="3">
        <v>317.41000000000003</v>
      </c>
    </row>
    <row r="1210" spans="1:10" x14ac:dyDescent="0.25">
      <c r="A1210" t="s">
        <v>88</v>
      </c>
      <c r="B1210" t="s">
        <v>59</v>
      </c>
      <c r="C1210" s="82">
        <v>3018655101</v>
      </c>
      <c r="D1210">
        <v>201507</v>
      </c>
      <c r="E1210" s="1">
        <v>42186</v>
      </c>
      <c r="F1210" s="1">
        <v>42214</v>
      </c>
      <c r="G1210" t="s">
        <v>730</v>
      </c>
      <c r="H1210" s="81">
        <v>136.29</v>
      </c>
      <c r="I1210" t="s">
        <v>47</v>
      </c>
      <c r="J1210" s="3">
        <v>1301.1600000000001</v>
      </c>
    </row>
    <row r="1211" spans="1:10" x14ac:dyDescent="0.25">
      <c r="A1211" t="s">
        <v>88</v>
      </c>
      <c r="B1211" t="s">
        <v>59</v>
      </c>
      <c r="C1211" s="82">
        <v>3018655101</v>
      </c>
      <c r="D1211">
        <v>201508</v>
      </c>
      <c r="E1211" s="1">
        <v>42215</v>
      </c>
      <c r="F1211" s="1">
        <v>42244</v>
      </c>
      <c r="G1211" t="s">
        <v>730</v>
      </c>
      <c r="H1211" s="81">
        <v>106.92</v>
      </c>
      <c r="I1211" t="s">
        <v>47</v>
      </c>
      <c r="J1211" s="3">
        <v>1053.3800000000001</v>
      </c>
    </row>
    <row r="1212" spans="1:10" x14ac:dyDescent="0.25">
      <c r="A1212" t="s">
        <v>88</v>
      </c>
      <c r="B1212" t="s">
        <v>59</v>
      </c>
      <c r="C1212" s="82">
        <v>3018655101</v>
      </c>
      <c r="D1212">
        <v>201509</v>
      </c>
      <c r="E1212" s="1">
        <v>42245</v>
      </c>
      <c r="F1212" s="1">
        <v>42275</v>
      </c>
      <c r="G1212" t="s">
        <v>730</v>
      </c>
      <c r="H1212" s="81">
        <v>262.35000000000002</v>
      </c>
      <c r="I1212" t="s">
        <v>47</v>
      </c>
      <c r="J1212" s="3">
        <v>2483.33</v>
      </c>
    </row>
    <row r="1213" spans="1:10" x14ac:dyDescent="0.25">
      <c r="A1213" t="s">
        <v>88</v>
      </c>
      <c r="B1213" t="s">
        <v>59</v>
      </c>
      <c r="C1213" s="82">
        <v>3018655101</v>
      </c>
      <c r="D1213">
        <v>201510</v>
      </c>
      <c r="E1213" s="1">
        <v>42276</v>
      </c>
      <c r="F1213" s="1">
        <v>42310</v>
      </c>
      <c r="G1213" t="s">
        <v>730</v>
      </c>
      <c r="H1213" s="81">
        <v>291.06</v>
      </c>
      <c r="I1213" t="s">
        <v>47</v>
      </c>
      <c r="J1213" s="3">
        <v>2747.47</v>
      </c>
    </row>
    <row r="1214" spans="1:10" x14ac:dyDescent="0.25">
      <c r="A1214" t="s">
        <v>88</v>
      </c>
      <c r="B1214" t="s">
        <v>59</v>
      </c>
      <c r="C1214" s="82">
        <v>3018655101</v>
      </c>
      <c r="D1214">
        <v>201511</v>
      </c>
      <c r="E1214" s="1">
        <v>42311</v>
      </c>
      <c r="F1214" s="1">
        <v>42341</v>
      </c>
      <c r="G1214" t="s">
        <v>730</v>
      </c>
      <c r="H1214" s="81">
        <v>218.13</v>
      </c>
      <c r="I1214" t="s">
        <v>47</v>
      </c>
      <c r="J1214" s="3">
        <v>2078.71</v>
      </c>
    </row>
    <row r="1215" spans="1:10" x14ac:dyDescent="0.25">
      <c r="A1215" t="s">
        <v>88</v>
      </c>
      <c r="B1215" t="s">
        <v>59</v>
      </c>
      <c r="C1215" s="82">
        <v>3018655101</v>
      </c>
      <c r="D1215">
        <v>201512</v>
      </c>
      <c r="E1215" s="1">
        <v>42342</v>
      </c>
      <c r="F1215" s="1">
        <v>42369</v>
      </c>
      <c r="G1215" t="s">
        <v>730</v>
      </c>
      <c r="H1215" s="81">
        <v>169.62</v>
      </c>
      <c r="I1215" t="s">
        <v>47</v>
      </c>
      <c r="J1215" s="3">
        <v>1632.41</v>
      </c>
    </row>
    <row r="1216" spans="1:10" x14ac:dyDescent="0.25">
      <c r="A1216" t="s">
        <v>88</v>
      </c>
      <c r="B1216" t="s">
        <v>59</v>
      </c>
      <c r="C1216" s="82">
        <v>3018655101</v>
      </c>
      <c r="D1216">
        <v>201601</v>
      </c>
      <c r="E1216" s="1">
        <v>42370</v>
      </c>
      <c r="F1216" s="1">
        <v>42402</v>
      </c>
      <c r="G1216" t="s">
        <v>730</v>
      </c>
      <c r="H1216" s="81">
        <v>136.94999999999999</v>
      </c>
      <c r="I1216" t="s">
        <v>47</v>
      </c>
      <c r="J1216" s="3">
        <v>1331.85</v>
      </c>
    </row>
    <row r="1217" spans="1:10" x14ac:dyDescent="0.25">
      <c r="A1217" t="s">
        <v>88</v>
      </c>
      <c r="B1217" t="s">
        <v>59</v>
      </c>
      <c r="C1217" s="82">
        <v>3018655101</v>
      </c>
      <c r="D1217">
        <v>201602</v>
      </c>
      <c r="E1217" s="1">
        <v>42403</v>
      </c>
      <c r="F1217" s="1">
        <v>42433</v>
      </c>
      <c r="G1217" t="s">
        <v>730</v>
      </c>
      <c r="H1217" s="81">
        <v>236.61</v>
      </c>
      <c r="I1217" t="s">
        <v>47</v>
      </c>
      <c r="J1217" s="3">
        <v>2248.73</v>
      </c>
    </row>
    <row r="1218" spans="1:10" x14ac:dyDescent="0.25">
      <c r="A1218" t="s">
        <v>88</v>
      </c>
      <c r="B1218" t="s">
        <v>59</v>
      </c>
      <c r="C1218" s="82">
        <v>3018655101</v>
      </c>
      <c r="D1218">
        <v>201603</v>
      </c>
      <c r="E1218" s="1">
        <v>42434</v>
      </c>
      <c r="F1218" s="1">
        <v>42461</v>
      </c>
      <c r="G1218" t="s">
        <v>730</v>
      </c>
      <c r="H1218" s="81">
        <v>173.91</v>
      </c>
      <c r="I1218" t="s">
        <v>47</v>
      </c>
      <c r="J1218" s="3">
        <v>1695.35</v>
      </c>
    </row>
    <row r="1219" spans="1:10" x14ac:dyDescent="0.25">
      <c r="A1219" t="s">
        <v>88</v>
      </c>
      <c r="B1219" t="s">
        <v>59</v>
      </c>
      <c r="C1219" s="82">
        <v>3018655101</v>
      </c>
      <c r="D1219">
        <v>201604</v>
      </c>
      <c r="E1219" s="1">
        <v>42462</v>
      </c>
      <c r="F1219" s="1">
        <v>42493</v>
      </c>
      <c r="G1219" t="s">
        <v>730</v>
      </c>
      <c r="H1219" s="81">
        <v>268.95</v>
      </c>
      <c r="I1219" t="s">
        <v>47</v>
      </c>
      <c r="J1219" s="3">
        <v>2582.08</v>
      </c>
    </row>
    <row r="1220" spans="1:10" x14ac:dyDescent="0.25">
      <c r="A1220" t="s">
        <v>88</v>
      </c>
      <c r="B1220" t="s">
        <v>59</v>
      </c>
      <c r="C1220" s="82">
        <v>3018655101</v>
      </c>
      <c r="D1220">
        <v>201605</v>
      </c>
      <c r="E1220" s="1">
        <v>42494</v>
      </c>
      <c r="F1220" s="1">
        <v>42521</v>
      </c>
      <c r="G1220" t="s">
        <v>730</v>
      </c>
      <c r="H1220" s="81">
        <v>147.51</v>
      </c>
      <c r="I1220" t="s">
        <v>47</v>
      </c>
      <c r="J1220" s="3">
        <v>1435.87</v>
      </c>
    </row>
    <row r="1221" spans="1:10" x14ac:dyDescent="0.25">
      <c r="A1221" t="s">
        <v>88</v>
      </c>
      <c r="B1221" t="s">
        <v>59</v>
      </c>
      <c r="C1221" s="82">
        <v>3018655101</v>
      </c>
      <c r="D1221">
        <v>201606</v>
      </c>
      <c r="E1221" s="1">
        <v>42522</v>
      </c>
      <c r="F1221" s="1">
        <v>42550</v>
      </c>
      <c r="G1221" t="s">
        <v>730</v>
      </c>
      <c r="H1221" s="81">
        <v>137.61000000000001</v>
      </c>
      <c r="I1221" t="s">
        <v>47</v>
      </c>
      <c r="J1221" s="3">
        <v>1352.29</v>
      </c>
    </row>
    <row r="1222" spans="1:10" x14ac:dyDescent="0.25">
      <c r="A1222" t="s">
        <v>102</v>
      </c>
      <c r="B1222" t="s">
        <v>59</v>
      </c>
      <c r="C1222" s="82">
        <v>301881660</v>
      </c>
      <c r="D1222">
        <v>201507</v>
      </c>
      <c r="E1222" s="1">
        <v>42186</v>
      </c>
      <c r="F1222" s="1">
        <v>42215</v>
      </c>
      <c r="G1222" t="s">
        <v>566</v>
      </c>
      <c r="H1222" s="81">
        <v>36</v>
      </c>
      <c r="I1222" t="s">
        <v>47</v>
      </c>
      <c r="J1222" s="3">
        <v>503.74</v>
      </c>
    </row>
    <row r="1223" spans="1:10" x14ac:dyDescent="0.25">
      <c r="A1223" t="s">
        <v>102</v>
      </c>
      <c r="B1223" t="s">
        <v>59</v>
      </c>
      <c r="C1223" s="82">
        <v>301881660</v>
      </c>
      <c r="D1223">
        <v>201508</v>
      </c>
      <c r="E1223" s="1">
        <v>42216</v>
      </c>
      <c r="F1223" s="1">
        <v>42244</v>
      </c>
      <c r="G1223" t="s">
        <v>566</v>
      </c>
      <c r="H1223" s="81">
        <v>34</v>
      </c>
      <c r="I1223" t="s">
        <v>47</v>
      </c>
      <c r="J1223" s="3">
        <v>522.16</v>
      </c>
    </row>
    <row r="1224" spans="1:10" x14ac:dyDescent="0.25">
      <c r="A1224" t="s">
        <v>102</v>
      </c>
      <c r="B1224" t="s">
        <v>59</v>
      </c>
      <c r="C1224" s="82">
        <v>301881660</v>
      </c>
      <c r="D1224">
        <v>201509</v>
      </c>
      <c r="E1224" s="1">
        <v>42245</v>
      </c>
      <c r="F1224" s="1">
        <v>42275</v>
      </c>
      <c r="G1224" t="s">
        <v>566</v>
      </c>
      <c r="H1224" s="81">
        <v>46</v>
      </c>
      <c r="I1224" t="s">
        <v>47</v>
      </c>
      <c r="J1224" s="3">
        <v>632.55999999999995</v>
      </c>
    </row>
    <row r="1225" spans="1:10" x14ac:dyDescent="0.25">
      <c r="A1225" t="s">
        <v>102</v>
      </c>
      <c r="B1225" t="s">
        <v>59</v>
      </c>
      <c r="C1225" s="82">
        <v>301881660</v>
      </c>
      <c r="D1225">
        <v>201510</v>
      </c>
      <c r="E1225" s="1">
        <v>42276</v>
      </c>
      <c r="F1225" s="1">
        <v>42310</v>
      </c>
      <c r="G1225" t="s">
        <v>566</v>
      </c>
      <c r="H1225" s="81">
        <v>60</v>
      </c>
      <c r="I1225" t="s">
        <v>47</v>
      </c>
      <c r="J1225" s="3">
        <v>761.36</v>
      </c>
    </row>
    <row r="1226" spans="1:10" x14ac:dyDescent="0.25">
      <c r="A1226" t="s">
        <v>102</v>
      </c>
      <c r="B1226" t="s">
        <v>59</v>
      </c>
      <c r="C1226" s="82">
        <v>301881660</v>
      </c>
      <c r="D1226">
        <v>201511</v>
      </c>
      <c r="E1226" s="1">
        <v>42311</v>
      </c>
      <c r="F1226" s="1">
        <v>42341</v>
      </c>
      <c r="G1226" t="s">
        <v>566</v>
      </c>
      <c r="H1226" s="81">
        <v>47</v>
      </c>
      <c r="I1226" t="s">
        <v>47</v>
      </c>
      <c r="J1226" s="3">
        <v>641.76</v>
      </c>
    </row>
    <row r="1227" spans="1:10" x14ac:dyDescent="0.25">
      <c r="A1227" t="s">
        <v>102</v>
      </c>
      <c r="B1227" t="s">
        <v>59</v>
      </c>
      <c r="C1227" s="82">
        <v>301881660</v>
      </c>
      <c r="D1227">
        <v>201512</v>
      </c>
      <c r="E1227" s="1">
        <v>42342</v>
      </c>
      <c r="F1227" s="1">
        <v>42369</v>
      </c>
      <c r="G1227" t="s">
        <v>566</v>
      </c>
      <c r="H1227" s="81">
        <v>44</v>
      </c>
      <c r="I1227" t="s">
        <v>47</v>
      </c>
      <c r="J1227" s="3">
        <v>614.16</v>
      </c>
    </row>
    <row r="1228" spans="1:10" x14ac:dyDescent="0.25">
      <c r="A1228" t="s">
        <v>102</v>
      </c>
      <c r="B1228" t="s">
        <v>59</v>
      </c>
      <c r="C1228" s="82">
        <v>301881660</v>
      </c>
      <c r="D1228">
        <v>201601</v>
      </c>
      <c r="E1228" s="1">
        <v>42370</v>
      </c>
      <c r="F1228" s="1">
        <v>42402</v>
      </c>
      <c r="G1228" t="s">
        <v>566</v>
      </c>
      <c r="H1228" s="81">
        <v>49</v>
      </c>
      <c r="I1228" t="s">
        <v>47</v>
      </c>
      <c r="J1228" s="3">
        <v>660.16</v>
      </c>
    </row>
    <row r="1229" spans="1:10" x14ac:dyDescent="0.25">
      <c r="A1229" t="s">
        <v>102</v>
      </c>
      <c r="B1229" t="s">
        <v>59</v>
      </c>
      <c r="C1229" s="82">
        <v>301881660</v>
      </c>
      <c r="D1229">
        <v>201602</v>
      </c>
      <c r="E1229" s="1">
        <v>42403</v>
      </c>
      <c r="F1229" s="1">
        <v>42433</v>
      </c>
      <c r="G1229" t="s">
        <v>566</v>
      </c>
      <c r="H1229" s="81">
        <v>62</v>
      </c>
      <c r="I1229" t="s">
        <v>47</v>
      </c>
      <c r="J1229" s="3">
        <v>779.76</v>
      </c>
    </row>
    <row r="1230" spans="1:10" x14ac:dyDescent="0.25">
      <c r="A1230" t="s">
        <v>102</v>
      </c>
      <c r="B1230" t="s">
        <v>59</v>
      </c>
      <c r="C1230" s="82">
        <v>301881660</v>
      </c>
      <c r="D1230">
        <v>201603</v>
      </c>
      <c r="E1230" s="1">
        <v>42434</v>
      </c>
      <c r="F1230" s="1">
        <v>42461</v>
      </c>
      <c r="G1230" t="s">
        <v>566</v>
      </c>
      <c r="H1230" s="81">
        <v>44</v>
      </c>
      <c r="I1230" t="s">
        <v>47</v>
      </c>
      <c r="J1230" s="3">
        <v>622.03</v>
      </c>
    </row>
    <row r="1231" spans="1:10" x14ac:dyDescent="0.25">
      <c r="A1231" t="s">
        <v>102</v>
      </c>
      <c r="B1231" t="s">
        <v>59</v>
      </c>
      <c r="C1231" s="82">
        <v>301881660</v>
      </c>
      <c r="D1231">
        <v>201604</v>
      </c>
      <c r="E1231" s="1">
        <v>42462</v>
      </c>
      <c r="F1231" s="1">
        <v>42495</v>
      </c>
      <c r="G1231" t="s">
        <v>566</v>
      </c>
      <c r="H1231" s="81">
        <v>52</v>
      </c>
      <c r="I1231" t="s">
        <v>47</v>
      </c>
      <c r="J1231" s="3">
        <v>696.67</v>
      </c>
    </row>
    <row r="1232" spans="1:10" x14ac:dyDescent="0.25">
      <c r="A1232" t="s">
        <v>102</v>
      </c>
      <c r="B1232" t="s">
        <v>59</v>
      </c>
      <c r="C1232" s="82">
        <v>301881660</v>
      </c>
      <c r="D1232">
        <v>201605</v>
      </c>
      <c r="E1232" s="1">
        <v>42496</v>
      </c>
      <c r="F1232" s="1">
        <v>42522</v>
      </c>
      <c r="G1232" t="s">
        <v>566</v>
      </c>
      <c r="H1232" s="81">
        <v>35</v>
      </c>
      <c r="I1232" t="s">
        <v>47</v>
      </c>
      <c r="J1232" s="3">
        <v>538.05999999999995</v>
      </c>
    </row>
    <row r="1233" spans="1:10" x14ac:dyDescent="0.25">
      <c r="A1233" t="s">
        <v>102</v>
      </c>
      <c r="B1233" t="s">
        <v>59</v>
      </c>
      <c r="C1233" s="82">
        <v>301881660</v>
      </c>
      <c r="D1233">
        <v>201606</v>
      </c>
      <c r="E1233" s="1">
        <v>42523</v>
      </c>
      <c r="F1233" s="1">
        <v>42550</v>
      </c>
      <c r="G1233" t="s">
        <v>566</v>
      </c>
      <c r="H1233" s="81">
        <v>27</v>
      </c>
      <c r="I1233" t="s">
        <v>47</v>
      </c>
      <c r="J1233" s="3">
        <v>463.42</v>
      </c>
    </row>
    <row r="1234" spans="1:10" x14ac:dyDescent="0.25">
      <c r="A1234" t="s">
        <v>495</v>
      </c>
      <c r="B1234" t="s">
        <v>59</v>
      </c>
      <c r="C1234" s="82">
        <v>301863726</v>
      </c>
      <c r="D1234">
        <v>201507</v>
      </c>
      <c r="E1234" s="1">
        <v>42186</v>
      </c>
      <c r="F1234" s="1">
        <v>42214</v>
      </c>
      <c r="G1234" t="s">
        <v>567</v>
      </c>
      <c r="H1234" s="81">
        <v>4</v>
      </c>
      <c r="I1234" t="s">
        <v>47</v>
      </c>
      <c r="J1234" s="3">
        <v>90.08</v>
      </c>
    </row>
    <row r="1235" spans="1:10" x14ac:dyDescent="0.25">
      <c r="A1235" t="s">
        <v>495</v>
      </c>
      <c r="B1235" t="s">
        <v>59</v>
      </c>
      <c r="C1235" s="82">
        <v>301863726</v>
      </c>
      <c r="D1235">
        <v>201508</v>
      </c>
      <c r="E1235" s="1">
        <v>42215</v>
      </c>
      <c r="F1235" s="1">
        <v>42243</v>
      </c>
      <c r="G1235" t="s">
        <v>567</v>
      </c>
      <c r="H1235" s="81">
        <v>4</v>
      </c>
      <c r="I1235" t="s">
        <v>47</v>
      </c>
      <c r="J1235" s="3">
        <v>101.64</v>
      </c>
    </row>
    <row r="1236" spans="1:10" x14ac:dyDescent="0.25">
      <c r="A1236" t="s">
        <v>495</v>
      </c>
      <c r="B1236" t="s">
        <v>59</v>
      </c>
      <c r="C1236" s="82">
        <v>301863726</v>
      </c>
      <c r="D1236">
        <v>201509</v>
      </c>
      <c r="E1236" s="1">
        <v>42244</v>
      </c>
      <c r="F1236" s="1">
        <v>42275</v>
      </c>
      <c r="G1236" t="s">
        <v>567</v>
      </c>
      <c r="H1236" s="81">
        <v>5</v>
      </c>
      <c r="I1236" t="s">
        <v>47</v>
      </c>
      <c r="J1236" s="3">
        <v>110.84</v>
      </c>
    </row>
    <row r="1237" spans="1:10" x14ac:dyDescent="0.25">
      <c r="A1237" t="s">
        <v>495</v>
      </c>
      <c r="B1237" t="s">
        <v>59</v>
      </c>
      <c r="C1237" s="82">
        <v>301863726</v>
      </c>
      <c r="D1237">
        <v>201510</v>
      </c>
      <c r="E1237" s="1">
        <v>42276</v>
      </c>
      <c r="F1237" s="1">
        <v>42310</v>
      </c>
      <c r="G1237" t="s">
        <v>567</v>
      </c>
      <c r="H1237" s="81">
        <v>6</v>
      </c>
      <c r="I1237" t="s">
        <v>47</v>
      </c>
      <c r="J1237" s="3">
        <v>120.04</v>
      </c>
    </row>
    <row r="1238" spans="1:10" x14ac:dyDescent="0.25">
      <c r="A1238" t="s">
        <v>495</v>
      </c>
      <c r="B1238" t="s">
        <v>59</v>
      </c>
      <c r="C1238" s="82">
        <v>301863726</v>
      </c>
      <c r="D1238">
        <v>201511</v>
      </c>
      <c r="E1238" s="1">
        <v>42311</v>
      </c>
      <c r="F1238" s="1">
        <v>42341</v>
      </c>
      <c r="G1238" t="s">
        <v>567</v>
      </c>
      <c r="H1238" s="81">
        <v>4</v>
      </c>
      <c r="I1238" t="s">
        <v>47</v>
      </c>
      <c r="J1238" s="3">
        <v>101.64</v>
      </c>
    </row>
    <row r="1239" spans="1:10" x14ac:dyDescent="0.25">
      <c r="A1239" t="s">
        <v>495</v>
      </c>
      <c r="B1239" t="s">
        <v>59</v>
      </c>
      <c r="C1239" s="82">
        <v>301863726</v>
      </c>
      <c r="D1239">
        <v>201512</v>
      </c>
      <c r="E1239" s="1">
        <v>42342</v>
      </c>
      <c r="F1239" s="1">
        <v>42369</v>
      </c>
      <c r="G1239" t="s">
        <v>567</v>
      </c>
      <c r="H1239" s="81">
        <v>4</v>
      </c>
      <c r="I1239" t="s">
        <v>47</v>
      </c>
      <c r="J1239" s="3">
        <v>101.64</v>
      </c>
    </row>
    <row r="1240" spans="1:10" x14ac:dyDescent="0.25">
      <c r="A1240" t="s">
        <v>495</v>
      </c>
      <c r="B1240" t="s">
        <v>59</v>
      </c>
      <c r="C1240" s="82">
        <v>301863726</v>
      </c>
      <c r="D1240">
        <v>201601</v>
      </c>
      <c r="E1240" s="1">
        <v>42370</v>
      </c>
      <c r="F1240" s="1">
        <v>42402</v>
      </c>
      <c r="G1240" t="s">
        <v>567</v>
      </c>
      <c r="H1240" s="81">
        <v>3</v>
      </c>
      <c r="I1240" t="s">
        <v>47</v>
      </c>
      <c r="J1240" s="3">
        <v>92.44</v>
      </c>
    </row>
    <row r="1241" spans="1:10" x14ac:dyDescent="0.25">
      <c r="A1241" t="s">
        <v>495</v>
      </c>
      <c r="B1241" t="s">
        <v>59</v>
      </c>
      <c r="C1241" s="82">
        <v>301863726</v>
      </c>
      <c r="D1241">
        <v>201602</v>
      </c>
      <c r="E1241" s="1">
        <v>42403</v>
      </c>
      <c r="F1241" s="1">
        <v>42433</v>
      </c>
      <c r="G1241" t="s">
        <v>567</v>
      </c>
      <c r="H1241" s="81">
        <v>5</v>
      </c>
      <c r="I1241" t="s">
        <v>47</v>
      </c>
      <c r="J1241" s="3">
        <v>110.84</v>
      </c>
    </row>
    <row r="1242" spans="1:10" x14ac:dyDescent="0.25">
      <c r="A1242" t="s">
        <v>495</v>
      </c>
      <c r="B1242" t="s">
        <v>59</v>
      </c>
      <c r="C1242" s="82">
        <v>301863726</v>
      </c>
      <c r="D1242">
        <v>201603</v>
      </c>
      <c r="E1242" s="1">
        <v>42434</v>
      </c>
      <c r="F1242" s="1">
        <v>42461</v>
      </c>
      <c r="G1242" t="s">
        <v>567</v>
      </c>
      <c r="H1242" s="81">
        <v>7</v>
      </c>
      <c r="I1242" t="s">
        <v>47</v>
      </c>
      <c r="J1242" s="3">
        <v>130.81</v>
      </c>
    </row>
    <row r="1243" spans="1:10" x14ac:dyDescent="0.25">
      <c r="A1243" t="s">
        <v>495</v>
      </c>
      <c r="B1243" t="s">
        <v>59</v>
      </c>
      <c r="C1243" s="82">
        <v>301863726</v>
      </c>
      <c r="D1243">
        <v>201604</v>
      </c>
      <c r="E1243" s="1">
        <v>42462</v>
      </c>
      <c r="F1243" s="1">
        <v>42493</v>
      </c>
      <c r="G1243" t="s">
        <v>567</v>
      </c>
      <c r="H1243" s="81">
        <v>9</v>
      </c>
      <c r="I1243" t="s">
        <v>47</v>
      </c>
      <c r="J1243" s="3">
        <v>149.47</v>
      </c>
    </row>
    <row r="1244" spans="1:10" x14ac:dyDescent="0.25">
      <c r="A1244" t="s">
        <v>495</v>
      </c>
      <c r="B1244" t="s">
        <v>59</v>
      </c>
      <c r="C1244" s="82">
        <v>301863726</v>
      </c>
      <c r="D1244">
        <v>201605</v>
      </c>
      <c r="E1244" s="1">
        <v>42494</v>
      </c>
      <c r="F1244" s="1">
        <v>42521</v>
      </c>
      <c r="G1244" t="s">
        <v>567</v>
      </c>
      <c r="H1244" s="81">
        <v>5</v>
      </c>
      <c r="I1244" t="s">
        <v>47</v>
      </c>
      <c r="J1244" s="3">
        <v>112.15</v>
      </c>
    </row>
    <row r="1245" spans="1:10" x14ac:dyDescent="0.25">
      <c r="A1245" t="s">
        <v>495</v>
      </c>
      <c r="B1245" t="s">
        <v>59</v>
      </c>
      <c r="C1245" s="82">
        <v>301863726</v>
      </c>
      <c r="D1245">
        <v>201606</v>
      </c>
      <c r="E1245" s="1">
        <v>42522</v>
      </c>
      <c r="F1245" s="1">
        <v>42550</v>
      </c>
      <c r="G1245" t="s">
        <v>567</v>
      </c>
      <c r="H1245" s="81">
        <v>5</v>
      </c>
      <c r="I1245" t="s">
        <v>47</v>
      </c>
      <c r="J1245" s="3">
        <v>112.15</v>
      </c>
    </row>
    <row r="1246" spans="1:10" x14ac:dyDescent="0.25">
      <c r="A1246" t="s">
        <v>495</v>
      </c>
      <c r="B1246" t="s">
        <v>59</v>
      </c>
      <c r="C1246" s="82">
        <v>305395535</v>
      </c>
      <c r="D1246">
        <v>201507</v>
      </c>
      <c r="E1246" s="1">
        <v>42186</v>
      </c>
      <c r="F1246" s="1">
        <v>42214</v>
      </c>
      <c r="G1246" t="s">
        <v>568</v>
      </c>
      <c r="H1246" s="81">
        <v>81</v>
      </c>
      <c r="I1246" t="s">
        <v>47</v>
      </c>
      <c r="J1246" s="3">
        <v>777.75</v>
      </c>
    </row>
    <row r="1247" spans="1:10" x14ac:dyDescent="0.25">
      <c r="A1247" t="s">
        <v>495</v>
      </c>
      <c r="B1247" t="s">
        <v>59</v>
      </c>
      <c r="C1247" s="82">
        <v>305395535</v>
      </c>
      <c r="D1247">
        <v>201508</v>
      </c>
      <c r="E1247" s="1">
        <v>42215</v>
      </c>
      <c r="F1247" s="1">
        <v>42243</v>
      </c>
      <c r="G1247" t="s">
        <v>568</v>
      </c>
      <c r="H1247" s="81">
        <v>70</v>
      </c>
      <c r="I1247" t="s">
        <v>47</v>
      </c>
      <c r="J1247" s="3">
        <v>686.13</v>
      </c>
    </row>
    <row r="1248" spans="1:10" x14ac:dyDescent="0.25">
      <c r="A1248" t="s">
        <v>495</v>
      </c>
      <c r="B1248" t="s">
        <v>59</v>
      </c>
      <c r="C1248" s="82">
        <v>305395535</v>
      </c>
      <c r="D1248">
        <v>201509</v>
      </c>
      <c r="E1248" s="1">
        <v>42244</v>
      </c>
      <c r="F1248" s="1">
        <v>42275</v>
      </c>
      <c r="G1248" t="s">
        <v>568</v>
      </c>
      <c r="H1248" s="81">
        <v>77</v>
      </c>
      <c r="I1248" t="s">
        <v>47</v>
      </c>
      <c r="J1248" s="3">
        <v>750.53</v>
      </c>
    </row>
    <row r="1249" spans="1:10" x14ac:dyDescent="0.25">
      <c r="A1249" t="s">
        <v>495</v>
      </c>
      <c r="B1249" t="s">
        <v>59</v>
      </c>
      <c r="C1249" s="82">
        <v>305395535</v>
      </c>
      <c r="D1249">
        <v>201510</v>
      </c>
      <c r="E1249" s="1">
        <v>42276</v>
      </c>
      <c r="F1249" s="1">
        <v>42310</v>
      </c>
      <c r="G1249" t="s">
        <v>568</v>
      </c>
      <c r="H1249" s="81">
        <v>77</v>
      </c>
      <c r="I1249" t="s">
        <v>47</v>
      </c>
      <c r="J1249" s="3">
        <v>750.53</v>
      </c>
    </row>
    <row r="1250" spans="1:10" x14ac:dyDescent="0.25">
      <c r="A1250" t="s">
        <v>495</v>
      </c>
      <c r="B1250" t="s">
        <v>59</v>
      </c>
      <c r="C1250" s="82">
        <v>305395535</v>
      </c>
      <c r="D1250">
        <v>201511</v>
      </c>
      <c r="E1250" s="1">
        <v>42311</v>
      </c>
      <c r="F1250" s="1">
        <v>42341</v>
      </c>
      <c r="G1250" t="s">
        <v>568</v>
      </c>
      <c r="H1250" s="81">
        <v>63</v>
      </c>
      <c r="I1250" t="s">
        <v>47</v>
      </c>
      <c r="J1250" s="3">
        <v>621.73</v>
      </c>
    </row>
    <row r="1251" spans="1:10" x14ac:dyDescent="0.25">
      <c r="A1251" t="s">
        <v>495</v>
      </c>
      <c r="B1251" t="s">
        <v>59</v>
      </c>
      <c r="C1251" s="82">
        <v>305395535</v>
      </c>
      <c r="D1251">
        <v>201512</v>
      </c>
      <c r="E1251" s="1">
        <v>42342</v>
      </c>
      <c r="F1251" s="1">
        <v>42369</v>
      </c>
      <c r="G1251" t="s">
        <v>568</v>
      </c>
      <c r="H1251" s="81">
        <v>67</v>
      </c>
      <c r="I1251" t="s">
        <v>47</v>
      </c>
      <c r="J1251" s="3">
        <v>658.53</v>
      </c>
    </row>
    <row r="1252" spans="1:10" x14ac:dyDescent="0.25">
      <c r="A1252" t="s">
        <v>495</v>
      </c>
      <c r="B1252" t="s">
        <v>59</v>
      </c>
      <c r="C1252" s="82">
        <v>305395535</v>
      </c>
      <c r="D1252">
        <v>201601</v>
      </c>
      <c r="E1252" s="1">
        <v>42370</v>
      </c>
      <c r="F1252" s="1">
        <v>42402</v>
      </c>
      <c r="G1252" t="s">
        <v>568</v>
      </c>
      <c r="H1252" s="81">
        <v>60</v>
      </c>
      <c r="I1252" t="s">
        <v>47</v>
      </c>
      <c r="J1252" s="3">
        <v>594.13</v>
      </c>
    </row>
    <row r="1253" spans="1:10" x14ac:dyDescent="0.25">
      <c r="A1253" t="s">
        <v>495</v>
      </c>
      <c r="B1253" t="s">
        <v>59</v>
      </c>
      <c r="C1253" s="82">
        <v>305395535</v>
      </c>
      <c r="D1253">
        <v>201602</v>
      </c>
      <c r="E1253" s="1">
        <v>42403</v>
      </c>
      <c r="F1253" s="1">
        <v>42433</v>
      </c>
      <c r="G1253" t="s">
        <v>568</v>
      </c>
      <c r="H1253" s="81">
        <v>64</v>
      </c>
      <c r="I1253" t="s">
        <v>47</v>
      </c>
      <c r="J1253" s="3">
        <v>630.92999999999995</v>
      </c>
    </row>
    <row r="1254" spans="1:10" x14ac:dyDescent="0.25">
      <c r="A1254" t="s">
        <v>495</v>
      </c>
      <c r="B1254" t="s">
        <v>59</v>
      </c>
      <c r="C1254" s="82">
        <v>305395535</v>
      </c>
      <c r="D1254">
        <v>201603</v>
      </c>
      <c r="E1254" s="1">
        <v>42434</v>
      </c>
      <c r="F1254" s="1">
        <v>42461</v>
      </c>
      <c r="G1254" t="s">
        <v>568</v>
      </c>
      <c r="H1254" s="81">
        <v>76</v>
      </c>
      <c r="I1254" t="s">
        <v>47</v>
      </c>
      <c r="J1254" s="3">
        <v>751.68</v>
      </c>
    </row>
    <row r="1255" spans="1:10" x14ac:dyDescent="0.25">
      <c r="A1255" t="s">
        <v>495</v>
      </c>
      <c r="B1255" t="s">
        <v>59</v>
      </c>
      <c r="C1255" s="82">
        <v>305395535</v>
      </c>
      <c r="D1255">
        <v>201604</v>
      </c>
      <c r="E1255" s="1">
        <v>42462</v>
      </c>
      <c r="F1255" s="1">
        <v>42493</v>
      </c>
      <c r="G1255" t="s">
        <v>568</v>
      </c>
      <c r="H1255" s="81">
        <v>70</v>
      </c>
      <c r="I1255" t="s">
        <v>47</v>
      </c>
      <c r="J1255" s="3">
        <v>695.7</v>
      </c>
    </row>
    <row r="1256" spans="1:10" x14ac:dyDescent="0.25">
      <c r="A1256" t="s">
        <v>495</v>
      </c>
      <c r="B1256" t="s">
        <v>59</v>
      </c>
      <c r="C1256" s="82">
        <v>305395535</v>
      </c>
      <c r="D1256">
        <v>201605</v>
      </c>
      <c r="E1256" s="1">
        <v>42494</v>
      </c>
      <c r="F1256" s="1">
        <v>42521</v>
      </c>
      <c r="G1256" t="s">
        <v>568</v>
      </c>
      <c r="H1256" s="81">
        <v>53</v>
      </c>
      <c r="I1256" t="s">
        <v>47</v>
      </c>
      <c r="J1256" s="3">
        <v>537.09</v>
      </c>
    </row>
    <row r="1257" spans="1:10" x14ac:dyDescent="0.25">
      <c r="A1257" t="s">
        <v>495</v>
      </c>
      <c r="B1257" t="s">
        <v>59</v>
      </c>
      <c r="C1257" s="82">
        <v>305395535</v>
      </c>
      <c r="D1257">
        <v>201606</v>
      </c>
      <c r="E1257" s="1">
        <v>42522</v>
      </c>
      <c r="F1257" s="1">
        <v>42550</v>
      </c>
      <c r="G1257" t="s">
        <v>568</v>
      </c>
      <c r="H1257" s="81">
        <v>48</v>
      </c>
      <c r="I1257" t="s">
        <v>47</v>
      </c>
      <c r="J1257" s="3">
        <v>490.44</v>
      </c>
    </row>
    <row r="1258" spans="1:10" x14ac:dyDescent="0.25">
      <c r="A1258" t="s">
        <v>522</v>
      </c>
      <c r="B1258" t="s">
        <v>59</v>
      </c>
      <c r="C1258" s="82">
        <v>302702477</v>
      </c>
      <c r="D1258">
        <v>201507</v>
      </c>
      <c r="E1258" s="1">
        <v>42186</v>
      </c>
      <c r="F1258" s="1">
        <v>42214</v>
      </c>
      <c r="G1258" t="s">
        <v>569</v>
      </c>
      <c r="H1258" s="81">
        <v>6</v>
      </c>
      <c r="I1258" t="s">
        <v>47</v>
      </c>
      <c r="J1258" s="3">
        <v>270.2</v>
      </c>
    </row>
    <row r="1259" spans="1:10" x14ac:dyDescent="0.25">
      <c r="A1259" t="s">
        <v>522</v>
      </c>
      <c r="B1259" t="s">
        <v>59</v>
      </c>
      <c r="C1259" s="82">
        <v>302702477</v>
      </c>
      <c r="D1259">
        <v>201508</v>
      </c>
      <c r="E1259" s="1">
        <v>42215</v>
      </c>
      <c r="F1259" s="1">
        <v>42244</v>
      </c>
      <c r="G1259" t="s">
        <v>569</v>
      </c>
      <c r="H1259" s="81">
        <v>4</v>
      </c>
      <c r="I1259" t="s">
        <v>47</v>
      </c>
      <c r="J1259" s="3">
        <v>294.88</v>
      </c>
    </row>
    <row r="1260" spans="1:10" x14ac:dyDescent="0.25">
      <c r="A1260" t="s">
        <v>522</v>
      </c>
      <c r="B1260" t="s">
        <v>59</v>
      </c>
      <c r="C1260" s="82">
        <v>302702477</v>
      </c>
      <c r="D1260">
        <v>201509</v>
      </c>
      <c r="E1260" s="1">
        <v>42245</v>
      </c>
      <c r="F1260" s="1">
        <v>42275</v>
      </c>
      <c r="G1260" t="s">
        <v>569</v>
      </c>
      <c r="H1260" s="81">
        <v>7</v>
      </c>
      <c r="I1260" t="s">
        <v>47</v>
      </c>
      <c r="J1260" s="3">
        <v>340.88</v>
      </c>
    </row>
    <row r="1261" spans="1:10" x14ac:dyDescent="0.25">
      <c r="A1261" t="s">
        <v>522</v>
      </c>
      <c r="B1261" t="s">
        <v>59</v>
      </c>
      <c r="C1261" s="82">
        <v>302702477</v>
      </c>
      <c r="D1261">
        <v>201510</v>
      </c>
      <c r="E1261" s="1">
        <v>42276</v>
      </c>
      <c r="F1261" s="1">
        <v>42310</v>
      </c>
      <c r="G1261" t="s">
        <v>569</v>
      </c>
      <c r="H1261" s="81">
        <v>16</v>
      </c>
      <c r="I1261" t="s">
        <v>47</v>
      </c>
      <c r="J1261" s="3">
        <v>405.28</v>
      </c>
    </row>
    <row r="1262" spans="1:10" x14ac:dyDescent="0.25">
      <c r="A1262" t="s">
        <v>522</v>
      </c>
      <c r="B1262" t="s">
        <v>59</v>
      </c>
      <c r="C1262" s="82">
        <v>302702477</v>
      </c>
      <c r="D1262">
        <v>201511</v>
      </c>
      <c r="E1262" s="1">
        <v>42311</v>
      </c>
      <c r="F1262" s="1">
        <v>42341</v>
      </c>
      <c r="G1262" t="s">
        <v>569</v>
      </c>
      <c r="H1262" s="81">
        <v>25</v>
      </c>
      <c r="I1262" t="s">
        <v>47</v>
      </c>
      <c r="J1262" s="3">
        <v>488.08</v>
      </c>
    </row>
    <row r="1263" spans="1:10" x14ac:dyDescent="0.25">
      <c r="A1263" t="s">
        <v>522</v>
      </c>
      <c r="B1263" t="s">
        <v>59</v>
      </c>
      <c r="C1263" s="82">
        <v>302702477</v>
      </c>
      <c r="D1263">
        <v>201512</v>
      </c>
      <c r="E1263" s="1">
        <v>42342</v>
      </c>
      <c r="F1263" s="1">
        <v>42369</v>
      </c>
      <c r="G1263" t="s">
        <v>569</v>
      </c>
      <c r="H1263" s="81">
        <v>23</v>
      </c>
      <c r="I1263" t="s">
        <v>47</v>
      </c>
      <c r="J1263" s="3">
        <v>469.68</v>
      </c>
    </row>
    <row r="1264" spans="1:10" x14ac:dyDescent="0.25">
      <c r="A1264" t="s">
        <v>522</v>
      </c>
      <c r="B1264" t="s">
        <v>59</v>
      </c>
      <c r="C1264" s="82">
        <v>302702477</v>
      </c>
      <c r="D1264">
        <v>201601</v>
      </c>
      <c r="E1264" s="1">
        <v>42370</v>
      </c>
      <c r="F1264" s="1">
        <v>42402</v>
      </c>
      <c r="G1264" t="s">
        <v>569</v>
      </c>
      <c r="H1264" s="81">
        <v>19</v>
      </c>
      <c r="I1264" t="s">
        <v>47</v>
      </c>
      <c r="J1264" s="3">
        <v>432.88</v>
      </c>
    </row>
    <row r="1265" spans="1:10" x14ac:dyDescent="0.25">
      <c r="A1265" t="s">
        <v>522</v>
      </c>
      <c r="B1265" t="s">
        <v>59</v>
      </c>
      <c r="C1265" s="82">
        <v>302702477</v>
      </c>
      <c r="D1265">
        <v>201602</v>
      </c>
      <c r="E1265" s="1">
        <v>42403</v>
      </c>
      <c r="F1265" s="1">
        <v>42433</v>
      </c>
      <c r="G1265" t="s">
        <v>569</v>
      </c>
      <c r="H1265" s="81">
        <v>28</v>
      </c>
      <c r="I1265" t="s">
        <v>47</v>
      </c>
      <c r="J1265" s="3">
        <v>509.03</v>
      </c>
    </row>
    <row r="1266" spans="1:10" x14ac:dyDescent="0.25">
      <c r="A1266" t="s">
        <v>522</v>
      </c>
      <c r="B1266" t="s">
        <v>59</v>
      </c>
      <c r="C1266" s="82">
        <v>302702477</v>
      </c>
      <c r="D1266">
        <v>201603</v>
      </c>
      <c r="E1266" s="1">
        <v>42434</v>
      </c>
      <c r="F1266" s="1">
        <v>42461</v>
      </c>
      <c r="G1266" t="s">
        <v>569</v>
      </c>
      <c r="H1266" s="81">
        <v>34</v>
      </c>
      <c r="I1266" t="s">
        <v>47</v>
      </c>
      <c r="J1266" s="3">
        <v>352.37</v>
      </c>
    </row>
    <row r="1267" spans="1:10" x14ac:dyDescent="0.25">
      <c r="A1267" t="s">
        <v>522</v>
      </c>
      <c r="B1267" t="s">
        <v>59</v>
      </c>
      <c r="C1267" s="82">
        <v>302702477</v>
      </c>
      <c r="D1267">
        <v>201604</v>
      </c>
      <c r="E1267" s="1">
        <v>42462</v>
      </c>
      <c r="F1267" s="1">
        <v>42493</v>
      </c>
      <c r="G1267" t="s">
        <v>569</v>
      </c>
      <c r="H1267" s="81">
        <v>18</v>
      </c>
      <c r="I1267" t="s">
        <v>47</v>
      </c>
      <c r="J1267" s="3">
        <v>322.79000000000002</v>
      </c>
    </row>
    <row r="1268" spans="1:10" x14ac:dyDescent="0.25">
      <c r="A1268" t="s">
        <v>522</v>
      </c>
      <c r="B1268" t="s">
        <v>59</v>
      </c>
      <c r="C1268" s="82">
        <v>302702477</v>
      </c>
      <c r="D1268">
        <v>201605</v>
      </c>
      <c r="E1268" s="1">
        <v>42494</v>
      </c>
      <c r="F1268" s="1">
        <v>42521</v>
      </c>
      <c r="G1268" t="s">
        <v>569</v>
      </c>
      <c r="H1268" s="81">
        <v>15</v>
      </c>
      <c r="I1268" t="s">
        <v>47</v>
      </c>
      <c r="J1268" s="3">
        <v>401.2</v>
      </c>
    </row>
    <row r="1269" spans="1:10" x14ac:dyDescent="0.25">
      <c r="A1269" t="s">
        <v>522</v>
      </c>
      <c r="B1269" t="s">
        <v>59</v>
      </c>
      <c r="C1269" s="82">
        <v>302702477</v>
      </c>
      <c r="D1269">
        <v>201606</v>
      </c>
      <c r="E1269" s="1">
        <v>42522</v>
      </c>
      <c r="F1269" s="1">
        <v>42550</v>
      </c>
      <c r="G1269" t="s">
        <v>569</v>
      </c>
      <c r="H1269" s="81">
        <v>4</v>
      </c>
      <c r="I1269" t="s">
        <v>47</v>
      </c>
      <c r="J1269" s="3">
        <v>298.57</v>
      </c>
    </row>
    <row r="1270" spans="1:10" x14ac:dyDescent="0.25">
      <c r="A1270" t="s">
        <v>554</v>
      </c>
      <c r="B1270" t="s">
        <v>59</v>
      </c>
      <c r="C1270" s="82">
        <v>300749355</v>
      </c>
      <c r="D1270">
        <v>201507</v>
      </c>
      <c r="E1270" s="1">
        <v>42186</v>
      </c>
      <c r="F1270" s="1">
        <v>42214</v>
      </c>
      <c r="G1270" t="s">
        <v>570</v>
      </c>
      <c r="H1270" s="81">
        <v>44</v>
      </c>
      <c r="I1270" t="s">
        <v>47</v>
      </c>
      <c r="J1270" s="3">
        <v>568.36</v>
      </c>
    </row>
    <row r="1271" spans="1:10" x14ac:dyDescent="0.25">
      <c r="A1271" t="s">
        <v>554</v>
      </c>
      <c r="B1271" t="s">
        <v>59</v>
      </c>
      <c r="C1271" s="82">
        <v>300749355</v>
      </c>
      <c r="D1271">
        <v>201508</v>
      </c>
      <c r="E1271" s="1">
        <v>42215</v>
      </c>
      <c r="F1271" s="1">
        <v>42243</v>
      </c>
      <c r="G1271" t="s">
        <v>570</v>
      </c>
      <c r="H1271" s="81">
        <v>172</v>
      </c>
      <c r="I1271" t="s">
        <v>47</v>
      </c>
      <c r="J1271" s="3">
        <v>1151.48</v>
      </c>
    </row>
    <row r="1272" spans="1:10" x14ac:dyDescent="0.25">
      <c r="A1272" t="s">
        <v>554</v>
      </c>
      <c r="B1272" t="s">
        <v>59</v>
      </c>
      <c r="C1272" s="82">
        <v>300749355</v>
      </c>
      <c r="D1272">
        <v>201509</v>
      </c>
      <c r="E1272" s="1">
        <v>42244</v>
      </c>
      <c r="F1272" s="1">
        <v>42275</v>
      </c>
      <c r="G1272" t="s">
        <v>570</v>
      </c>
      <c r="H1272" s="81">
        <v>140</v>
      </c>
      <c r="I1272" t="s">
        <v>47</v>
      </c>
      <c r="J1272" s="3">
        <v>1228.93</v>
      </c>
    </row>
    <row r="1273" spans="1:10" x14ac:dyDescent="0.25">
      <c r="A1273" t="s">
        <v>554</v>
      </c>
      <c r="B1273" t="s">
        <v>59</v>
      </c>
      <c r="C1273" s="82">
        <v>300749355</v>
      </c>
      <c r="D1273">
        <v>201510</v>
      </c>
      <c r="E1273" s="1">
        <v>42276</v>
      </c>
      <c r="F1273" s="1">
        <v>42310</v>
      </c>
      <c r="G1273" t="s">
        <v>570</v>
      </c>
      <c r="H1273" s="81">
        <v>84</v>
      </c>
      <c r="I1273" t="s">
        <v>47</v>
      </c>
      <c r="J1273" s="3">
        <v>1000.38</v>
      </c>
    </row>
    <row r="1274" spans="1:10" x14ac:dyDescent="0.25">
      <c r="A1274" t="s">
        <v>554</v>
      </c>
      <c r="B1274" t="s">
        <v>59</v>
      </c>
      <c r="C1274" s="82">
        <v>300749355</v>
      </c>
      <c r="D1274">
        <v>201511</v>
      </c>
      <c r="E1274" s="1">
        <v>42311</v>
      </c>
      <c r="F1274" s="1">
        <v>42341</v>
      </c>
      <c r="G1274" t="s">
        <v>570</v>
      </c>
      <c r="H1274" s="81">
        <v>56</v>
      </c>
      <c r="I1274" t="s">
        <v>47</v>
      </c>
      <c r="J1274" s="3">
        <v>735.68</v>
      </c>
    </row>
    <row r="1275" spans="1:10" x14ac:dyDescent="0.25">
      <c r="A1275" t="s">
        <v>554</v>
      </c>
      <c r="B1275" t="s">
        <v>59</v>
      </c>
      <c r="C1275" s="82">
        <v>300749355</v>
      </c>
      <c r="D1275">
        <v>201512</v>
      </c>
      <c r="E1275" s="1">
        <v>42342</v>
      </c>
      <c r="F1275" s="1">
        <v>42369</v>
      </c>
      <c r="G1275" t="s">
        <v>570</v>
      </c>
      <c r="H1275" s="81">
        <v>39</v>
      </c>
      <c r="I1275" t="s">
        <v>47</v>
      </c>
      <c r="J1275" s="3">
        <v>579.28</v>
      </c>
    </row>
    <row r="1276" spans="1:10" x14ac:dyDescent="0.25">
      <c r="A1276" t="s">
        <v>554</v>
      </c>
      <c r="B1276" t="s">
        <v>59</v>
      </c>
      <c r="C1276" s="82">
        <v>300749355</v>
      </c>
      <c r="D1276">
        <v>201601</v>
      </c>
      <c r="E1276" s="1">
        <v>42370</v>
      </c>
      <c r="F1276" s="1">
        <v>42402</v>
      </c>
      <c r="G1276" t="s">
        <v>570</v>
      </c>
      <c r="H1276" s="81">
        <v>52</v>
      </c>
      <c r="I1276" t="s">
        <v>47</v>
      </c>
      <c r="J1276" s="3">
        <v>698.88</v>
      </c>
    </row>
    <row r="1277" spans="1:10" x14ac:dyDescent="0.25">
      <c r="A1277" t="s">
        <v>554</v>
      </c>
      <c r="B1277" t="s">
        <v>59</v>
      </c>
      <c r="C1277" s="82">
        <v>300749355</v>
      </c>
      <c r="D1277">
        <v>201602</v>
      </c>
      <c r="E1277" s="1">
        <v>42403</v>
      </c>
      <c r="F1277" s="1">
        <v>42433</v>
      </c>
      <c r="G1277" t="s">
        <v>570</v>
      </c>
      <c r="H1277" s="81">
        <v>72</v>
      </c>
      <c r="I1277" t="s">
        <v>47</v>
      </c>
      <c r="J1277" s="3">
        <v>882.88</v>
      </c>
    </row>
    <row r="1278" spans="1:10" x14ac:dyDescent="0.25">
      <c r="A1278" t="s">
        <v>554</v>
      </c>
      <c r="B1278" t="s">
        <v>59</v>
      </c>
      <c r="C1278" s="82">
        <v>300749355</v>
      </c>
      <c r="D1278">
        <v>201603</v>
      </c>
      <c r="E1278" s="1">
        <v>42434</v>
      </c>
      <c r="F1278" s="1">
        <v>42461</v>
      </c>
      <c r="G1278" t="s">
        <v>570</v>
      </c>
      <c r="H1278" s="81">
        <v>61</v>
      </c>
      <c r="I1278" t="s">
        <v>47</v>
      </c>
      <c r="J1278" s="3">
        <v>792.41</v>
      </c>
    </row>
    <row r="1279" spans="1:10" x14ac:dyDescent="0.25">
      <c r="A1279" t="s">
        <v>554</v>
      </c>
      <c r="B1279" t="s">
        <v>59</v>
      </c>
      <c r="C1279" s="82">
        <v>300749355</v>
      </c>
      <c r="D1279">
        <v>201604</v>
      </c>
      <c r="E1279" s="1">
        <v>42462</v>
      </c>
      <c r="F1279" s="1">
        <v>42493</v>
      </c>
      <c r="G1279" t="s">
        <v>570</v>
      </c>
      <c r="H1279" s="81">
        <v>70</v>
      </c>
      <c r="I1279" t="s">
        <v>47</v>
      </c>
      <c r="J1279" s="3">
        <v>876.38</v>
      </c>
    </row>
    <row r="1280" spans="1:10" x14ac:dyDescent="0.25">
      <c r="A1280" t="s">
        <v>554</v>
      </c>
      <c r="B1280" t="s">
        <v>59</v>
      </c>
      <c r="C1280" s="82">
        <v>300749355</v>
      </c>
      <c r="D1280">
        <v>201605</v>
      </c>
      <c r="E1280" s="1">
        <v>42494</v>
      </c>
      <c r="F1280" s="1">
        <v>42521</v>
      </c>
      <c r="G1280" t="s">
        <v>570</v>
      </c>
      <c r="H1280" s="81">
        <v>54</v>
      </c>
      <c r="I1280" t="s">
        <v>47</v>
      </c>
      <c r="J1280" s="3">
        <v>713.8</v>
      </c>
    </row>
    <row r="1281" spans="1:10" x14ac:dyDescent="0.25">
      <c r="A1281" t="s">
        <v>554</v>
      </c>
      <c r="B1281" t="s">
        <v>59</v>
      </c>
      <c r="C1281" s="82">
        <v>300749355</v>
      </c>
      <c r="D1281">
        <v>201606</v>
      </c>
      <c r="E1281" s="1">
        <v>42522</v>
      </c>
      <c r="F1281" s="1">
        <v>42550</v>
      </c>
      <c r="G1281" t="s">
        <v>570</v>
      </c>
      <c r="H1281" s="81">
        <v>36</v>
      </c>
      <c r="I1281" t="s">
        <v>47</v>
      </c>
      <c r="J1281" s="3">
        <v>552.51</v>
      </c>
    </row>
    <row r="1282" spans="1:10" x14ac:dyDescent="0.25">
      <c r="A1282" t="s">
        <v>505</v>
      </c>
      <c r="B1282" t="s">
        <v>59</v>
      </c>
      <c r="C1282" s="82">
        <v>301883658</v>
      </c>
      <c r="D1282">
        <v>201507</v>
      </c>
      <c r="E1282" s="1">
        <v>42186</v>
      </c>
      <c r="F1282" s="1">
        <v>42214</v>
      </c>
      <c r="G1282" t="s">
        <v>564</v>
      </c>
      <c r="H1282" s="81">
        <v>29</v>
      </c>
      <c r="I1282" t="s">
        <v>47</v>
      </c>
      <c r="J1282" s="3">
        <v>439.55</v>
      </c>
    </row>
    <row r="1283" spans="1:10" x14ac:dyDescent="0.25">
      <c r="A1283" t="s">
        <v>505</v>
      </c>
      <c r="B1283" t="s">
        <v>59</v>
      </c>
      <c r="C1283" s="82">
        <v>301883658</v>
      </c>
      <c r="D1283">
        <v>201508</v>
      </c>
      <c r="E1283" s="1">
        <v>42215</v>
      </c>
      <c r="F1283" s="1">
        <v>42243</v>
      </c>
      <c r="G1283" t="s">
        <v>564</v>
      </c>
      <c r="H1283" s="81">
        <v>17</v>
      </c>
      <c r="I1283" t="s">
        <v>47</v>
      </c>
      <c r="J1283" s="3">
        <v>365.76</v>
      </c>
    </row>
    <row r="1284" spans="1:10" x14ac:dyDescent="0.25">
      <c r="A1284" t="s">
        <v>505</v>
      </c>
      <c r="B1284" t="s">
        <v>59</v>
      </c>
      <c r="C1284" s="82">
        <v>301883658</v>
      </c>
      <c r="D1284">
        <v>201509</v>
      </c>
      <c r="E1284" s="1">
        <v>42244</v>
      </c>
      <c r="F1284" s="1">
        <v>42275</v>
      </c>
      <c r="G1284" t="s">
        <v>564</v>
      </c>
      <c r="H1284" s="81">
        <v>42</v>
      </c>
      <c r="I1284" t="s">
        <v>47</v>
      </c>
      <c r="J1284" s="3">
        <v>595.76</v>
      </c>
    </row>
    <row r="1285" spans="1:10" x14ac:dyDescent="0.25">
      <c r="A1285" t="s">
        <v>505</v>
      </c>
      <c r="B1285" t="s">
        <v>59</v>
      </c>
      <c r="C1285" s="82">
        <v>301883658</v>
      </c>
      <c r="D1285">
        <v>201510</v>
      </c>
      <c r="E1285" s="1">
        <v>42276</v>
      </c>
      <c r="F1285" s="1">
        <v>42310</v>
      </c>
      <c r="G1285" t="s">
        <v>564</v>
      </c>
      <c r="H1285" s="81">
        <v>66</v>
      </c>
      <c r="I1285" t="s">
        <v>47</v>
      </c>
      <c r="J1285" s="3">
        <v>852.06</v>
      </c>
    </row>
    <row r="1286" spans="1:10" x14ac:dyDescent="0.25">
      <c r="A1286" t="s">
        <v>505</v>
      </c>
      <c r="B1286" t="s">
        <v>59</v>
      </c>
      <c r="C1286" s="82">
        <v>301883658</v>
      </c>
      <c r="D1286">
        <v>201511</v>
      </c>
      <c r="E1286" s="1">
        <v>42311</v>
      </c>
      <c r="F1286" s="1">
        <v>42341</v>
      </c>
      <c r="G1286" t="s">
        <v>564</v>
      </c>
      <c r="H1286" s="81">
        <v>34</v>
      </c>
      <c r="I1286" t="s">
        <v>47</v>
      </c>
      <c r="J1286" s="3">
        <v>522.16</v>
      </c>
    </row>
    <row r="1287" spans="1:10" x14ac:dyDescent="0.25">
      <c r="A1287" t="s">
        <v>505</v>
      </c>
      <c r="B1287" t="s">
        <v>59</v>
      </c>
      <c r="C1287" s="82">
        <v>301883658</v>
      </c>
      <c r="D1287">
        <v>201512</v>
      </c>
      <c r="E1287" s="1">
        <v>42342</v>
      </c>
      <c r="F1287" s="1">
        <v>42369</v>
      </c>
      <c r="G1287" t="s">
        <v>564</v>
      </c>
      <c r="H1287" s="81">
        <v>33</v>
      </c>
      <c r="I1287" t="s">
        <v>47</v>
      </c>
      <c r="J1287" s="3">
        <v>512.96</v>
      </c>
    </row>
    <row r="1288" spans="1:10" x14ac:dyDescent="0.25">
      <c r="A1288" t="s">
        <v>505</v>
      </c>
      <c r="B1288" t="s">
        <v>59</v>
      </c>
      <c r="C1288" s="82">
        <v>301883658</v>
      </c>
      <c r="D1288">
        <v>201601</v>
      </c>
      <c r="E1288" s="1">
        <v>42370</v>
      </c>
      <c r="F1288" s="1">
        <v>42402</v>
      </c>
      <c r="G1288" t="s">
        <v>564</v>
      </c>
      <c r="H1288" s="81">
        <v>24</v>
      </c>
      <c r="I1288" t="s">
        <v>47</v>
      </c>
      <c r="J1288" s="3">
        <v>430.16</v>
      </c>
    </row>
    <row r="1289" spans="1:10" x14ac:dyDescent="0.25">
      <c r="A1289" t="s">
        <v>505</v>
      </c>
      <c r="B1289" t="s">
        <v>59</v>
      </c>
      <c r="C1289" s="82">
        <v>301883658</v>
      </c>
      <c r="D1289">
        <v>201602</v>
      </c>
      <c r="E1289" s="1">
        <v>42403</v>
      </c>
      <c r="F1289" s="1">
        <v>42433</v>
      </c>
      <c r="G1289" t="s">
        <v>564</v>
      </c>
      <c r="H1289" s="81">
        <v>38</v>
      </c>
      <c r="I1289" t="s">
        <v>47</v>
      </c>
      <c r="J1289" s="3">
        <v>558.96</v>
      </c>
    </row>
    <row r="1290" spans="1:10" x14ac:dyDescent="0.25">
      <c r="A1290" t="s">
        <v>505</v>
      </c>
      <c r="B1290" t="s">
        <v>59</v>
      </c>
      <c r="C1290" s="82">
        <v>301883658</v>
      </c>
      <c r="D1290">
        <v>201603</v>
      </c>
      <c r="E1290" s="1">
        <v>42434</v>
      </c>
      <c r="F1290" s="1">
        <v>42461</v>
      </c>
      <c r="G1290" t="s">
        <v>564</v>
      </c>
      <c r="H1290" s="81">
        <v>46</v>
      </c>
      <c r="I1290" t="s">
        <v>47</v>
      </c>
      <c r="J1290" s="3">
        <v>640.69000000000005</v>
      </c>
    </row>
    <row r="1291" spans="1:10" x14ac:dyDescent="0.25">
      <c r="A1291" t="s">
        <v>505</v>
      </c>
      <c r="B1291" t="s">
        <v>59</v>
      </c>
      <c r="C1291" s="82">
        <v>301883658</v>
      </c>
      <c r="D1291">
        <v>201604</v>
      </c>
      <c r="E1291" s="1">
        <v>42462</v>
      </c>
      <c r="F1291" s="1">
        <v>42493</v>
      </c>
      <c r="G1291" t="s">
        <v>564</v>
      </c>
      <c r="H1291" s="81">
        <v>52</v>
      </c>
      <c r="I1291" t="s">
        <v>47</v>
      </c>
      <c r="J1291" s="3">
        <v>696.67</v>
      </c>
    </row>
    <row r="1292" spans="1:10" x14ac:dyDescent="0.25">
      <c r="A1292" t="s">
        <v>505</v>
      </c>
      <c r="B1292" t="s">
        <v>59</v>
      </c>
      <c r="C1292" s="82">
        <v>301883658</v>
      </c>
      <c r="D1292">
        <v>201605</v>
      </c>
      <c r="E1292" s="1">
        <v>42494</v>
      </c>
      <c r="F1292" s="1">
        <v>42521</v>
      </c>
      <c r="G1292" t="s">
        <v>564</v>
      </c>
      <c r="H1292" s="81">
        <v>23</v>
      </c>
      <c r="I1292" t="s">
        <v>47</v>
      </c>
      <c r="J1292" s="3">
        <v>426.1</v>
      </c>
    </row>
    <row r="1293" spans="1:10" x14ac:dyDescent="0.25">
      <c r="A1293" t="s">
        <v>505</v>
      </c>
      <c r="B1293" t="s">
        <v>59</v>
      </c>
      <c r="C1293" s="82">
        <v>301883658</v>
      </c>
      <c r="D1293">
        <v>201606</v>
      </c>
      <c r="E1293" s="1">
        <v>42522</v>
      </c>
      <c r="F1293" s="1">
        <v>42550</v>
      </c>
      <c r="G1293" t="s">
        <v>564</v>
      </c>
      <c r="H1293" s="81">
        <v>16</v>
      </c>
      <c r="I1293" t="s">
        <v>47</v>
      </c>
      <c r="J1293" s="3">
        <v>360.79</v>
      </c>
    </row>
    <row r="1294" spans="1:10" x14ac:dyDescent="0.25">
      <c r="A1294" t="s">
        <v>668</v>
      </c>
      <c r="B1294" t="s">
        <v>59</v>
      </c>
      <c r="C1294" s="82">
        <v>305395642</v>
      </c>
      <c r="D1294">
        <v>201507</v>
      </c>
      <c r="E1294" s="1">
        <v>42186</v>
      </c>
      <c r="F1294" s="1">
        <v>42214</v>
      </c>
      <c r="G1294" t="s">
        <v>714</v>
      </c>
      <c r="H1294" s="81">
        <v>4</v>
      </c>
      <c r="I1294" t="s">
        <v>47</v>
      </c>
      <c r="J1294" s="3">
        <v>55.65</v>
      </c>
    </row>
    <row r="1295" spans="1:10" x14ac:dyDescent="0.25">
      <c r="A1295" t="s">
        <v>668</v>
      </c>
      <c r="B1295" t="s">
        <v>59</v>
      </c>
      <c r="C1295" s="82">
        <v>305395642</v>
      </c>
      <c r="D1295">
        <v>201508</v>
      </c>
      <c r="E1295" s="1">
        <v>42215</v>
      </c>
      <c r="F1295" s="1">
        <v>42243</v>
      </c>
      <c r="G1295" t="s">
        <v>714</v>
      </c>
      <c r="H1295" s="81">
        <v>3</v>
      </c>
      <c r="I1295" t="s">
        <v>47</v>
      </c>
      <c r="J1295" s="3">
        <v>50.14</v>
      </c>
    </row>
    <row r="1296" spans="1:10" x14ac:dyDescent="0.25">
      <c r="A1296" t="s">
        <v>668</v>
      </c>
      <c r="B1296" t="s">
        <v>59</v>
      </c>
      <c r="C1296" s="82">
        <v>305395642</v>
      </c>
      <c r="D1296">
        <v>201509</v>
      </c>
      <c r="E1296" s="1">
        <v>42244</v>
      </c>
      <c r="F1296" s="1">
        <v>42275</v>
      </c>
      <c r="G1296" t="s">
        <v>714</v>
      </c>
      <c r="H1296" s="81">
        <v>3</v>
      </c>
      <c r="I1296" t="s">
        <v>47</v>
      </c>
      <c r="J1296" s="3">
        <v>50.14</v>
      </c>
    </row>
    <row r="1297" spans="1:10" x14ac:dyDescent="0.25">
      <c r="A1297" t="s">
        <v>668</v>
      </c>
      <c r="B1297" t="s">
        <v>59</v>
      </c>
      <c r="C1297" s="82">
        <v>305395642</v>
      </c>
      <c r="D1297">
        <v>201510</v>
      </c>
      <c r="E1297" s="1">
        <v>42276</v>
      </c>
      <c r="F1297" s="1">
        <v>42310</v>
      </c>
      <c r="G1297" t="s">
        <v>714</v>
      </c>
      <c r="H1297" s="81">
        <v>4</v>
      </c>
      <c r="I1297" t="s">
        <v>47</v>
      </c>
      <c r="J1297" s="3">
        <v>59.34</v>
      </c>
    </row>
    <row r="1298" spans="1:10" x14ac:dyDescent="0.25">
      <c r="A1298" t="s">
        <v>668</v>
      </c>
      <c r="B1298" t="s">
        <v>59</v>
      </c>
      <c r="C1298" s="82">
        <v>305395642</v>
      </c>
      <c r="D1298">
        <v>201511</v>
      </c>
      <c r="E1298" s="1">
        <v>42311</v>
      </c>
      <c r="F1298" s="1">
        <v>42341</v>
      </c>
      <c r="G1298" t="s">
        <v>714</v>
      </c>
      <c r="H1298" s="81">
        <v>4</v>
      </c>
      <c r="I1298" t="s">
        <v>47</v>
      </c>
      <c r="J1298" s="3">
        <v>59.34</v>
      </c>
    </row>
    <row r="1299" spans="1:10" x14ac:dyDescent="0.25">
      <c r="A1299" t="s">
        <v>668</v>
      </c>
      <c r="B1299" t="s">
        <v>59</v>
      </c>
      <c r="C1299" s="82">
        <v>305395642</v>
      </c>
      <c r="D1299">
        <v>201512</v>
      </c>
      <c r="E1299" s="1">
        <v>42342</v>
      </c>
      <c r="F1299" s="1">
        <v>42373</v>
      </c>
      <c r="G1299" t="s">
        <v>714</v>
      </c>
      <c r="H1299" s="81">
        <v>3</v>
      </c>
      <c r="I1299" t="s">
        <v>47</v>
      </c>
      <c r="J1299" s="3">
        <v>50.14</v>
      </c>
    </row>
    <row r="1300" spans="1:10" x14ac:dyDescent="0.25">
      <c r="A1300" t="s">
        <v>668</v>
      </c>
      <c r="B1300" t="s">
        <v>59</v>
      </c>
      <c r="C1300" s="82">
        <v>305395642</v>
      </c>
      <c r="D1300">
        <v>201601</v>
      </c>
      <c r="E1300" s="1">
        <v>42374</v>
      </c>
      <c r="F1300" s="1">
        <v>42405</v>
      </c>
      <c r="G1300" t="s">
        <v>714</v>
      </c>
      <c r="H1300" s="81">
        <v>3</v>
      </c>
      <c r="I1300" t="s">
        <v>47</v>
      </c>
      <c r="J1300" s="3">
        <v>50.14</v>
      </c>
    </row>
    <row r="1301" spans="1:10" x14ac:dyDescent="0.25">
      <c r="A1301" t="s">
        <v>668</v>
      </c>
      <c r="B1301" t="s">
        <v>59</v>
      </c>
      <c r="C1301" s="82">
        <v>305395642</v>
      </c>
      <c r="D1301">
        <v>201602</v>
      </c>
      <c r="E1301" s="1">
        <v>42406</v>
      </c>
      <c r="F1301" s="1">
        <v>42433</v>
      </c>
      <c r="G1301" t="s">
        <v>714</v>
      </c>
      <c r="H1301" s="81">
        <v>5</v>
      </c>
      <c r="I1301" t="s">
        <v>47</v>
      </c>
      <c r="J1301" s="3">
        <v>68.540000000000006</v>
      </c>
    </row>
    <row r="1302" spans="1:10" x14ac:dyDescent="0.25">
      <c r="A1302" t="s">
        <v>668</v>
      </c>
      <c r="B1302" t="s">
        <v>59</v>
      </c>
      <c r="C1302" s="82">
        <v>305395642</v>
      </c>
      <c r="D1302">
        <v>201603</v>
      </c>
      <c r="E1302" s="1">
        <v>42434</v>
      </c>
      <c r="F1302" s="1">
        <v>42461</v>
      </c>
      <c r="G1302" t="s">
        <v>714</v>
      </c>
      <c r="H1302" s="81">
        <v>2</v>
      </c>
      <c r="I1302" t="s">
        <v>47</v>
      </c>
      <c r="J1302" s="3">
        <v>41.25</v>
      </c>
    </row>
    <row r="1303" spans="1:10" x14ac:dyDescent="0.25">
      <c r="A1303" t="s">
        <v>668</v>
      </c>
      <c r="B1303" t="s">
        <v>59</v>
      </c>
      <c r="C1303" s="82">
        <v>305395642</v>
      </c>
      <c r="D1303">
        <v>201604</v>
      </c>
      <c r="E1303" s="1">
        <v>42462</v>
      </c>
      <c r="F1303" s="1">
        <v>42493</v>
      </c>
      <c r="G1303" t="s">
        <v>714</v>
      </c>
      <c r="H1303" s="81">
        <v>7</v>
      </c>
      <c r="I1303" t="s">
        <v>47</v>
      </c>
      <c r="J1303" s="3">
        <v>87.9</v>
      </c>
    </row>
    <row r="1304" spans="1:10" x14ac:dyDescent="0.25">
      <c r="A1304" t="s">
        <v>668</v>
      </c>
      <c r="B1304" t="s">
        <v>59</v>
      </c>
      <c r="C1304" s="82">
        <v>305395642</v>
      </c>
      <c r="D1304">
        <v>201605</v>
      </c>
      <c r="E1304" s="1">
        <v>42494</v>
      </c>
      <c r="F1304" s="1">
        <v>42521</v>
      </c>
      <c r="G1304" t="s">
        <v>714</v>
      </c>
      <c r="H1304" s="81">
        <v>7</v>
      </c>
      <c r="I1304" t="s">
        <v>47</v>
      </c>
      <c r="J1304" s="3">
        <v>87.9</v>
      </c>
    </row>
    <row r="1305" spans="1:10" x14ac:dyDescent="0.25">
      <c r="A1305" t="s">
        <v>668</v>
      </c>
      <c r="B1305" t="s">
        <v>59</v>
      </c>
      <c r="C1305" s="82">
        <v>305395642</v>
      </c>
      <c r="D1305">
        <v>201606</v>
      </c>
      <c r="E1305" s="1">
        <v>42522</v>
      </c>
      <c r="F1305" s="1">
        <v>42550</v>
      </c>
      <c r="G1305" t="s">
        <v>714</v>
      </c>
      <c r="H1305" s="81">
        <v>5</v>
      </c>
      <c r="I1305" t="s">
        <v>47</v>
      </c>
      <c r="J1305" s="3">
        <v>69.239999999999995</v>
      </c>
    </row>
    <row r="1306" spans="1:10" x14ac:dyDescent="0.25">
      <c r="A1306" t="s">
        <v>679</v>
      </c>
      <c r="B1306" t="s">
        <v>59</v>
      </c>
      <c r="C1306" s="82">
        <v>305395568</v>
      </c>
      <c r="D1306">
        <v>201507</v>
      </c>
      <c r="E1306" s="1">
        <v>42186</v>
      </c>
      <c r="F1306" s="1">
        <v>42214</v>
      </c>
      <c r="G1306" t="s">
        <v>715</v>
      </c>
      <c r="H1306" s="81">
        <v>2</v>
      </c>
      <c r="I1306" t="s">
        <v>47</v>
      </c>
      <c r="J1306" s="3">
        <v>27.44</v>
      </c>
    </row>
    <row r="1307" spans="1:10" x14ac:dyDescent="0.25">
      <c r="A1307" t="s">
        <v>679</v>
      </c>
      <c r="B1307" t="s">
        <v>59</v>
      </c>
      <c r="C1307" s="82">
        <v>305395568</v>
      </c>
      <c r="D1307">
        <v>201508</v>
      </c>
      <c r="E1307" s="1">
        <v>42215</v>
      </c>
      <c r="F1307" s="1">
        <v>42243</v>
      </c>
      <c r="G1307" t="s">
        <v>715</v>
      </c>
      <c r="H1307" s="81">
        <v>11</v>
      </c>
      <c r="I1307" t="s">
        <v>47</v>
      </c>
      <c r="J1307" s="3">
        <v>118.82</v>
      </c>
    </row>
    <row r="1308" spans="1:10" x14ac:dyDescent="0.25">
      <c r="A1308" t="s">
        <v>679</v>
      </c>
      <c r="B1308" t="s">
        <v>59</v>
      </c>
      <c r="C1308" s="82">
        <v>305395568</v>
      </c>
      <c r="D1308">
        <v>201509</v>
      </c>
      <c r="E1308" s="1">
        <v>42244</v>
      </c>
      <c r="F1308" s="1">
        <v>42275</v>
      </c>
      <c r="G1308" t="s">
        <v>715</v>
      </c>
      <c r="H1308" s="81">
        <v>3</v>
      </c>
      <c r="I1308" t="s">
        <v>47</v>
      </c>
      <c r="J1308" s="3">
        <v>38.119999999999997</v>
      </c>
    </row>
    <row r="1309" spans="1:10" x14ac:dyDescent="0.25">
      <c r="A1309" t="s">
        <v>679</v>
      </c>
      <c r="B1309" t="s">
        <v>59</v>
      </c>
      <c r="C1309" s="82">
        <v>305395568</v>
      </c>
      <c r="D1309">
        <v>201510</v>
      </c>
      <c r="E1309" s="1">
        <v>42276</v>
      </c>
      <c r="F1309" s="1">
        <v>42310</v>
      </c>
      <c r="G1309" t="s">
        <v>715</v>
      </c>
      <c r="H1309" s="81">
        <v>3</v>
      </c>
      <c r="I1309" t="s">
        <v>47</v>
      </c>
      <c r="J1309" s="3">
        <v>38.119999999999997</v>
      </c>
    </row>
    <row r="1310" spans="1:10" x14ac:dyDescent="0.25">
      <c r="A1310" t="s">
        <v>679</v>
      </c>
      <c r="B1310" t="s">
        <v>59</v>
      </c>
      <c r="C1310" s="82">
        <v>305395568</v>
      </c>
      <c r="D1310">
        <v>201511</v>
      </c>
      <c r="E1310" s="1">
        <v>42311</v>
      </c>
      <c r="F1310" s="1">
        <v>42341</v>
      </c>
      <c r="G1310" t="s">
        <v>715</v>
      </c>
      <c r="H1310" s="81">
        <v>15</v>
      </c>
      <c r="I1310" t="s">
        <v>47</v>
      </c>
      <c r="J1310" s="3">
        <v>169.82</v>
      </c>
    </row>
    <row r="1311" spans="1:10" x14ac:dyDescent="0.25">
      <c r="A1311" t="s">
        <v>679</v>
      </c>
      <c r="B1311" t="s">
        <v>59</v>
      </c>
      <c r="C1311" s="82">
        <v>305395568</v>
      </c>
      <c r="D1311">
        <v>201512</v>
      </c>
      <c r="E1311" s="1">
        <v>42342</v>
      </c>
      <c r="F1311" s="1">
        <v>42369</v>
      </c>
      <c r="G1311" t="s">
        <v>715</v>
      </c>
      <c r="H1311" s="81">
        <v>2</v>
      </c>
      <c r="I1311" t="s">
        <v>47</v>
      </c>
      <c r="J1311" s="3">
        <v>28.92</v>
      </c>
    </row>
    <row r="1312" spans="1:10" x14ac:dyDescent="0.25">
      <c r="A1312" t="s">
        <v>679</v>
      </c>
      <c r="B1312" t="s">
        <v>59</v>
      </c>
      <c r="C1312" s="82">
        <v>305395568</v>
      </c>
      <c r="D1312">
        <v>201601</v>
      </c>
      <c r="E1312" s="1">
        <v>42370</v>
      </c>
      <c r="F1312" s="1">
        <v>42402</v>
      </c>
      <c r="G1312" t="s">
        <v>715</v>
      </c>
      <c r="H1312" s="81">
        <v>6</v>
      </c>
      <c r="I1312" t="s">
        <v>47</v>
      </c>
      <c r="J1312" s="3">
        <v>65.72</v>
      </c>
    </row>
    <row r="1313" spans="1:10" x14ac:dyDescent="0.25">
      <c r="A1313" t="s">
        <v>679</v>
      </c>
      <c r="B1313" t="s">
        <v>59</v>
      </c>
      <c r="C1313" s="82">
        <v>305395568</v>
      </c>
      <c r="D1313">
        <v>201602</v>
      </c>
      <c r="E1313" s="1">
        <v>42403</v>
      </c>
      <c r="F1313" s="1">
        <v>42433</v>
      </c>
      <c r="G1313" t="s">
        <v>715</v>
      </c>
      <c r="H1313" s="81">
        <v>5</v>
      </c>
      <c r="I1313" t="s">
        <v>47</v>
      </c>
      <c r="J1313" s="3">
        <v>56.52</v>
      </c>
    </row>
    <row r="1314" spans="1:10" x14ac:dyDescent="0.25">
      <c r="A1314" t="s">
        <v>679</v>
      </c>
      <c r="B1314" t="s">
        <v>59</v>
      </c>
      <c r="C1314" s="82">
        <v>305395568</v>
      </c>
      <c r="D1314">
        <v>201603</v>
      </c>
      <c r="E1314" s="1">
        <v>42434</v>
      </c>
      <c r="F1314" s="1">
        <v>42461</v>
      </c>
      <c r="G1314" t="s">
        <v>715</v>
      </c>
      <c r="H1314" s="81">
        <v>7</v>
      </c>
      <c r="I1314" t="s">
        <v>47</v>
      </c>
      <c r="J1314" s="3">
        <v>75.94</v>
      </c>
    </row>
    <row r="1315" spans="1:10" x14ac:dyDescent="0.25">
      <c r="A1315" t="s">
        <v>679</v>
      </c>
      <c r="B1315" t="s">
        <v>59</v>
      </c>
      <c r="C1315" s="82">
        <v>305395568</v>
      </c>
      <c r="D1315">
        <v>201604</v>
      </c>
      <c r="E1315" s="1">
        <v>42462</v>
      </c>
      <c r="F1315" s="1">
        <v>42493</v>
      </c>
      <c r="G1315" t="s">
        <v>715</v>
      </c>
      <c r="H1315" s="81">
        <v>6</v>
      </c>
      <c r="I1315" t="s">
        <v>47</v>
      </c>
      <c r="J1315" s="3">
        <v>66.61</v>
      </c>
    </row>
    <row r="1316" spans="1:10" x14ac:dyDescent="0.25">
      <c r="A1316" t="s">
        <v>679</v>
      </c>
      <c r="B1316" t="s">
        <v>59</v>
      </c>
      <c r="C1316" s="82">
        <v>305395568</v>
      </c>
      <c r="D1316">
        <v>201605</v>
      </c>
      <c r="E1316" s="1">
        <v>42494</v>
      </c>
      <c r="F1316" s="1">
        <v>42521</v>
      </c>
      <c r="G1316" t="s">
        <v>715</v>
      </c>
      <c r="H1316" s="81">
        <v>3</v>
      </c>
      <c r="I1316" t="s">
        <v>47</v>
      </c>
      <c r="J1316" s="3">
        <v>38.619999999999997</v>
      </c>
    </row>
    <row r="1317" spans="1:10" x14ac:dyDescent="0.25">
      <c r="A1317" t="s">
        <v>679</v>
      </c>
      <c r="B1317" t="s">
        <v>59</v>
      </c>
      <c r="C1317" s="82">
        <v>305395568</v>
      </c>
      <c r="D1317">
        <v>201606</v>
      </c>
      <c r="E1317" s="1">
        <v>42522</v>
      </c>
      <c r="F1317" s="1">
        <v>42550</v>
      </c>
      <c r="G1317" t="s">
        <v>715</v>
      </c>
      <c r="H1317" s="81">
        <v>3</v>
      </c>
      <c r="I1317" t="s">
        <v>47</v>
      </c>
      <c r="J1317" s="3">
        <v>38.619999999999997</v>
      </c>
    </row>
    <row r="1318" spans="1:10" x14ac:dyDescent="0.25">
      <c r="A1318" t="s">
        <v>671</v>
      </c>
      <c r="B1318" t="s">
        <v>59</v>
      </c>
      <c r="C1318" s="82">
        <v>301865655</v>
      </c>
      <c r="D1318">
        <v>201507</v>
      </c>
      <c r="E1318" s="1">
        <v>42186</v>
      </c>
      <c r="F1318" s="1">
        <v>42214</v>
      </c>
      <c r="G1318" t="s">
        <v>716</v>
      </c>
      <c r="H1318" s="81">
        <v>3</v>
      </c>
      <c r="I1318" t="s">
        <v>47</v>
      </c>
      <c r="J1318" s="3">
        <v>80.91</v>
      </c>
    </row>
    <row r="1319" spans="1:10" x14ac:dyDescent="0.25">
      <c r="A1319" t="s">
        <v>671</v>
      </c>
      <c r="B1319" t="s">
        <v>59</v>
      </c>
      <c r="C1319" s="82">
        <v>301865655</v>
      </c>
      <c r="D1319">
        <v>201508</v>
      </c>
      <c r="E1319" s="1">
        <v>42215</v>
      </c>
      <c r="F1319" s="1">
        <v>42243</v>
      </c>
      <c r="G1319" t="s">
        <v>716</v>
      </c>
      <c r="H1319" s="81">
        <v>7</v>
      </c>
      <c r="I1319" t="s">
        <v>47</v>
      </c>
      <c r="J1319" s="3">
        <v>129.24</v>
      </c>
    </row>
    <row r="1320" spans="1:10" x14ac:dyDescent="0.25">
      <c r="A1320" t="s">
        <v>671</v>
      </c>
      <c r="B1320" t="s">
        <v>59</v>
      </c>
      <c r="C1320" s="82">
        <v>301865655</v>
      </c>
      <c r="D1320">
        <v>201509</v>
      </c>
      <c r="E1320" s="1">
        <v>42244</v>
      </c>
      <c r="F1320" s="1">
        <v>42275</v>
      </c>
      <c r="G1320" t="s">
        <v>716</v>
      </c>
      <c r="H1320" s="81">
        <v>4</v>
      </c>
      <c r="I1320" t="s">
        <v>47</v>
      </c>
      <c r="J1320" s="3">
        <v>101.64</v>
      </c>
    </row>
    <row r="1321" spans="1:10" x14ac:dyDescent="0.25">
      <c r="A1321" t="s">
        <v>671</v>
      </c>
      <c r="B1321" t="s">
        <v>59</v>
      </c>
      <c r="C1321" s="82">
        <v>301865655</v>
      </c>
      <c r="D1321">
        <v>201510</v>
      </c>
      <c r="E1321" s="1">
        <v>42276</v>
      </c>
      <c r="F1321" s="1">
        <v>42310</v>
      </c>
      <c r="G1321" t="s">
        <v>716</v>
      </c>
      <c r="H1321" s="81">
        <v>3</v>
      </c>
      <c r="I1321" t="s">
        <v>47</v>
      </c>
      <c r="J1321" s="3">
        <v>92.44</v>
      </c>
    </row>
    <row r="1322" spans="1:10" x14ac:dyDescent="0.25">
      <c r="A1322" t="s">
        <v>671</v>
      </c>
      <c r="B1322" t="s">
        <v>59</v>
      </c>
      <c r="C1322" s="82">
        <v>301865655</v>
      </c>
      <c r="D1322">
        <v>201511</v>
      </c>
      <c r="E1322" s="1">
        <v>42311</v>
      </c>
      <c r="F1322" s="1">
        <v>42341</v>
      </c>
      <c r="G1322" t="s">
        <v>716</v>
      </c>
      <c r="H1322" s="81">
        <v>4</v>
      </c>
      <c r="I1322" t="s">
        <v>47</v>
      </c>
      <c r="J1322" s="3">
        <v>101.64</v>
      </c>
    </row>
    <row r="1323" spans="1:10" x14ac:dyDescent="0.25">
      <c r="A1323" t="s">
        <v>671</v>
      </c>
      <c r="B1323" t="s">
        <v>59</v>
      </c>
      <c r="C1323" s="82">
        <v>301865655</v>
      </c>
      <c r="D1323">
        <v>201512</v>
      </c>
      <c r="E1323" s="1">
        <v>42342</v>
      </c>
      <c r="F1323" s="1">
        <v>42369</v>
      </c>
      <c r="G1323" t="s">
        <v>716</v>
      </c>
      <c r="H1323" s="81">
        <v>2</v>
      </c>
      <c r="I1323" t="s">
        <v>47</v>
      </c>
      <c r="J1323" s="3">
        <v>83.24</v>
      </c>
    </row>
    <row r="1324" spans="1:10" x14ac:dyDescent="0.25">
      <c r="A1324" t="s">
        <v>671</v>
      </c>
      <c r="B1324" t="s">
        <v>59</v>
      </c>
      <c r="C1324" s="82">
        <v>301865655</v>
      </c>
      <c r="D1324">
        <v>201601</v>
      </c>
      <c r="E1324" s="1">
        <v>42370</v>
      </c>
      <c r="F1324" s="1">
        <v>42402</v>
      </c>
      <c r="G1324" t="s">
        <v>716</v>
      </c>
      <c r="H1324" s="81">
        <v>2</v>
      </c>
      <c r="I1324" t="s">
        <v>47</v>
      </c>
      <c r="J1324" s="3">
        <v>83.24</v>
      </c>
    </row>
    <row r="1325" spans="1:10" x14ac:dyDescent="0.25">
      <c r="A1325" t="s">
        <v>671</v>
      </c>
      <c r="B1325" t="s">
        <v>59</v>
      </c>
      <c r="C1325" s="82">
        <v>301865655</v>
      </c>
      <c r="D1325">
        <v>201602</v>
      </c>
      <c r="E1325" s="1">
        <v>42403</v>
      </c>
      <c r="F1325" s="1">
        <v>42433</v>
      </c>
      <c r="G1325" t="s">
        <v>716</v>
      </c>
      <c r="H1325" s="81">
        <v>3</v>
      </c>
      <c r="I1325" t="s">
        <v>47</v>
      </c>
      <c r="J1325" s="3">
        <v>92.44</v>
      </c>
    </row>
    <row r="1326" spans="1:10" x14ac:dyDescent="0.25">
      <c r="A1326" t="s">
        <v>671</v>
      </c>
      <c r="B1326" t="s">
        <v>59</v>
      </c>
      <c r="C1326" s="82">
        <v>301865655</v>
      </c>
      <c r="D1326">
        <v>201603</v>
      </c>
      <c r="E1326" s="1">
        <v>42434</v>
      </c>
      <c r="F1326" s="1">
        <v>42461</v>
      </c>
      <c r="G1326" t="s">
        <v>716</v>
      </c>
      <c r="H1326" s="81">
        <v>3</v>
      </c>
      <c r="I1326" t="s">
        <v>47</v>
      </c>
      <c r="J1326" s="3">
        <v>93.49</v>
      </c>
    </row>
    <row r="1327" spans="1:10" x14ac:dyDescent="0.25">
      <c r="A1327" t="s">
        <v>671</v>
      </c>
      <c r="B1327" t="s">
        <v>59</v>
      </c>
      <c r="C1327" s="82">
        <v>301865655</v>
      </c>
      <c r="D1327">
        <v>201604</v>
      </c>
      <c r="E1327" s="1">
        <v>42462</v>
      </c>
      <c r="F1327" s="1">
        <v>42493</v>
      </c>
      <c r="G1327" t="s">
        <v>716</v>
      </c>
      <c r="H1327" s="81">
        <v>4</v>
      </c>
      <c r="I1327" t="s">
        <v>47</v>
      </c>
      <c r="J1327" s="3">
        <v>102.82</v>
      </c>
    </row>
    <row r="1328" spans="1:10" x14ac:dyDescent="0.25">
      <c r="A1328" t="s">
        <v>671</v>
      </c>
      <c r="B1328" t="s">
        <v>59</v>
      </c>
      <c r="C1328" s="82">
        <v>301865655</v>
      </c>
      <c r="D1328">
        <v>201605</v>
      </c>
      <c r="E1328" s="1">
        <v>42494</v>
      </c>
      <c r="F1328" s="1">
        <v>42521</v>
      </c>
      <c r="G1328" t="s">
        <v>716</v>
      </c>
      <c r="H1328" s="81">
        <v>3</v>
      </c>
      <c r="I1328" t="s">
        <v>47</v>
      </c>
      <c r="J1328" s="3">
        <v>93.49</v>
      </c>
    </row>
    <row r="1329" spans="1:10" x14ac:dyDescent="0.25">
      <c r="A1329" t="s">
        <v>671</v>
      </c>
      <c r="B1329" t="s">
        <v>59</v>
      </c>
      <c r="C1329" s="82">
        <v>301865655</v>
      </c>
      <c r="D1329">
        <v>201606</v>
      </c>
      <c r="E1329" s="1">
        <v>42522</v>
      </c>
      <c r="F1329" s="1">
        <v>42550</v>
      </c>
      <c r="G1329" t="s">
        <v>716</v>
      </c>
      <c r="H1329" s="81">
        <v>2</v>
      </c>
      <c r="I1329" t="s">
        <v>47</v>
      </c>
      <c r="J1329" s="3">
        <v>84.16</v>
      </c>
    </row>
    <row r="1330" spans="1:10" x14ac:dyDescent="0.25">
      <c r="A1330" t="s">
        <v>113</v>
      </c>
      <c r="B1330" t="s">
        <v>59</v>
      </c>
      <c r="C1330" s="82">
        <v>301883682</v>
      </c>
      <c r="D1330">
        <v>201507</v>
      </c>
      <c r="E1330" s="1">
        <v>42186</v>
      </c>
      <c r="F1330" s="1">
        <v>42214</v>
      </c>
      <c r="G1330" t="s">
        <v>571</v>
      </c>
      <c r="H1330" s="81">
        <v>39</v>
      </c>
      <c r="I1330" t="s">
        <v>47</v>
      </c>
      <c r="J1330" s="3">
        <v>531.25</v>
      </c>
    </row>
    <row r="1331" spans="1:10" x14ac:dyDescent="0.25">
      <c r="A1331" t="s">
        <v>113</v>
      </c>
      <c r="B1331" t="s">
        <v>59</v>
      </c>
      <c r="C1331" s="82">
        <v>301883682</v>
      </c>
      <c r="D1331">
        <v>201508</v>
      </c>
      <c r="E1331" s="1">
        <v>42215</v>
      </c>
      <c r="F1331" s="1">
        <v>42243</v>
      </c>
      <c r="G1331" t="s">
        <v>571</v>
      </c>
      <c r="H1331" s="81">
        <v>26</v>
      </c>
      <c r="I1331" t="s">
        <v>47</v>
      </c>
      <c r="J1331" s="3">
        <v>448.56</v>
      </c>
    </row>
    <row r="1332" spans="1:10" x14ac:dyDescent="0.25">
      <c r="A1332" t="s">
        <v>113</v>
      </c>
      <c r="B1332" t="s">
        <v>59</v>
      </c>
      <c r="C1332" s="82">
        <v>301883682</v>
      </c>
      <c r="D1332">
        <v>201509</v>
      </c>
      <c r="E1332" s="1">
        <v>42244</v>
      </c>
      <c r="F1332" s="1">
        <v>42275</v>
      </c>
      <c r="G1332" t="s">
        <v>571</v>
      </c>
      <c r="H1332" s="81">
        <v>71</v>
      </c>
      <c r="I1332" t="s">
        <v>47</v>
      </c>
      <c r="J1332" s="3">
        <v>862.56</v>
      </c>
    </row>
    <row r="1333" spans="1:10" x14ac:dyDescent="0.25">
      <c r="A1333" t="s">
        <v>113</v>
      </c>
      <c r="B1333" t="s">
        <v>59</v>
      </c>
      <c r="C1333" s="82">
        <v>301883682</v>
      </c>
      <c r="D1333">
        <v>201510</v>
      </c>
      <c r="E1333" s="1">
        <v>42276</v>
      </c>
      <c r="F1333" s="1">
        <v>42310</v>
      </c>
      <c r="G1333" t="s">
        <v>571</v>
      </c>
      <c r="H1333" s="81">
        <v>80</v>
      </c>
      <c r="I1333" t="s">
        <v>47</v>
      </c>
      <c r="J1333" s="3">
        <v>945.36</v>
      </c>
    </row>
    <row r="1334" spans="1:10" x14ac:dyDescent="0.25">
      <c r="A1334" t="s">
        <v>113</v>
      </c>
      <c r="B1334" t="s">
        <v>59</v>
      </c>
      <c r="C1334" s="82">
        <v>301883682</v>
      </c>
      <c r="D1334">
        <v>201511</v>
      </c>
      <c r="E1334" s="1">
        <v>42311</v>
      </c>
      <c r="F1334" s="1">
        <v>42341</v>
      </c>
      <c r="G1334" t="s">
        <v>571</v>
      </c>
      <c r="H1334" s="81">
        <v>68</v>
      </c>
      <c r="I1334" t="s">
        <v>47</v>
      </c>
      <c r="J1334" s="3">
        <v>834.96</v>
      </c>
    </row>
    <row r="1335" spans="1:10" x14ac:dyDescent="0.25">
      <c r="A1335" t="s">
        <v>113</v>
      </c>
      <c r="B1335" t="s">
        <v>59</v>
      </c>
      <c r="C1335" s="82">
        <v>301883682</v>
      </c>
      <c r="D1335">
        <v>201512</v>
      </c>
      <c r="E1335" s="1">
        <v>42342</v>
      </c>
      <c r="F1335" s="1">
        <v>42369</v>
      </c>
      <c r="G1335" t="s">
        <v>571</v>
      </c>
      <c r="H1335" s="81">
        <v>35</v>
      </c>
      <c r="I1335" t="s">
        <v>47</v>
      </c>
      <c r="J1335" s="3">
        <v>531.36</v>
      </c>
    </row>
    <row r="1336" spans="1:10" x14ac:dyDescent="0.25">
      <c r="A1336" t="s">
        <v>113</v>
      </c>
      <c r="B1336" t="s">
        <v>59</v>
      </c>
      <c r="C1336" s="82">
        <v>301883682</v>
      </c>
      <c r="D1336">
        <v>201601</v>
      </c>
      <c r="E1336" s="1">
        <v>42370</v>
      </c>
      <c r="F1336" s="1">
        <v>42402</v>
      </c>
      <c r="G1336" t="s">
        <v>571</v>
      </c>
      <c r="H1336" s="81">
        <v>59</v>
      </c>
      <c r="I1336" t="s">
        <v>47</v>
      </c>
      <c r="J1336" s="3">
        <v>752.16</v>
      </c>
    </row>
    <row r="1337" spans="1:10" x14ac:dyDescent="0.25">
      <c r="A1337" t="s">
        <v>113</v>
      </c>
      <c r="B1337" t="s">
        <v>59</v>
      </c>
      <c r="C1337" s="82">
        <v>301883682</v>
      </c>
      <c r="D1337">
        <v>201602</v>
      </c>
      <c r="E1337" s="1">
        <v>42403</v>
      </c>
      <c r="F1337" s="1">
        <v>42433</v>
      </c>
      <c r="G1337" t="s">
        <v>571</v>
      </c>
      <c r="H1337" s="81">
        <v>80</v>
      </c>
      <c r="I1337" t="s">
        <v>47</v>
      </c>
      <c r="J1337" s="3">
        <v>945.36</v>
      </c>
    </row>
    <row r="1338" spans="1:10" x14ac:dyDescent="0.25">
      <c r="A1338" t="s">
        <v>113</v>
      </c>
      <c r="B1338" t="s">
        <v>59</v>
      </c>
      <c r="C1338" s="82">
        <v>301883682</v>
      </c>
      <c r="D1338">
        <v>201603</v>
      </c>
      <c r="E1338" s="1">
        <v>42434</v>
      </c>
      <c r="F1338" s="1">
        <v>42461</v>
      </c>
      <c r="G1338" t="s">
        <v>571</v>
      </c>
      <c r="H1338" s="81">
        <v>55</v>
      </c>
      <c r="I1338" t="s">
        <v>47</v>
      </c>
      <c r="J1338" s="3">
        <v>724.66</v>
      </c>
    </row>
    <row r="1339" spans="1:10" x14ac:dyDescent="0.25">
      <c r="A1339" t="s">
        <v>113</v>
      </c>
      <c r="B1339" t="s">
        <v>59</v>
      </c>
      <c r="C1339" s="82">
        <v>301883682</v>
      </c>
      <c r="D1339">
        <v>201604</v>
      </c>
      <c r="E1339" s="1">
        <v>42462</v>
      </c>
      <c r="F1339" s="1">
        <v>42493</v>
      </c>
      <c r="G1339" t="s">
        <v>571</v>
      </c>
      <c r="H1339" s="81">
        <v>64</v>
      </c>
      <c r="I1339" t="s">
        <v>47</v>
      </c>
      <c r="J1339" s="3">
        <v>808.63</v>
      </c>
    </row>
    <row r="1340" spans="1:10" x14ac:dyDescent="0.25">
      <c r="A1340" t="s">
        <v>113</v>
      </c>
      <c r="B1340" t="s">
        <v>59</v>
      </c>
      <c r="C1340" s="82">
        <v>301883682</v>
      </c>
      <c r="D1340">
        <v>201605</v>
      </c>
      <c r="E1340" s="1">
        <v>42494</v>
      </c>
      <c r="F1340" s="1">
        <v>42521</v>
      </c>
      <c r="G1340" t="s">
        <v>571</v>
      </c>
      <c r="H1340" s="81">
        <v>28</v>
      </c>
      <c r="I1340" t="s">
        <v>47</v>
      </c>
      <c r="J1340" s="3">
        <v>472.75</v>
      </c>
    </row>
    <row r="1341" spans="1:10" x14ac:dyDescent="0.25">
      <c r="A1341" t="s">
        <v>113</v>
      </c>
      <c r="B1341" t="s">
        <v>59</v>
      </c>
      <c r="C1341" s="82">
        <v>301883682</v>
      </c>
      <c r="D1341">
        <v>201606</v>
      </c>
      <c r="E1341" s="1">
        <v>42522</v>
      </c>
      <c r="F1341" s="1">
        <v>42550</v>
      </c>
      <c r="G1341" t="s">
        <v>571</v>
      </c>
      <c r="H1341" s="81">
        <v>26</v>
      </c>
      <c r="I1341" t="s">
        <v>47</v>
      </c>
      <c r="J1341" s="3">
        <v>454.09</v>
      </c>
    </row>
    <row r="1342" spans="1:10" x14ac:dyDescent="0.25">
      <c r="A1342" t="s">
        <v>688</v>
      </c>
      <c r="B1342" t="s">
        <v>59</v>
      </c>
      <c r="C1342" s="82">
        <v>305395618</v>
      </c>
      <c r="D1342">
        <v>201507</v>
      </c>
      <c r="E1342" s="1">
        <v>42186</v>
      </c>
      <c r="F1342" s="1">
        <v>42214</v>
      </c>
      <c r="G1342" t="s">
        <v>717</v>
      </c>
      <c r="H1342" s="81">
        <v>9</v>
      </c>
      <c r="I1342" t="s">
        <v>47</v>
      </c>
      <c r="J1342" s="3">
        <v>135.93</v>
      </c>
    </row>
    <row r="1343" spans="1:10" x14ac:dyDescent="0.25">
      <c r="A1343" t="s">
        <v>688</v>
      </c>
      <c r="B1343" t="s">
        <v>59</v>
      </c>
      <c r="C1343" s="82">
        <v>305395618</v>
      </c>
      <c r="D1343">
        <v>201508</v>
      </c>
      <c r="E1343" s="1">
        <v>42215</v>
      </c>
      <c r="F1343" s="1">
        <v>42243</v>
      </c>
      <c r="G1343" t="s">
        <v>717</v>
      </c>
      <c r="H1343" s="81">
        <v>9</v>
      </c>
      <c r="I1343" t="s">
        <v>47</v>
      </c>
      <c r="J1343" s="3">
        <v>147.63999999999999</v>
      </c>
    </row>
    <row r="1344" spans="1:10" x14ac:dyDescent="0.25">
      <c r="A1344" t="s">
        <v>688</v>
      </c>
      <c r="B1344" t="s">
        <v>59</v>
      </c>
      <c r="C1344" s="82">
        <v>305395618</v>
      </c>
      <c r="D1344">
        <v>201509</v>
      </c>
      <c r="E1344" s="1">
        <v>42244</v>
      </c>
      <c r="F1344" s="1">
        <v>42275</v>
      </c>
      <c r="G1344" t="s">
        <v>717</v>
      </c>
      <c r="H1344" s="81">
        <v>10</v>
      </c>
      <c r="I1344" t="s">
        <v>47</v>
      </c>
      <c r="J1344" s="3">
        <v>156.84</v>
      </c>
    </row>
    <row r="1345" spans="1:10" x14ac:dyDescent="0.25">
      <c r="A1345" t="s">
        <v>688</v>
      </c>
      <c r="B1345" t="s">
        <v>59</v>
      </c>
      <c r="C1345" s="82">
        <v>305395618</v>
      </c>
      <c r="D1345">
        <v>201510</v>
      </c>
      <c r="E1345" s="1">
        <v>42276</v>
      </c>
      <c r="F1345" s="1">
        <v>42310</v>
      </c>
      <c r="G1345" t="s">
        <v>717</v>
      </c>
      <c r="H1345" s="81">
        <v>11</v>
      </c>
      <c r="I1345" t="s">
        <v>47</v>
      </c>
      <c r="J1345" s="3">
        <v>166.04</v>
      </c>
    </row>
    <row r="1346" spans="1:10" x14ac:dyDescent="0.25">
      <c r="A1346" t="s">
        <v>688</v>
      </c>
      <c r="B1346" t="s">
        <v>59</v>
      </c>
      <c r="C1346" s="82">
        <v>305395618</v>
      </c>
      <c r="D1346">
        <v>201511</v>
      </c>
      <c r="E1346" s="1">
        <v>42311</v>
      </c>
      <c r="F1346" s="1">
        <v>42341</v>
      </c>
      <c r="G1346" t="s">
        <v>717</v>
      </c>
      <c r="H1346" s="81">
        <v>8</v>
      </c>
      <c r="I1346" t="s">
        <v>47</v>
      </c>
      <c r="J1346" s="3">
        <v>138.44</v>
      </c>
    </row>
    <row r="1347" spans="1:10" x14ac:dyDescent="0.25">
      <c r="A1347" t="s">
        <v>688</v>
      </c>
      <c r="B1347" t="s">
        <v>59</v>
      </c>
      <c r="C1347" s="82">
        <v>305395618</v>
      </c>
      <c r="D1347">
        <v>201512</v>
      </c>
      <c r="E1347" s="1">
        <v>42342</v>
      </c>
      <c r="F1347" s="1">
        <v>42369</v>
      </c>
      <c r="G1347" t="s">
        <v>717</v>
      </c>
      <c r="H1347" s="81">
        <v>6</v>
      </c>
      <c r="I1347" t="s">
        <v>47</v>
      </c>
      <c r="J1347" s="3">
        <v>120.04</v>
      </c>
    </row>
    <row r="1348" spans="1:10" x14ac:dyDescent="0.25">
      <c r="A1348" t="s">
        <v>688</v>
      </c>
      <c r="B1348" t="s">
        <v>59</v>
      </c>
      <c r="C1348" s="82">
        <v>305395618</v>
      </c>
      <c r="D1348">
        <v>201601</v>
      </c>
      <c r="E1348" s="1">
        <v>42370</v>
      </c>
      <c r="F1348" s="1">
        <v>42402</v>
      </c>
      <c r="G1348" t="s">
        <v>717</v>
      </c>
      <c r="H1348" s="81">
        <v>9</v>
      </c>
      <c r="I1348" t="s">
        <v>47</v>
      </c>
      <c r="J1348" s="3">
        <v>147.63999999999999</v>
      </c>
    </row>
    <row r="1349" spans="1:10" x14ac:dyDescent="0.25">
      <c r="A1349" t="s">
        <v>688</v>
      </c>
      <c r="B1349" t="s">
        <v>59</v>
      </c>
      <c r="C1349" s="82">
        <v>305395618</v>
      </c>
      <c r="D1349">
        <v>201602</v>
      </c>
      <c r="E1349" s="1">
        <v>42403</v>
      </c>
      <c r="F1349" s="1">
        <v>42433</v>
      </c>
      <c r="G1349" t="s">
        <v>717</v>
      </c>
      <c r="H1349" s="81">
        <v>10</v>
      </c>
      <c r="I1349" t="s">
        <v>47</v>
      </c>
      <c r="J1349" s="3">
        <v>156.84</v>
      </c>
    </row>
    <row r="1350" spans="1:10" x14ac:dyDescent="0.25">
      <c r="A1350" t="s">
        <v>688</v>
      </c>
      <c r="B1350" t="s">
        <v>59</v>
      </c>
      <c r="C1350" s="82">
        <v>305395618</v>
      </c>
      <c r="D1350">
        <v>201603</v>
      </c>
      <c r="E1350" s="1">
        <v>42434</v>
      </c>
      <c r="F1350" s="1">
        <v>42461</v>
      </c>
      <c r="G1350" t="s">
        <v>717</v>
      </c>
      <c r="H1350" s="81">
        <v>9</v>
      </c>
      <c r="I1350" t="s">
        <v>47</v>
      </c>
      <c r="J1350" s="3">
        <v>149.47</v>
      </c>
    </row>
    <row r="1351" spans="1:10" x14ac:dyDescent="0.25">
      <c r="A1351" t="s">
        <v>688</v>
      </c>
      <c r="B1351" t="s">
        <v>59</v>
      </c>
      <c r="C1351" s="82">
        <v>305395618</v>
      </c>
      <c r="D1351">
        <v>201604</v>
      </c>
      <c r="E1351" s="1">
        <v>42462</v>
      </c>
      <c r="F1351" s="1">
        <v>42493</v>
      </c>
      <c r="G1351" t="s">
        <v>717</v>
      </c>
      <c r="H1351" s="81">
        <v>11</v>
      </c>
      <c r="I1351" t="s">
        <v>47</v>
      </c>
      <c r="J1351" s="3">
        <v>168.13</v>
      </c>
    </row>
    <row r="1352" spans="1:10" x14ac:dyDescent="0.25">
      <c r="A1352" t="s">
        <v>688</v>
      </c>
      <c r="B1352" t="s">
        <v>59</v>
      </c>
      <c r="C1352" s="82">
        <v>305395618</v>
      </c>
      <c r="D1352">
        <v>201605</v>
      </c>
      <c r="E1352" s="1">
        <v>42494</v>
      </c>
      <c r="F1352" s="1">
        <v>42521</v>
      </c>
      <c r="G1352" t="s">
        <v>717</v>
      </c>
      <c r="H1352" s="81">
        <v>10</v>
      </c>
      <c r="I1352" t="s">
        <v>47</v>
      </c>
      <c r="J1352" s="3">
        <v>158.80000000000001</v>
      </c>
    </row>
    <row r="1353" spans="1:10" x14ac:dyDescent="0.25">
      <c r="A1353" t="s">
        <v>688</v>
      </c>
      <c r="B1353" t="s">
        <v>59</v>
      </c>
      <c r="C1353" s="82">
        <v>305395618</v>
      </c>
      <c r="D1353">
        <v>201606</v>
      </c>
      <c r="E1353" s="1">
        <v>42522</v>
      </c>
      <c r="F1353" s="1">
        <v>42550</v>
      </c>
      <c r="G1353" t="s">
        <v>717</v>
      </c>
      <c r="H1353" s="81">
        <v>9</v>
      </c>
      <c r="I1353" t="s">
        <v>47</v>
      </c>
      <c r="J1353" s="3">
        <v>149.47</v>
      </c>
    </row>
    <row r="1354" spans="1:10" x14ac:dyDescent="0.25">
      <c r="A1354" t="s">
        <v>592</v>
      </c>
      <c r="B1354" t="s">
        <v>59</v>
      </c>
      <c r="C1354" s="82">
        <v>301885729</v>
      </c>
      <c r="D1354">
        <v>201507</v>
      </c>
      <c r="E1354" s="1">
        <v>42186</v>
      </c>
      <c r="F1354" s="1">
        <v>42214</v>
      </c>
      <c r="G1354" t="s">
        <v>718</v>
      </c>
      <c r="H1354" s="81">
        <v>382</v>
      </c>
      <c r="I1354" t="s">
        <v>47</v>
      </c>
      <c r="J1354" s="3">
        <v>3713.5</v>
      </c>
    </row>
    <row r="1355" spans="1:10" x14ac:dyDescent="0.25">
      <c r="A1355" t="s">
        <v>592</v>
      </c>
      <c r="B1355" t="s">
        <v>59</v>
      </c>
      <c r="C1355" s="82">
        <v>301885729</v>
      </c>
      <c r="D1355">
        <v>201508</v>
      </c>
      <c r="E1355" s="1">
        <v>42215</v>
      </c>
      <c r="F1355" s="1">
        <v>42243</v>
      </c>
      <c r="G1355" t="s">
        <v>718</v>
      </c>
      <c r="H1355" s="81">
        <v>328</v>
      </c>
      <c r="I1355" t="s">
        <v>47</v>
      </c>
      <c r="J1355" s="3">
        <v>3271.06</v>
      </c>
    </row>
    <row r="1356" spans="1:10" x14ac:dyDescent="0.25">
      <c r="A1356" t="s">
        <v>592</v>
      </c>
      <c r="B1356" t="s">
        <v>59</v>
      </c>
      <c r="C1356" s="82">
        <v>301885729</v>
      </c>
      <c r="D1356">
        <v>201509</v>
      </c>
      <c r="E1356" s="1">
        <v>42244</v>
      </c>
      <c r="F1356" s="1">
        <v>42275</v>
      </c>
      <c r="G1356" t="s">
        <v>718</v>
      </c>
      <c r="H1356" s="81">
        <v>491</v>
      </c>
      <c r="I1356" t="s">
        <v>47</v>
      </c>
      <c r="J1356" s="3">
        <v>5139.8599999999997</v>
      </c>
    </row>
    <row r="1357" spans="1:10" x14ac:dyDescent="0.25">
      <c r="A1357" t="s">
        <v>592</v>
      </c>
      <c r="B1357" t="s">
        <v>59</v>
      </c>
      <c r="C1357" s="82">
        <v>301885729</v>
      </c>
      <c r="D1357">
        <v>201510</v>
      </c>
      <c r="E1357" s="1">
        <v>42276</v>
      </c>
      <c r="F1357" s="1">
        <v>42310</v>
      </c>
      <c r="G1357" t="s">
        <v>718</v>
      </c>
      <c r="H1357" s="81">
        <v>423</v>
      </c>
      <c r="I1357" t="s">
        <v>47</v>
      </c>
      <c r="J1357" s="3">
        <v>4272.8599999999997</v>
      </c>
    </row>
    <row r="1358" spans="1:10" x14ac:dyDescent="0.25">
      <c r="A1358" t="s">
        <v>592</v>
      </c>
      <c r="B1358" t="s">
        <v>59</v>
      </c>
      <c r="C1358" s="82">
        <v>301885729</v>
      </c>
      <c r="D1358">
        <v>201511</v>
      </c>
      <c r="E1358" s="1">
        <v>42311</v>
      </c>
      <c r="F1358" s="1">
        <v>42341</v>
      </c>
      <c r="G1358" t="s">
        <v>718</v>
      </c>
      <c r="H1358" s="81">
        <v>304</v>
      </c>
      <c r="I1358" t="s">
        <v>47</v>
      </c>
      <c r="J1358" s="3">
        <v>3050.26</v>
      </c>
    </row>
    <row r="1359" spans="1:10" x14ac:dyDescent="0.25">
      <c r="A1359" t="s">
        <v>592</v>
      </c>
      <c r="B1359" t="s">
        <v>59</v>
      </c>
      <c r="C1359" s="82">
        <v>301885729</v>
      </c>
      <c r="D1359">
        <v>201512</v>
      </c>
      <c r="E1359" s="1">
        <v>42342</v>
      </c>
      <c r="F1359" s="1">
        <v>42373</v>
      </c>
      <c r="G1359" t="s">
        <v>718</v>
      </c>
      <c r="H1359" s="81">
        <v>348</v>
      </c>
      <c r="I1359" t="s">
        <v>47</v>
      </c>
      <c r="J1359" s="3">
        <v>3455.06</v>
      </c>
    </row>
    <row r="1360" spans="1:10" x14ac:dyDescent="0.25">
      <c r="A1360" t="s">
        <v>592</v>
      </c>
      <c r="B1360" t="s">
        <v>59</v>
      </c>
      <c r="C1360" s="82">
        <v>301885729</v>
      </c>
      <c r="D1360">
        <v>201601</v>
      </c>
      <c r="E1360" s="1">
        <v>42374</v>
      </c>
      <c r="F1360" s="1">
        <v>42402</v>
      </c>
      <c r="G1360" t="s">
        <v>718</v>
      </c>
      <c r="H1360" s="81">
        <v>260</v>
      </c>
      <c r="I1360" t="s">
        <v>47</v>
      </c>
      <c r="J1360" s="3">
        <v>2645.46</v>
      </c>
    </row>
    <row r="1361" spans="1:10" x14ac:dyDescent="0.25">
      <c r="A1361" t="s">
        <v>592</v>
      </c>
      <c r="B1361" t="s">
        <v>59</v>
      </c>
      <c r="C1361" s="82">
        <v>301885729</v>
      </c>
      <c r="D1361">
        <v>201602</v>
      </c>
      <c r="E1361" s="1">
        <v>42403</v>
      </c>
      <c r="F1361" s="1">
        <v>42433</v>
      </c>
      <c r="G1361" t="s">
        <v>718</v>
      </c>
      <c r="H1361" s="81">
        <v>330</v>
      </c>
      <c r="I1361" t="s">
        <v>47</v>
      </c>
      <c r="J1361" s="3">
        <v>3289.46</v>
      </c>
    </row>
    <row r="1362" spans="1:10" x14ac:dyDescent="0.25">
      <c r="A1362" t="s">
        <v>592</v>
      </c>
      <c r="B1362" t="s">
        <v>59</v>
      </c>
      <c r="C1362" s="82">
        <v>301885729</v>
      </c>
      <c r="D1362">
        <v>201603</v>
      </c>
      <c r="E1362" s="1">
        <v>42434</v>
      </c>
      <c r="F1362" s="1">
        <v>42461</v>
      </c>
      <c r="G1362" t="s">
        <v>718</v>
      </c>
      <c r="H1362" s="81">
        <v>309</v>
      </c>
      <c r="I1362" t="s">
        <v>47</v>
      </c>
      <c r="J1362" s="3">
        <v>3139.57</v>
      </c>
    </row>
    <row r="1363" spans="1:10" x14ac:dyDescent="0.25">
      <c r="A1363" t="s">
        <v>592</v>
      </c>
      <c r="B1363" t="s">
        <v>59</v>
      </c>
      <c r="C1363" s="82">
        <v>301885729</v>
      </c>
      <c r="D1363">
        <v>201604</v>
      </c>
      <c r="E1363" s="1">
        <v>42462</v>
      </c>
      <c r="F1363" s="1">
        <v>42494</v>
      </c>
      <c r="G1363" t="s">
        <v>718</v>
      </c>
      <c r="H1363" s="81">
        <v>355</v>
      </c>
      <c r="I1363" t="s">
        <v>47</v>
      </c>
      <c r="J1363" s="3">
        <v>3568.75</v>
      </c>
    </row>
    <row r="1364" spans="1:10" x14ac:dyDescent="0.25">
      <c r="A1364" t="s">
        <v>592</v>
      </c>
      <c r="B1364" t="s">
        <v>59</v>
      </c>
      <c r="C1364" s="82">
        <v>301885729</v>
      </c>
      <c r="D1364">
        <v>201605</v>
      </c>
      <c r="E1364" s="1">
        <v>42495</v>
      </c>
      <c r="F1364" s="1">
        <v>42521</v>
      </c>
      <c r="G1364" t="s">
        <v>718</v>
      </c>
      <c r="H1364" s="81">
        <v>234</v>
      </c>
      <c r="I1364" t="s">
        <v>47</v>
      </c>
      <c r="J1364" s="3">
        <v>2439.8200000000002</v>
      </c>
    </row>
    <row r="1365" spans="1:10" x14ac:dyDescent="0.25">
      <c r="A1365" t="s">
        <v>592</v>
      </c>
      <c r="B1365" t="s">
        <v>59</v>
      </c>
      <c r="C1365" s="82">
        <v>301885729</v>
      </c>
      <c r="D1365">
        <v>201606</v>
      </c>
      <c r="E1365" s="1">
        <v>42522</v>
      </c>
      <c r="F1365" s="1">
        <v>42550</v>
      </c>
      <c r="G1365" t="s">
        <v>718</v>
      </c>
      <c r="H1365" s="81">
        <v>3.36</v>
      </c>
      <c r="I1365" t="s">
        <v>47</v>
      </c>
      <c r="J1365" s="3">
        <v>3391.48</v>
      </c>
    </row>
    <row r="1366" spans="1:10" x14ac:dyDescent="0.25">
      <c r="A1366" t="s">
        <v>528</v>
      </c>
      <c r="B1366" t="s">
        <v>59</v>
      </c>
      <c r="C1366" s="82">
        <v>305395527</v>
      </c>
      <c r="D1366">
        <v>201507</v>
      </c>
      <c r="E1366" s="1">
        <v>42186</v>
      </c>
      <c r="F1366" s="1">
        <v>42214</v>
      </c>
      <c r="G1366" t="s">
        <v>572</v>
      </c>
      <c r="H1366" s="81">
        <v>20</v>
      </c>
      <c r="I1366" t="s">
        <v>47</v>
      </c>
      <c r="J1366" s="3">
        <v>236.8</v>
      </c>
    </row>
    <row r="1367" spans="1:10" x14ac:dyDescent="0.25">
      <c r="A1367" t="s">
        <v>528</v>
      </c>
      <c r="B1367" t="s">
        <v>59</v>
      </c>
      <c r="C1367" s="82">
        <v>305395527</v>
      </c>
      <c r="D1367">
        <v>201508</v>
      </c>
      <c r="E1367" s="1">
        <v>42215</v>
      </c>
      <c r="F1367" s="1">
        <v>42243</v>
      </c>
      <c r="G1367" t="s">
        <v>572</v>
      </c>
      <c r="H1367" s="81">
        <v>22</v>
      </c>
      <c r="I1367" t="s">
        <v>47</v>
      </c>
      <c r="J1367" s="3">
        <v>267.24</v>
      </c>
    </row>
    <row r="1368" spans="1:10" x14ac:dyDescent="0.25">
      <c r="A1368" t="s">
        <v>528</v>
      </c>
      <c r="B1368" t="s">
        <v>59</v>
      </c>
      <c r="C1368" s="82">
        <v>305395527</v>
      </c>
      <c r="D1368">
        <v>201509</v>
      </c>
      <c r="E1368" s="1">
        <v>42244</v>
      </c>
      <c r="F1368" s="1">
        <v>42275</v>
      </c>
      <c r="G1368" t="s">
        <v>572</v>
      </c>
      <c r="H1368" s="81">
        <v>30</v>
      </c>
      <c r="I1368" t="s">
        <v>47</v>
      </c>
      <c r="J1368" s="3">
        <v>340.84</v>
      </c>
    </row>
    <row r="1369" spans="1:10" x14ac:dyDescent="0.25">
      <c r="A1369" t="s">
        <v>528</v>
      </c>
      <c r="B1369" t="s">
        <v>59</v>
      </c>
      <c r="C1369" s="82">
        <v>305395527</v>
      </c>
      <c r="D1369">
        <v>201510</v>
      </c>
      <c r="E1369" s="1">
        <v>42276</v>
      </c>
      <c r="F1369" s="1">
        <v>42310</v>
      </c>
      <c r="G1369" t="s">
        <v>572</v>
      </c>
      <c r="H1369" s="81">
        <v>37</v>
      </c>
      <c r="I1369" t="s">
        <v>47</v>
      </c>
      <c r="J1369" s="3">
        <v>405.24</v>
      </c>
    </row>
    <row r="1370" spans="1:10" x14ac:dyDescent="0.25">
      <c r="A1370" t="s">
        <v>528</v>
      </c>
      <c r="B1370" t="s">
        <v>59</v>
      </c>
      <c r="C1370" s="82">
        <v>305395527</v>
      </c>
      <c r="D1370">
        <v>201511</v>
      </c>
      <c r="E1370" s="1">
        <v>42311</v>
      </c>
      <c r="F1370" s="1">
        <v>42341</v>
      </c>
      <c r="G1370" t="s">
        <v>572</v>
      </c>
      <c r="H1370" s="81">
        <v>31</v>
      </c>
      <c r="I1370" t="s">
        <v>47</v>
      </c>
      <c r="J1370" s="3">
        <v>350.04</v>
      </c>
    </row>
    <row r="1371" spans="1:10" x14ac:dyDescent="0.25">
      <c r="A1371" t="s">
        <v>528</v>
      </c>
      <c r="B1371" t="s">
        <v>59</v>
      </c>
      <c r="C1371" s="82">
        <v>305395527</v>
      </c>
      <c r="D1371">
        <v>201512</v>
      </c>
      <c r="E1371" s="1">
        <v>42342</v>
      </c>
      <c r="F1371" s="1">
        <v>42369</v>
      </c>
      <c r="G1371" t="s">
        <v>572</v>
      </c>
      <c r="H1371" s="81">
        <v>24</v>
      </c>
      <c r="I1371" t="s">
        <v>47</v>
      </c>
      <c r="J1371" s="3">
        <v>285.64</v>
      </c>
    </row>
    <row r="1372" spans="1:10" x14ac:dyDescent="0.25">
      <c r="A1372" t="s">
        <v>528</v>
      </c>
      <c r="B1372" t="s">
        <v>59</v>
      </c>
      <c r="C1372" s="82">
        <v>305395527</v>
      </c>
      <c r="D1372">
        <v>201601</v>
      </c>
      <c r="E1372" s="1">
        <v>42370</v>
      </c>
      <c r="F1372" s="1">
        <v>42402</v>
      </c>
      <c r="G1372" t="s">
        <v>572</v>
      </c>
      <c r="H1372" s="81">
        <v>25</v>
      </c>
      <c r="I1372" t="s">
        <v>47</v>
      </c>
      <c r="J1372" s="3">
        <v>294.83999999999997</v>
      </c>
    </row>
    <row r="1373" spans="1:10" x14ac:dyDescent="0.25">
      <c r="A1373" t="s">
        <v>528</v>
      </c>
      <c r="B1373" t="s">
        <v>59</v>
      </c>
      <c r="C1373" s="82">
        <v>305395527</v>
      </c>
      <c r="D1373">
        <v>201602</v>
      </c>
      <c r="E1373" s="1">
        <v>42403</v>
      </c>
      <c r="F1373" s="1">
        <v>42433</v>
      </c>
      <c r="G1373" t="s">
        <v>572</v>
      </c>
      <c r="H1373" s="81">
        <v>33</v>
      </c>
      <c r="I1373" t="s">
        <v>47</v>
      </c>
      <c r="J1373" s="3">
        <v>368.44</v>
      </c>
    </row>
    <row r="1374" spans="1:10" x14ac:dyDescent="0.25">
      <c r="A1374" t="s">
        <v>528</v>
      </c>
      <c r="B1374" t="s">
        <v>59</v>
      </c>
      <c r="C1374" s="82">
        <v>305395527</v>
      </c>
      <c r="D1374">
        <v>201603</v>
      </c>
      <c r="E1374" s="1">
        <v>42434</v>
      </c>
      <c r="F1374" s="1">
        <v>42461</v>
      </c>
      <c r="G1374" t="s">
        <v>572</v>
      </c>
      <c r="H1374" s="81">
        <v>32</v>
      </c>
      <c r="I1374" t="s">
        <v>47</v>
      </c>
      <c r="J1374" s="3">
        <v>364.06</v>
      </c>
    </row>
    <row r="1375" spans="1:10" x14ac:dyDescent="0.25">
      <c r="A1375" t="s">
        <v>528</v>
      </c>
      <c r="B1375" t="s">
        <v>59</v>
      </c>
      <c r="C1375" s="82">
        <v>305395527</v>
      </c>
      <c r="D1375">
        <v>201604</v>
      </c>
      <c r="E1375" s="1">
        <v>42462</v>
      </c>
      <c r="F1375" s="1">
        <v>42493</v>
      </c>
      <c r="G1375" t="s">
        <v>572</v>
      </c>
      <c r="H1375" s="81">
        <v>40</v>
      </c>
      <c r="I1375" t="s">
        <v>47</v>
      </c>
      <c r="J1375" s="3">
        <v>438.7</v>
      </c>
    </row>
    <row r="1376" spans="1:10" x14ac:dyDescent="0.25">
      <c r="A1376" t="s">
        <v>528</v>
      </c>
      <c r="B1376" t="s">
        <v>59</v>
      </c>
      <c r="C1376" s="82">
        <v>305395527</v>
      </c>
      <c r="D1376">
        <v>201605</v>
      </c>
      <c r="E1376" s="1">
        <v>42494</v>
      </c>
      <c r="F1376" s="1">
        <v>42530</v>
      </c>
      <c r="G1376" t="s">
        <v>572</v>
      </c>
      <c r="H1376" s="81">
        <v>66</v>
      </c>
      <c r="I1376" t="s">
        <v>47</v>
      </c>
      <c r="J1376" s="3">
        <v>681.28</v>
      </c>
    </row>
    <row r="1377" spans="1:10" x14ac:dyDescent="0.25">
      <c r="A1377" t="s">
        <v>654</v>
      </c>
      <c r="B1377" t="s">
        <v>59</v>
      </c>
      <c r="C1377" s="82">
        <v>301881371</v>
      </c>
      <c r="D1377">
        <v>201507</v>
      </c>
      <c r="E1377" s="1">
        <v>42186</v>
      </c>
      <c r="F1377" s="1">
        <v>42215</v>
      </c>
      <c r="G1377" t="s">
        <v>719</v>
      </c>
      <c r="H1377" s="81">
        <v>0</v>
      </c>
      <c r="I1377" t="s">
        <v>47</v>
      </c>
      <c r="J1377" s="3">
        <v>105.28</v>
      </c>
    </row>
    <row r="1378" spans="1:10" x14ac:dyDescent="0.25">
      <c r="A1378" t="s">
        <v>654</v>
      </c>
      <c r="B1378" t="s">
        <v>59</v>
      </c>
      <c r="C1378" s="82">
        <v>301881371</v>
      </c>
      <c r="D1378">
        <v>201508</v>
      </c>
      <c r="E1378" s="1">
        <v>42216</v>
      </c>
      <c r="F1378" s="1">
        <v>42244</v>
      </c>
      <c r="G1378" t="s">
        <v>719</v>
      </c>
      <c r="H1378" s="81">
        <v>0</v>
      </c>
      <c r="I1378" t="s">
        <v>47</v>
      </c>
      <c r="J1378" s="3">
        <v>126.73</v>
      </c>
    </row>
    <row r="1379" spans="1:10" x14ac:dyDescent="0.25">
      <c r="A1379" t="s">
        <v>654</v>
      </c>
      <c r="B1379" t="s">
        <v>59</v>
      </c>
      <c r="C1379" s="82">
        <v>301881371</v>
      </c>
      <c r="D1379">
        <v>201509</v>
      </c>
      <c r="E1379" s="1">
        <v>42245</v>
      </c>
      <c r="F1379" s="1">
        <v>42275</v>
      </c>
      <c r="G1379" t="s">
        <v>719</v>
      </c>
      <c r="H1379" s="81">
        <v>0</v>
      </c>
      <c r="I1379" t="s">
        <v>47</v>
      </c>
      <c r="J1379" s="3">
        <v>126.73</v>
      </c>
    </row>
    <row r="1380" spans="1:10" x14ac:dyDescent="0.25">
      <c r="A1380" t="s">
        <v>654</v>
      </c>
      <c r="B1380" t="s">
        <v>59</v>
      </c>
      <c r="C1380" s="82">
        <v>301881371</v>
      </c>
      <c r="D1380">
        <v>201510</v>
      </c>
      <c r="E1380" s="1">
        <v>42276</v>
      </c>
      <c r="F1380" s="1">
        <v>42310</v>
      </c>
      <c r="G1380" t="s">
        <v>719</v>
      </c>
      <c r="H1380" s="81">
        <v>0</v>
      </c>
      <c r="I1380" t="s">
        <v>47</v>
      </c>
      <c r="J1380" s="3">
        <v>126.73</v>
      </c>
    </row>
    <row r="1381" spans="1:10" x14ac:dyDescent="0.25">
      <c r="A1381" t="s">
        <v>654</v>
      </c>
      <c r="B1381" t="s">
        <v>59</v>
      </c>
      <c r="C1381" s="82">
        <v>301881371</v>
      </c>
      <c r="D1381">
        <v>201511</v>
      </c>
      <c r="E1381" s="1">
        <v>42311</v>
      </c>
      <c r="F1381" s="1">
        <v>42341</v>
      </c>
      <c r="G1381" t="s">
        <v>719</v>
      </c>
      <c r="H1381" s="81">
        <v>0</v>
      </c>
      <c r="I1381" t="s">
        <v>47</v>
      </c>
      <c r="J1381" s="3">
        <v>126.73</v>
      </c>
    </row>
    <row r="1382" spans="1:10" x14ac:dyDescent="0.25">
      <c r="A1382" t="s">
        <v>654</v>
      </c>
      <c r="B1382" t="s">
        <v>59</v>
      </c>
      <c r="C1382" s="82">
        <v>301881371</v>
      </c>
      <c r="D1382">
        <v>201512</v>
      </c>
      <c r="E1382" s="1">
        <v>42342</v>
      </c>
      <c r="F1382" s="1">
        <v>42373</v>
      </c>
      <c r="G1382" t="s">
        <v>719</v>
      </c>
      <c r="H1382" s="81">
        <v>0</v>
      </c>
      <c r="I1382" t="s">
        <v>47</v>
      </c>
      <c r="J1382" s="3">
        <v>126.73</v>
      </c>
    </row>
    <row r="1383" spans="1:10" x14ac:dyDescent="0.25">
      <c r="A1383" t="s">
        <v>654</v>
      </c>
      <c r="B1383" t="s">
        <v>59</v>
      </c>
      <c r="C1383" s="82">
        <v>301881371</v>
      </c>
      <c r="D1383">
        <v>201601</v>
      </c>
      <c r="E1383" s="1">
        <v>42374</v>
      </c>
      <c r="F1383" s="1">
        <v>42404</v>
      </c>
      <c r="G1383" t="s">
        <v>719</v>
      </c>
      <c r="H1383" s="81">
        <v>0</v>
      </c>
      <c r="I1383" t="s">
        <v>47</v>
      </c>
      <c r="J1383" s="3">
        <v>126.73</v>
      </c>
    </row>
    <row r="1384" spans="1:10" x14ac:dyDescent="0.25">
      <c r="A1384" t="s">
        <v>654</v>
      </c>
      <c r="B1384" t="s">
        <v>59</v>
      </c>
      <c r="C1384" s="82">
        <v>301881371</v>
      </c>
      <c r="D1384">
        <v>201602</v>
      </c>
      <c r="E1384" s="1">
        <v>42405</v>
      </c>
      <c r="F1384" s="1">
        <v>42433</v>
      </c>
      <c r="G1384" t="s">
        <v>719</v>
      </c>
      <c r="H1384" s="81">
        <v>62</v>
      </c>
      <c r="I1384" t="s">
        <v>47</v>
      </c>
      <c r="J1384" s="3">
        <v>697.13</v>
      </c>
    </row>
    <row r="1385" spans="1:10" x14ac:dyDescent="0.25">
      <c r="A1385" t="s">
        <v>654</v>
      </c>
      <c r="B1385" t="s">
        <v>59</v>
      </c>
      <c r="C1385" s="82">
        <v>301881371</v>
      </c>
      <c r="D1385">
        <v>201603</v>
      </c>
      <c r="E1385" s="1">
        <v>42434</v>
      </c>
      <c r="F1385" s="1">
        <v>42461</v>
      </c>
      <c r="G1385" t="s">
        <v>719</v>
      </c>
      <c r="H1385" s="81">
        <v>8</v>
      </c>
      <c r="I1385" t="s">
        <v>47</v>
      </c>
      <c r="J1385" s="3">
        <v>202.94</v>
      </c>
    </row>
    <row r="1386" spans="1:10" x14ac:dyDescent="0.25">
      <c r="A1386" t="s">
        <v>654</v>
      </c>
      <c r="B1386" t="s">
        <v>59</v>
      </c>
      <c r="C1386" s="82">
        <v>301881371</v>
      </c>
      <c r="D1386">
        <v>201604</v>
      </c>
      <c r="E1386" s="1">
        <v>42462</v>
      </c>
      <c r="F1386" s="1">
        <v>42493</v>
      </c>
      <c r="G1386" t="s">
        <v>719</v>
      </c>
      <c r="H1386" s="81">
        <v>12</v>
      </c>
      <c r="I1386" t="s">
        <v>47</v>
      </c>
      <c r="J1386" s="3">
        <v>240.26</v>
      </c>
    </row>
    <row r="1387" spans="1:10" x14ac:dyDescent="0.25">
      <c r="A1387" t="s">
        <v>654</v>
      </c>
      <c r="B1387" t="s">
        <v>59</v>
      </c>
      <c r="C1387" s="82">
        <v>301881371</v>
      </c>
      <c r="D1387">
        <v>201605</v>
      </c>
      <c r="E1387" s="1">
        <v>42494</v>
      </c>
      <c r="F1387" s="1">
        <v>42521</v>
      </c>
      <c r="G1387" t="s">
        <v>719</v>
      </c>
      <c r="H1387" s="81">
        <v>4</v>
      </c>
      <c r="I1387" t="s">
        <v>47</v>
      </c>
      <c r="J1387" s="3">
        <v>165.62</v>
      </c>
    </row>
    <row r="1388" spans="1:10" x14ac:dyDescent="0.25">
      <c r="A1388" t="s">
        <v>654</v>
      </c>
      <c r="B1388" t="s">
        <v>59</v>
      </c>
      <c r="C1388" s="82">
        <v>301881371</v>
      </c>
      <c r="D1388">
        <v>201606</v>
      </c>
      <c r="E1388" s="1">
        <v>42522</v>
      </c>
      <c r="F1388" s="1">
        <v>42550</v>
      </c>
      <c r="G1388" t="s">
        <v>719</v>
      </c>
      <c r="H1388" s="81">
        <v>3</v>
      </c>
      <c r="I1388" t="s">
        <v>47</v>
      </c>
      <c r="J1388" s="3">
        <v>156.29</v>
      </c>
    </row>
    <row r="1389" spans="1:10" x14ac:dyDescent="0.25">
      <c r="A1389" t="s">
        <v>654</v>
      </c>
      <c r="B1389" t="s">
        <v>59</v>
      </c>
      <c r="C1389" s="82">
        <v>305393159</v>
      </c>
      <c r="D1389">
        <v>201507</v>
      </c>
      <c r="E1389" s="1">
        <v>42186</v>
      </c>
      <c r="F1389" s="1">
        <v>42214</v>
      </c>
      <c r="G1389" t="s">
        <v>720</v>
      </c>
      <c r="H1389" s="81">
        <v>2</v>
      </c>
      <c r="I1389" t="s">
        <v>47</v>
      </c>
      <c r="J1389" s="3">
        <v>71.739999999999995</v>
      </c>
    </row>
    <row r="1390" spans="1:10" x14ac:dyDescent="0.25">
      <c r="A1390" t="s">
        <v>654</v>
      </c>
      <c r="B1390" t="s">
        <v>59</v>
      </c>
      <c r="C1390" s="82">
        <v>305393159</v>
      </c>
      <c r="D1390">
        <v>201508</v>
      </c>
      <c r="E1390" s="1">
        <v>42215</v>
      </c>
      <c r="F1390" s="1">
        <v>42243</v>
      </c>
      <c r="G1390" t="s">
        <v>720</v>
      </c>
      <c r="H1390" s="81">
        <v>2</v>
      </c>
      <c r="I1390" t="s">
        <v>47</v>
      </c>
      <c r="J1390" s="3">
        <v>83.24</v>
      </c>
    </row>
    <row r="1391" spans="1:10" x14ac:dyDescent="0.25">
      <c r="A1391" t="s">
        <v>654</v>
      </c>
      <c r="B1391" t="s">
        <v>59</v>
      </c>
      <c r="C1391" s="82">
        <v>305393159</v>
      </c>
      <c r="D1391">
        <v>201509</v>
      </c>
      <c r="E1391" s="1">
        <v>42244</v>
      </c>
      <c r="F1391" s="1">
        <v>42275</v>
      </c>
      <c r="G1391" t="s">
        <v>720</v>
      </c>
      <c r="H1391" s="81">
        <v>3</v>
      </c>
      <c r="I1391" t="s">
        <v>47</v>
      </c>
      <c r="J1391" s="3">
        <v>92.44</v>
      </c>
    </row>
    <row r="1392" spans="1:10" x14ac:dyDescent="0.25">
      <c r="A1392" t="s">
        <v>654</v>
      </c>
      <c r="B1392" t="s">
        <v>59</v>
      </c>
      <c r="C1392" s="82">
        <v>305393159</v>
      </c>
      <c r="D1392">
        <v>201510</v>
      </c>
      <c r="E1392" s="1">
        <v>42276</v>
      </c>
      <c r="F1392" s="1">
        <v>42310</v>
      </c>
      <c r="G1392" t="s">
        <v>720</v>
      </c>
      <c r="H1392" s="81">
        <v>2</v>
      </c>
      <c r="I1392" t="s">
        <v>47</v>
      </c>
      <c r="J1392" s="3">
        <v>83.24</v>
      </c>
    </row>
    <row r="1393" spans="1:10" x14ac:dyDescent="0.25">
      <c r="A1393" t="s">
        <v>654</v>
      </c>
      <c r="B1393" t="s">
        <v>59</v>
      </c>
      <c r="C1393" s="82">
        <v>305393159</v>
      </c>
      <c r="D1393">
        <v>201511</v>
      </c>
      <c r="E1393" s="1">
        <v>42311</v>
      </c>
      <c r="F1393" s="1">
        <v>42341</v>
      </c>
      <c r="G1393" t="s">
        <v>720</v>
      </c>
      <c r="H1393" s="81">
        <v>2</v>
      </c>
      <c r="I1393" t="s">
        <v>47</v>
      </c>
      <c r="J1393" s="3">
        <v>83.24</v>
      </c>
    </row>
    <row r="1394" spans="1:10" x14ac:dyDescent="0.25">
      <c r="A1394" t="s">
        <v>654</v>
      </c>
      <c r="B1394" t="s">
        <v>59</v>
      </c>
      <c r="C1394" s="82">
        <v>305393159</v>
      </c>
      <c r="D1394">
        <v>201512</v>
      </c>
      <c r="E1394" s="1">
        <v>42342</v>
      </c>
      <c r="F1394" s="1">
        <v>42369</v>
      </c>
      <c r="G1394" t="s">
        <v>720</v>
      </c>
      <c r="H1394" s="81">
        <v>1</v>
      </c>
      <c r="I1394" t="s">
        <v>47</v>
      </c>
      <c r="J1394" s="3">
        <v>74.040000000000006</v>
      </c>
    </row>
    <row r="1395" spans="1:10" x14ac:dyDescent="0.25">
      <c r="A1395" t="s">
        <v>654</v>
      </c>
      <c r="B1395" t="s">
        <v>59</v>
      </c>
      <c r="C1395" s="82">
        <v>305393159</v>
      </c>
      <c r="D1395">
        <v>201601</v>
      </c>
      <c r="E1395" s="1">
        <v>42370</v>
      </c>
      <c r="F1395" s="1">
        <v>42402</v>
      </c>
      <c r="G1395" t="s">
        <v>720</v>
      </c>
      <c r="H1395" s="81">
        <v>2</v>
      </c>
      <c r="I1395" t="s">
        <v>47</v>
      </c>
      <c r="J1395" s="3">
        <v>83.24</v>
      </c>
    </row>
    <row r="1396" spans="1:10" x14ac:dyDescent="0.25">
      <c r="A1396" t="s">
        <v>654</v>
      </c>
      <c r="B1396" t="s">
        <v>59</v>
      </c>
      <c r="C1396" s="82">
        <v>305393159</v>
      </c>
      <c r="D1396">
        <v>201602</v>
      </c>
      <c r="E1396" s="1">
        <v>42403</v>
      </c>
      <c r="F1396" s="1">
        <v>42433</v>
      </c>
      <c r="G1396" t="s">
        <v>720</v>
      </c>
      <c r="H1396" s="81">
        <v>1</v>
      </c>
      <c r="I1396" t="s">
        <v>47</v>
      </c>
      <c r="J1396" s="3">
        <v>74.040000000000006</v>
      </c>
    </row>
    <row r="1397" spans="1:10" x14ac:dyDescent="0.25">
      <c r="A1397" t="s">
        <v>654</v>
      </c>
      <c r="B1397" t="s">
        <v>59</v>
      </c>
      <c r="C1397" s="82">
        <v>305393159</v>
      </c>
      <c r="D1397">
        <v>201603</v>
      </c>
      <c r="E1397" s="1">
        <v>42434</v>
      </c>
      <c r="F1397" s="1">
        <v>42461</v>
      </c>
      <c r="G1397" t="s">
        <v>720</v>
      </c>
      <c r="H1397" s="81">
        <v>2</v>
      </c>
      <c r="I1397" t="s">
        <v>47</v>
      </c>
      <c r="J1397" s="3">
        <v>84.16</v>
      </c>
    </row>
    <row r="1398" spans="1:10" x14ac:dyDescent="0.25">
      <c r="A1398" t="s">
        <v>654</v>
      </c>
      <c r="B1398" t="s">
        <v>59</v>
      </c>
      <c r="C1398" s="82">
        <v>305393159</v>
      </c>
      <c r="D1398">
        <v>201604</v>
      </c>
      <c r="E1398" s="1">
        <v>42462</v>
      </c>
      <c r="F1398" s="1">
        <v>42493</v>
      </c>
      <c r="G1398" t="s">
        <v>720</v>
      </c>
      <c r="H1398" s="81">
        <v>2</v>
      </c>
      <c r="I1398" t="s">
        <v>47</v>
      </c>
      <c r="J1398" s="3">
        <v>84.16</v>
      </c>
    </row>
    <row r="1399" spans="1:10" x14ac:dyDescent="0.25">
      <c r="A1399" t="s">
        <v>654</v>
      </c>
      <c r="B1399" t="s">
        <v>59</v>
      </c>
      <c r="C1399" s="82">
        <v>305393159</v>
      </c>
      <c r="D1399">
        <v>201605</v>
      </c>
      <c r="E1399" s="1">
        <v>42494</v>
      </c>
      <c r="F1399" s="1">
        <v>42521</v>
      </c>
      <c r="G1399" t="s">
        <v>720</v>
      </c>
      <c r="H1399" s="81">
        <v>2</v>
      </c>
      <c r="I1399" t="s">
        <v>47</v>
      </c>
      <c r="J1399" s="3">
        <v>84.16</v>
      </c>
    </row>
    <row r="1400" spans="1:10" x14ac:dyDescent="0.25">
      <c r="A1400" t="s">
        <v>654</v>
      </c>
      <c r="B1400" t="s">
        <v>59</v>
      </c>
      <c r="C1400" s="82">
        <v>305393159</v>
      </c>
      <c r="D1400">
        <v>201606</v>
      </c>
      <c r="E1400" s="1">
        <v>42522</v>
      </c>
      <c r="F1400" s="1">
        <v>42550</v>
      </c>
      <c r="G1400" t="s">
        <v>720</v>
      </c>
      <c r="H1400" s="81">
        <v>1</v>
      </c>
      <c r="I1400" t="s">
        <v>47</v>
      </c>
      <c r="J1400" s="3">
        <v>74.83</v>
      </c>
    </row>
    <row r="1401" spans="1:10" x14ac:dyDescent="0.25">
      <c r="A1401" t="s">
        <v>676</v>
      </c>
      <c r="B1401" t="s">
        <v>59</v>
      </c>
      <c r="C1401" s="82">
        <v>301881629</v>
      </c>
      <c r="D1401">
        <v>201507</v>
      </c>
      <c r="E1401" s="1">
        <v>42186</v>
      </c>
      <c r="F1401" s="1">
        <v>42215</v>
      </c>
      <c r="G1401" t="s">
        <v>721</v>
      </c>
      <c r="H1401" s="81">
        <v>68</v>
      </c>
      <c r="I1401" t="s">
        <v>47</v>
      </c>
      <c r="J1401" s="3">
        <v>970.8</v>
      </c>
    </row>
    <row r="1402" spans="1:10" x14ac:dyDescent="0.25">
      <c r="A1402" t="s">
        <v>676</v>
      </c>
      <c r="B1402" t="s">
        <v>59</v>
      </c>
      <c r="C1402" s="82">
        <v>301881629</v>
      </c>
      <c r="D1402">
        <v>201508</v>
      </c>
      <c r="E1402" s="1">
        <v>42216</v>
      </c>
      <c r="F1402" s="1">
        <v>42244</v>
      </c>
      <c r="G1402" t="s">
        <v>721</v>
      </c>
      <c r="H1402" s="81">
        <v>68</v>
      </c>
      <c r="I1402" t="s">
        <v>47</v>
      </c>
      <c r="J1402" s="3">
        <v>1044.32</v>
      </c>
    </row>
    <row r="1403" spans="1:10" x14ac:dyDescent="0.25">
      <c r="A1403" t="s">
        <v>676</v>
      </c>
      <c r="B1403" t="s">
        <v>59</v>
      </c>
      <c r="C1403" s="82">
        <v>301881629</v>
      </c>
      <c r="D1403">
        <v>201509</v>
      </c>
      <c r="E1403" s="1">
        <v>42245</v>
      </c>
      <c r="F1403" s="1">
        <v>42275</v>
      </c>
      <c r="G1403" t="s">
        <v>721</v>
      </c>
      <c r="H1403" s="81">
        <v>118</v>
      </c>
      <c r="I1403" t="s">
        <v>47</v>
      </c>
      <c r="J1403" s="3">
        <v>1546.92</v>
      </c>
    </row>
    <row r="1404" spans="1:10" x14ac:dyDescent="0.25">
      <c r="A1404" t="s">
        <v>676</v>
      </c>
      <c r="B1404" t="s">
        <v>59</v>
      </c>
      <c r="C1404" s="82">
        <v>301881629</v>
      </c>
      <c r="D1404">
        <v>201510</v>
      </c>
      <c r="E1404" s="1">
        <v>42276</v>
      </c>
      <c r="F1404" s="1">
        <v>42312</v>
      </c>
      <c r="G1404" t="s">
        <v>721</v>
      </c>
      <c r="H1404" s="81">
        <v>161</v>
      </c>
      <c r="I1404" t="s">
        <v>47</v>
      </c>
      <c r="J1404" s="3">
        <v>2095.17</v>
      </c>
    </row>
    <row r="1405" spans="1:10" x14ac:dyDescent="0.25">
      <c r="A1405" t="s">
        <v>676</v>
      </c>
      <c r="B1405" t="s">
        <v>59</v>
      </c>
      <c r="C1405" s="82">
        <v>301881629</v>
      </c>
      <c r="D1405">
        <v>201511</v>
      </c>
      <c r="E1405" s="1">
        <v>42313</v>
      </c>
      <c r="F1405" s="1">
        <v>42341</v>
      </c>
      <c r="G1405" t="s">
        <v>721</v>
      </c>
      <c r="H1405" s="81">
        <v>123</v>
      </c>
      <c r="I1405" t="s">
        <v>47</v>
      </c>
      <c r="J1405" s="3">
        <v>1610.67</v>
      </c>
    </row>
    <row r="1406" spans="1:10" x14ac:dyDescent="0.25">
      <c r="A1406" t="s">
        <v>676</v>
      </c>
      <c r="B1406" t="s">
        <v>59</v>
      </c>
      <c r="C1406" s="82">
        <v>301881629</v>
      </c>
      <c r="D1406">
        <v>201512</v>
      </c>
      <c r="E1406" s="1">
        <v>42342</v>
      </c>
      <c r="F1406" s="1">
        <v>42373</v>
      </c>
      <c r="G1406" t="s">
        <v>721</v>
      </c>
      <c r="H1406" s="81">
        <v>99</v>
      </c>
      <c r="I1406" t="s">
        <v>47</v>
      </c>
      <c r="J1406" s="3">
        <v>1329.52</v>
      </c>
    </row>
    <row r="1407" spans="1:10" x14ac:dyDescent="0.25">
      <c r="A1407" t="s">
        <v>676</v>
      </c>
      <c r="B1407" t="s">
        <v>59</v>
      </c>
      <c r="C1407" s="82">
        <v>301881629</v>
      </c>
      <c r="D1407">
        <v>201601</v>
      </c>
      <c r="E1407" s="1">
        <v>42374</v>
      </c>
      <c r="F1407" s="1">
        <v>42404</v>
      </c>
      <c r="G1407" t="s">
        <v>721</v>
      </c>
      <c r="H1407" s="81">
        <v>9</v>
      </c>
      <c r="I1407" t="s">
        <v>47</v>
      </c>
      <c r="J1407" s="3">
        <v>1329.52</v>
      </c>
    </row>
    <row r="1408" spans="1:10" x14ac:dyDescent="0.25">
      <c r="A1408" t="s">
        <v>676</v>
      </c>
      <c r="B1408" t="s">
        <v>59</v>
      </c>
      <c r="C1408" s="82">
        <v>301881629</v>
      </c>
      <c r="D1408">
        <v>201602</v>
      </c>
      <c r="E1408" s="1">
        <v>42405</v>
      </c>
      <c r="F1408" s="1">
        <v>42436</v>
      </c>
      <c r="G1408" t="s">
        <v>721</v>
      </c>
      <c r="H1408" s="81">
        <v>104</v>
      </c>
      <c r="I1408" t="s">
        <v>47</v>
      </c>
      <c r="J1408" s="3">
        <v>1375.52</v>
      </c>
    </row>
    <row r="1409" spans="1:10" x14ac:dyDescent="0.25">
      <c r="A1409" t="s">
        <v>676</v>
      </c>
      <c r="B1409" t="s">
        <v>59</v>
      </c>
      <c r="C1409" s="82">
        <v>301881629</v>
      </c>
      <c r="D1409">
        <v>201603</v>
      </c>
      <c r="E1409" s="1">
        <v>42437</v>
      </c>
      <c r="F1409" s="1">
        <v>42465</v>
      </c>
      <c r="G1409" t="s">
        <v>721</v>
      </c>
      <c r="H1409" s="81">
        <v>104</v>
      </c>
      <c r="I1409" t="s">
        <v>47</v>
      </c>
      <c r="J1409" s="3">
        <v>1393.34</v>
      </c>
    </row>
    <row r="1410" spans="1:10" x14ac:dyDescent="0.25">
      <c r="A1410" t="s">
        <v>676</v>
      </c>
      <c r="B1410" t="s">
        <v>59</v>
      </c>
      <c r="C1410" s="82">
        <v>301881629</v>
      </c>
      <c r="D1410">
        <v>201604</v>
      </c>
      <c r="E1410" s="1">
        <v>42466</v>
      </c>
      <c r="F1410" s="1">
        <v>42494</v>
      </c>
      <c r="G1410" t="s">
        <v>721</v>
      </c>
      <c r="H1410" s="81">
        <v>100</v>
      </c>
      <c r="I1410" t="s">
        <v>47</v>
      </c>
      <c r="J1410" s="3">
        <v>1356.02</v>
      </c>
    </row>
    <row r="1411" spans="1:10" x14ac:dyDescent="0.25">
      <c r="A1411" t="s">
        <v>676</v>
      </c>
      <c r="B1411" t="s">
        <v>59</v>
      </c>
      <c r="C1411" s="82">
        <v>301881629</v>
      </c>
      <c r="D1411">
        <v>201605</v>
      </c>
      <c r="E1411" s="1">
        <v>42495</v>
      </c>
      <c r="F1411" s="1">
        <v>42522</v>
      </c>
      <c r="G1411" t="s">
        <v>721</v>
      </c>
      <c r="H1411" s="81">
        <v>77</v>
      </c>
      <c r="I1411" t="s">
        <v>47</v>
      </c>
      <c r="J1411" s="3">
        <v>1141.43</v>
      </c>
    </row>
    <row r="1412" spans="1:10" x14ac:dyDescent="0.25">
      <c r="A1412" t="s">
        <v>586</v>
      </c>
      <c r="B1412" t="s">
        <v>59</v>
      </c>
      <c r="C1412" s="82">
        <v>306599804</v>
      </c>
      <c r="D1412">
        <v>201507</v>
      </c>
      <c r="E1412" s="1">
        <v>42186</v>
      </c>
      <c r="F1412" s="1">
        <v>42214</v>
      </c>
      <c r="G1412" t="s">
        <v>726</v>
      </c>
      <c r="H1412" s="81">
        <v>12</v>
      </c>
      <c r="I1412" t="s">
        <v>47</v>
      </c>
      <c r="J1412" s="3">
        <v>110.17</v>
      </c>
    </row>
    <row r="1413" spans="1:10" x14ac:dyDescent="0.25">
      <c r="A1413" t="s">
        <v>586</v>
      </c>
      <c r="B1413" t="s">
        <v>59</v>
      </c>
      <c r="C1413" s="82">
        <v>306599804</v>
      </c>
      <c r="D1413">
        <v>201508</v>
      </c>
      <c r="E1413" s="1">
        <v>42215</v>
      </c>
      <c r="F1413" s="1">
        <v>42247</v>
      </c>
      <c r="G1413" t="s">
        <v>726</v>
      </c>
      <c r="H1413" s="81">
        <v>17</v>
      </c>
      <c r="I1413" t="s">
        <v>47</v>
      </c>
      <c r="J1413" s="3">
        <v>175.35</v>
      </c>
    </row>
    <row r="1414" spans="1:10" x14ac:dyDescent="0.25">
      <c r="A1414" t="s">
        <v>586</v>
      </c>
      <c r="B1414" t="s">
        <v>59</v>
      </c>
      <c r="C1414" s="82">
        <v>306599804</v>
      </c>
      <c r="D1414">
        <v>201509</v>
      </c>
      <c r="E1414" s="1">
        <v>42248</v>
      </c>
      <c r="F1414" s="1">
        <v>42276</v>
      </c>
      <c r="G1414" t="s">
        <v>726</v>
      </c>
      <c r="H1414" s="81">
        <v>23</v>
      </c>
      <c r="I1414" t="s">
        <v>47</v>
      </c>
      <c r="J1414" s="3">
        <v>248.97</v>
      </c>
    </row>
    <row r="1415" spans="1:10" x14ac:dyDescent="0.25">
      <c r="A1415" t="s">
        <v>586</v>
      </c>
      <c r="B1415" t="s">
        <v>59</v>
      </c>
      <c r="C1415" s="82">
        <v>306599804</v>
      </c>
      <c r="D1415">
        <v>201510</v>
      </c>
      <c r="E1415" s="1">
        <v>42277</v>
      </c>
      <c r="F1415" s="1">
        <v>42310</v>
      </c>
      <c r="G1415" t="s">
        <v>726</v>
      </c>
      <c r="H1415" s="81">
        <v>18</v>
      </c>
      <c r="I1415" t="s">
        <v>47</v>
      </c>
      <c r="J1415" s="3">
        <v>187.62</v>
      </c>
    </row>
    <row r="1416" spans="1:10" x14ac:dyDescent="0.25">
      <c r="A1416" t="s">
        <v>586</v>
      </c>
      <c r="B1416" t="s">
        <v>59</v>
      </c>
      <c r="C1416" s="82">
        <v>306599804</v>
      </c>
      <c r="D1416">
        <v>201511</v>
      </c>
      <c r="E1416" s="1">
        <v>42311</v>
      </c>
      <c r="F1416" s="1">
        <v>42342</v>
      </c>
      <c r="G1416" t="s">
        <v>726</v>
      </c>
      <c r="H1416" s="81">
        <v>6</v>
      </c>
      <c r="I1416" t="s">
        <v>47</v>
      </c>
      <c r="J1416" s="3">
        <v>65.23</v>
      </c>
    </row>
    <row r="1417" spans="1:10" x14ac:dyDescent="0.25">
      <c r="A1417" t="s">
        <v>586</v>
      </c>
      <c r="B1417" t="s">
        <v>59</v>
      </c>
      <c r="C1417" s="82">
        <v>306599804</v>
      </c>
      <c r="D1417">
        <v>201512</v>
      </c>
      <c r="E1417" s="1">
        <v>42343</v>
      </c>
      <c r="F1417" s="1">
        <v>42374</v>
      </c>
      <c r="G1417" t="s">
        <v>726</v>
      </c>
      <c r="H1417" s="81">
        <v>1</v>
      </c>
      <c r="I1417" t="s">
        <v>47</v>
      </c>
      <c r="J1417" s="3">
        <v>46.31</v>
      </c>
    </row>
    <row r="1418" spans="1:10" x14ac:dyDescent="0.25">
      <c r="A1418" t="s">
        <v>586</v>
      </c>
      <c r="B1418" t="s">
        <v>59</v>
      </c>
      <c r="C1418" s="82">
        <v>306599804</v>
      </c>
      <c r="D1418">
        <v>201601</v>
      </c>
      <c r="E1418" s="1">
        <v>42375</v>
      </c>
      <c r="F1418" s="1">
        <v>42402</v>
      </c>
      <c r="G1418" t="s">
        <v>726</v>
      </c>
      <c r="H1418" s="81">
        <v>4</v>
      </c>
      <c r="I1418" t="s">
        <v>47</v>
      </c>
      <c r="J1418" s="3">
        <v>53.96</v>
      </c>
    </row>
    <row r="1419" spans="1:10" x14ac:dyDescent="0.25">
      <c r="A1419" t="s">
        <v>586</v>
      </c>
      <c r="B1419" t="s">
        <v>59</v>
      </c>
      <c r="C1419" s="82">
        <v>306599804</v>
      </c>
      <c r="D1419">
        <v>201602</v>
      </c>
      <c r="E1419" s="1">
        <v>42403</v>
      </c>
      <c r="F1419" s="1">
        <v>42436</v>
      </c>
      <c r="G1419" t="s">
        <v>726</v>
      </c>
      <c r="H1419" s="81">
        <v>8</v>
      </c>
      <c r="I1419" t="s">
        <v>47</v>
      </c>
      <c r="J1419" s="3">
        <v>82.67</v>
      </c>
    </row>
    <row r="1420" spans="1:10" x14ac:dyDescent="0.25">
      <c r="A1420" t="s">
        <v>586</v>
      </c>
      <c r="B1420" t="s">
        <v>59</v>
      </c>
      <c r="C1420" s="82">
        <v>306599804</v>
      </c>
      <c r="D1420">
        <v>201603</v>
      </c>
      <c r="E1420" s="1">
        <v>42437</v>
      </c>
      <c r="F1420" s="1">
        <v>42464</v>
      </c>
      <c r="G1420" t="s">
        <v>726</v>
      </c>
      <c r="H1420" s="81">
        <v>6</v>
      </c>
      <c r="I1420" t="s">
        <v>47</v>
      </c>
      <c r="J1420" s="3">
        <v>66.06</v>
      </c>
    </row>
    <row r="1421" spans="1:10" x14ac:dyDescent="0.25">
      <c r="A1421" t="s">
        <v>586</v>
      </c>
      <c r="B1421" t="s">
        <v>59</v>
      </c>
      <c r="C1421" s="82">
        <v>306599804</v>
      </c>
      <c r="D1421">
        <v>201604</v>
      </c>
      <c r="E1421" s="1">
        <v>42465</v>
      </c>
      <c r="F1421" s="1">
        <v>42492</v>
      </c>
      <c r="G1421" t="s">
        <v>726</v>
      </c>
      <c r="H1421" s="81">
        <v>11</v>
      </c>
      <c r="I1421" t="s">
        <v>47</v>
      </c>
      <c r="J1421" s="3">
        <v>110.31</v>
      </c>
    </row>
    <row r="1422" spans="1:10" x14ac:dyDescent="0.25">
      <c r="A1422" t="s">
        <v>586</v>
      </c>
      <c r="B1422" t="s">
        <v>59</v>
      </c>
      <c r="C1422" s="82">
        <v>306599804</v>
      </c>
      <c r="D1422">
        <v>201605</v>
      </c>
      <c r="E1422" s="1">
        <v>42493</v>
      </c>
      <c r="F1422" s="1">
        <v>42527</v>
      </c>
      <c r="G1422" t="s">
        <v>726</v>
      </c>
      <c r="H1422" s="81">
        <v>9</v>
      </c>
      <c r="I1422" t="s">
        <v>47</v>
      </c>
      <c r="J1422" s="3">
        <v>92.61</v>
      </c>
    </row>
    <row r="1423" spans="1:10" x14ac:dyDescent="0.25">
      <c r="A1423" t="s">
        <v>586</v>
      </c>
      <c r="B1423" t="s">
        <v>59</v>
      </c>
      <c r="C1423" s="82">
        <v>306599804</v>
      </c>
      <c r="D1423">
        <v>201606</v>
      </c>
      <c r="E1423" s="1">
        <v>42528</v>
      </c>
      <c r="F1423" s="1">
        <v>42551</v>
      </c>
      <c r="G1423" t="s">
        <v>726</v>
      </c>
      <c r="H1423" s="81">
        <v>21</v>
      </c>
      <c r="I1423" t="s">
        <v>47</v>
      </c>
      <c r="J1423" s="3">
        <v>229.21</v>
      </c>
    </row>
    <row r="1424" spans="1:10" x14ac:dyDescent="0.25">
      <c r="A1424" t="s">
        <v>588</v>
      </c>
      <c r="B1424" t="s">
        <v>59</v>
      </c>
      <c r="C1424" s="82">
        <v>306566837</v>
      </c>
      <c r="D1424">
        <v>201507</v>
      </c>
      <c r="E1424" s="1">
        <v>42167</v>
      </c>
      <c r="F1424" s="1">
        <v>42251</v>
      </c>
      <c r="G1424" t="s">
        <v>727</v>
      </c>
      <c r="H1424" s="81">
        <v>11</v>
      </c>
      <c r="I1424" t="s">
        <v>47</v>
      </c>
      <c r="J1424" s="3">
        <v>122.89</v>
      </c>
    </row>
    <row r="1425" spans="1:10" x14ac:dyDescent="0.25">
      <c r="A1425" t="s">
        <v>588</v>
      </c>
      <c r="B1425" t="s">
        <v>59</v>
      </c>
      <c r="C1425" s="82">
        <v>306566837</v>
      </c>
      <c r="D1425">
        <v>201510</v>
      </c>
      <c r="E1425" s="1">
        <v>42252</v>
      </c>
      <c r="F1425" s="1">
        <v>42342</v>
      </c>
      <c r="G1425" t="s">
        <v>727</v>
      </c>
      <c r="H1425" s="81">
        <v>2</v>
      </c>
      <c r="I1425" t="s">
        <v>47</v>
      </c>
      <c r="J1425" s="3">
        <v>49.45</v>
      </c>
    </row>
    <row r="1426" spans="1:10" x14ac:dyDescent="0.25">
      <c r="A1426" t="s">
        <v>588</v>
      </c>
      <c r="B1426" t="s">
        <v>59</v>
      </c>
      <c r="C1426" s="82">
        <v>306566837</v>
      </c>
      <c r="D1426">
        <v>201601</v>
      </c>
      <c r="E1426" s="1">
        <v>42343</v>
      </c>
      <c r="F1426" s="1">
        <v>42440</v>
      </c>
      <c r="G1426" t="s">
        <v>727</v>
      </c>
      <c r="H1426" s="81">
        <v>0</v>
      </c>
      <c r="I1426" t="s">
        <v>47</v>
      </c>
      <c r="J1426" s="3">
        <v>43.58</v>
      </c>
    </row>
    <row r="1427" spans="1:10" x14ac:dyDescent="0.25">
      <c r="A1427" t="s">
        <v>588</v>
      </c>
      <c r="B1427" t="s">
        <v>59</v>
      </c>
      <c r="C1427" s="82">
        <v>306566837</v>
      </c>
      <c r="D1427">
        <v>201604</v>
      </c>
      <c r="E1427" s="1">
        <v>42441</v>
      </c>
      <c r="F1427" s="1">
        <v>42530</v>
      </c>
      <c r="G1427" t="s">
        <v>727</v>
      </c>
      <c r="H1427" s="81">
        <v>2</v>
      </c>
      <c r="I1427" t="s">
        <v>47</v>
      </c>
      <c r="J1427" s="3">
        <v>50.09</v>
      </c>
    </row>
    <row r="1428" spans="1:10" x14ac:dyDescent="0.25">
      <c r="A1428" t="s">
        <v>497</v>
      </c>
      <c r="B1428" t="s">
        <v>59</v>
      </c>
      <c r="C1428" s="82">
        <v>300749413</v>
      </c>
      <c r="D1428">
        <v>201507</v>
      </c>
      <c r="E1428" s="1">
        <v>42186</v>
      </c>
      <c r="F1428" s="1">
        <v>42215</v>
      </c>
      <c r="G1428" t="s">
        <v>573</v>
      </c>
      <c r="H1428" s="81">
        <v>116</v>
      </c>
      <c r="I1428" t="s">
        <v>47</v>
      </c>
      <c r="J1428" s="3">
        <v>1338.94</v>
      </c>
    </row>
    <row r="1429" spans="1:10" x14ac:dyDescent="0.25">
      <c r="A1429" t="s">
        <v>497</v>
      </c>
      <c r="B1429" t="s">
        <v>59</v>
      </c>
      <c r="C1429" s="82">
        <v>300749413</v>
      </c>
      <c r="D1429">
        <v>201508</v>
      </c>
      <c r="E1429" s="1">
        <v>42216</v>
      </c>
      <c r="F1429" s="1">
        <v>42243</v>
      </c>
      <c r="G1429" t="s">
        <v>573</v>
      </c>
      <c r="H1429" s="81">
        <v>99</v>
      </c>
      <c r="I1429" t="s">
        <v>47</v>
      </c>
      <c r="J1429" s="3">
        <v>1161.4100000000001</v>
      </c>
    </row>
    <row r="1430" spans="1:10" x14ac:dyDescent="0.25">
      <c r="A1430" t="s">
        <v>497</v>
      </c>
      <c r="B1430" t="s">
        <v>59</v>
      </c>
      <c r="C1430" s="82">
        <v>300749413</v>
      </c>
      <c r="D1430">
        <v>201509</v>
      </c>
      <c r="E1430" s="1">
        <v>42244</v>
      </c>
      <c r="F1430" s="1">
        <v>42275</v>
      </c>
      <c r="G1430" t="s">
        <v>573</v>
      </c>
      <c r="H1430" s="81">
        <v>122</v>
      </c>
      <c r="I1430" t="s">
        <v>47</v>
      </c>
      <c r="J1430" s="3">
        <v>1454.66</v>
      </c>
    </row>
    <row r="1431" spans="1:10" x14ac:dyDescent="0.25">
      <c r="A1431" t="s">
        <v>497</v>
      </c>
      <c r="B1431" t="s">
        <v>59</v>
      </c>
      <c r="C1431" s="82">
        <v>300749413</v>
      </c>
      <c r="D1431">
        <v>201510</v>
      </c>
      <c r="E1431" s="1">
        <v>42276</v>
      </c>
      <c r="F1431" s="1">
        <v>42310</v>
      </c>
      <c r="G1431" t="s">
        <v>573</v>
      </c>
      <c r="H1431" s="81">
        <v>126</v>
      </c>
      <c r="I1431" t="s">
        <v>47</v>
      </c>
      <c r="J1431" s="3">
        <v>1505.66</v>
      </c>
    </row>
    <row r="1432" spans="1:10" x14ac:dyDescent="0.25">
      <c r="A1432" t="s">
        <v>497</v>
      </c>
      <c r="B1432" t="s">
        <v>59</v>
      </c>
      <c r="C1432" s="82">
        <v>300749413</v>
      </c>
      <c r="D1432">
        <v>201511</v>
      </c>
      <c r="E1432" s="1">
        <v>42311</v>
      </c>
      <c r="F1432" s="1">
        <v>42341</v>
      </c>
      <c r="G1432" t="s">
        <v>573</v>
      </c>
      <c r="H1432" s="81">
        <v>149</v>
      </c>
      <c r="I1432" t="s">
        <v>47</v>
      </c>
      <c r="J1432" s="3">
        <v>1798.91</v>
      </c>
    </row>
    <row r="1433" spans="1:10" x14ac:dyDescent="0.25">
      <c r="A1433" t="s">
        <v>497</v>
      </c>
      <c r="B1433" t="s">
        <v>59</v>
      </c>
      <c r="C1433" s="82">
        <v>300749413</v>
      </c>
      <c r="D1433">
        <v>201512</v>
      </c>
      <c r="E1433" s="1">
        <v>42342</v>
      </c>
      <c r="F1433" s="1">
        <v>42373</v>
      </c>
      <c r="G1433" t="s">
        <v>573</v>
      </c>
      <c r="H1433" s="81">
        <v>153</v>
      </c>
      <c r="I1433" t="s">
        <v>47</v>
      </c>
      <c r="J1433" s="3">
        <v>1622.71</v>
      </c>
    </row>
    <row r="1434" spans="1:10" x14ac:dyDescent="0.25">
      <c r="A1434" t="s">
        <v>497</v>
      </c>
      <c r="B1434" t="s">
        <v>59</v>
      </c>
      <c r="C1434" s="82">
        <v>300749413</v>
      </c>
      <c r="D1434">
        <v>201601</v>
      </c>
      <c r="E1434" s="1">
        <v>42374</v>
      </c>
      <c r="F1434" s="1">
        <v>42404</v>
      </c>
      <c r="G1434" t="s">
        <v>573</v>
      </c>
      <c r="H1434" s="81">
        <v>171</v>
      </c>
      <c r="I1434" t="s">
        <v>47</v>
      </c>
      <c r="J1434" s="3">
        <v>1788.31</v>
      </c>
    </row>
    <row r="1435" spans="1:10" x14ac:dyDescent="0.25">
      <c r="A1435" t="s">
        <v>497</v>
      </c>
      <c r="B1435" t="s">
        <v>59</v>
      </c>
      <c r="C1435" s="82">
        <v>300749413</v>
      </c>
      <c r="D1435">
        <v>201602</v>
      </c>
      <c r="E1435" s="1">
        <v>42405</v>
      </c>
      <c r="F1435" s="1">
        <v>42433</v>
      </c>
      <c r="G1435" t="s">
        <v>573</v>
      </c>
      <c r="H1435" s="81">
        <v>210</v>
      </c>
      <c r="I1435" t="s">
        <v>47</v>
      </c>
      <c r="J1435" s="3">
        <v>2147.11</v>
      </c>
    </row>
    <row r="1436" spans="1:10" x14ac:dyDescent="0.25">
      <c r="A1436" t="s">
        <v>497</v>
      </c>
      <c r="B1436" t="s">
        <v>59</v>
      </c>
      <c r="C1436" s="82">
        <v>300749413</v>
      </c>
      <c r="D1436">
        <v>201603</v>
      </c>
      <c r="E1436" s="1">
        <v>42434</v>
      </c>
      <c r="F1436" s="1">
        <v>42461</v>
      </c>
      <c r="G1436" t="s">
        <v>573</v>
      </c>
      <c r="H1436" s="81">
        <v>236</v>
      </c>
      <c r="I1436" t="s">
        <v>47</v>
      </c>
      <c r="J1436" s="3">
        <v>2419.19</v>
      </c>
    </row>
    <row r="1437" spans="1:10" x14ac:dyDescent="0.25">
      <c r="A1437" t="s">
        <v>497</v>
      </c>
      <c r="B1437" t="s">
        <v>59</v>
      </c>
      <c r="C1437" s="82">
        <v>300749413</v>
      </c>
      <c r="D1437">
        <v>201604</v>
      </c>
      <c r="E1437" s="1">
        <v>42462</v>
      </c>
      <c r="F1437" s="1">
        <v>42495</v>
      </c>
      <c r="G1437" t="s">
        <v>573</v>
      </c>
      <c r="H1437" s="81">
        <v>190</v>
      </c>
      <c r="I1437" t="s">
        <v>47</v>
      </c>
      <c r="J1437" s="3">
        <v>1990.01</v>
      </c>
    </row>
    <row r="1438" spans="1:10" x14ac:dyDescent="0.25">
      <c r="A1438" t="s">
        <v>497</v>
      </c>
      <c r="B1438" t="s">
        <v>59</v>
      </c>
      <c r="C1438" s="82">
        <v>300749413</v>
      </c>
      <c r="D1438">
        <v>201605</v>
      </c>
      <c r="E1438" s="1">
        <v>42496</v>
      </c>
      <c r="F1438" s="1">
        <v>42521</v>
      </c>
      <c r="G1438" t="s">
        <v>573</v>
      </c>
      <c r="H1438" s="81">
        <v>153</v>
      </c>
      <c r="I1438" t="s">
        <v>47</v>
      </c>
      <c r="J1438" s="3">
        <v>1644.8</v>
      </c>
    </row>
    <row r="1439" spans="1:10" x14ac:dyDescent="0.25">
      <c r="A1439" t="s">
        <v>497</v>
      </c>
      <c r="B1439" t="s">
        <v>59</v>
      </c>
      <c r="C1439" s="82">
        <v>300749413</v>
      </c>
      <c r="D1439">
        <v>201606</v>
      </c>
      <c r="E1439" s="1">
        <v>42522</v>
      </c>
      <c r="F1439" s="1">
        <v>42550</v>
      </c>
      <c r="G1439" t="s">
        <v>573</v>
      </c>
      <c r="H1439" s="81">
        <v>168</v>
      </c>
      <c r="I1439" t="s">
        <v>47</v>
      </c>
      <c r="J1439" s="3">
        <v>1784.75</v>
      </c>
    </row>
    <row r="1440" spans="1:10" x14ac:dyDescent="0.25">
      <c r="A1440" t="s">
        <v>594</v>
      </c>
      <c r="B1440" t="s">
        <v>59</v>
      </c>
      <c r="C1440" s="82">
        <v>301863809</v>
      </c>
      <c r="D1440">
        <v>201507</v>
      </c>
      <c r="E1440" s="1">
        <v>42186</v>
      </c>
      <c r="F1440" s="1">
        <v>42214</v>
      </c>
      <c r="G1440" t="s">
        <v>723</v>
      </c>
      <c r="H1440" s="81">
        <v>3</v>
      </c>
      <c r="I1440" t="s">
        <v>47</v>
      </c>
      <c r="J1440" s="3">
        <v>62.49</v>
      </c>
    </row>
    <row r="1441" spans="1:10" x14ac:dyDescent="0.25">
      <c r="A1441" t="s">
        <v>594</v>
      </c>
      <c r="B1441" t="s">
        <v>59</v>
      </c>
      <c r="C1441" s="82">
        <v>301863809</v>
      </c>
      <c r="D1441">
        <v>201508</v>
      </c>
      <c r="E1441" s="1">
        <v>42215</v>
      </c>
      <c r="F1441" s="1">
        <v>42243</v>
      </c>
      <c r="G1441" t="s">
        <v>723</v>
      </c>
      <c r="H1441" s="81">
        <v>3</v>
      </c>
      <c r="I1441" t="s">
        <v>47</v>
      </c>
      <c r="J1441" s="3">
        <v>69.73</v>
      </c>
    </row>
    <row r="1442" spans="1:10" x14ac:dyDescent="0.25">
      <c r="A1442" t="s">
        <v>594</v>
      </c>
      <c r="B1442" t="s">
        <v>59</v>
      </c>
      <c r="C1442" s="82">
        <v>301863809</v>
      </c>
      <c r="D1442">
        <v>201509</v>
      </c>
      <c r="E1442" s="1">
        <v>42244</v>
      </c>
      <c r="F1442" s="1">
        <v>42275</v>
      </c>
      <c r="G1442" t="s">
        <v>723</v>
      </c>
      <c r="H1442" s="81">
        <v>4</v>
      </c>
      <c r="I1442" t="s">
        <v>47</v>
      </c>
      <c r="J1442" s="3">
        <v>78.930000000000007</v>
      </c>
    </row>
    <row r="1443" spans="1:10" x14ac:dyDescent="0.25">
      <c r="A1443" t="s">
        <v>594</v>
      </c>
      <c r="B1443" t="s">
        <v>59</v>
      </c>
      <c r="C1443" s="82">
        <v>301863809</v>
      </c>
      <c r="D1443">
        <v>201510</v>
      </c>
      <c r="E1443" s="1">
        <v>42276</v>
      </c>
      <c r="F1443" s="1">
        <v>42310</v>
      </c>
      <c r="G1443" t="s">
        <v>723</v>
      </c>
      <c r="H1443" s="81">
        <v>3</v>
      </c>
      <c r="I1443" t="s">
        <v>47</v>
      </c>
      <c r="J1443" s="3">
        <v>69.73</v>
      </c>
    </row>
    <row r="1444" spans="1:10" x14ac:dyDescent="0.25">
      <c r="A1444" t="s">
        <v>594</v>
      </c>
      <c r="B1444" t="s">
        <v>59</v>
      </c>
      <c r="C1444" s="82">
        <v>301863809</v>
      </c>
      <c r="D1444">
        <v>201511</v>
      </c>
      <c r="E1444" s="1">
        <v>42311</v>
      </c>
      <c r="F1444" s="1">
        <v>42341</v>
      </c>
      <c r="G1444" t="s">
        <v>723</v>
      </c>
      <c r="H1444" s="81">
        <v>2</v>
      </c>
      <c r="I1444" t="s">
        <v>47</v>
      </c>
      <c r="J1444" s="3">
        <v>60.53</v>
      </c>
    </row>
    <row r="1445" spans="1:10" x14ac:dyDescent="0.25">
      <c r="A1445" t="s">
        <v>594</v>
      </c>
      <c r="B1445" t="s">
        <v>59</v>
      </c>
      <c r="C1445" s="82">
        <v>301863809</v>
      </c>
      <c r="D1445">
        <v>201512</v>
      </c>
      <c r="E1445" s="1">
        <v>42342</v>
      </c>
      <c r="F1445" s="1">
        <v>42369</v>
      </c>
      <c r="G1445" t="s">
        <v>723</v>
      </c>
      <c r="H1445" s="81">
        <v>2</v>
      </c>
      <c r="I1445" t="s">
        <v>47</v>
      </c>
      <c r="J1445" s="3">
        <v>60.53</v>
      </c>
    </row>
    <row r="1446" spans="1:10" x14ac:dyDescent="0.25">
      <c r="A1446" t="s">
        <v>594</v>
      </c>
      <c r="B1446" t="s">
        <v>59</v>
      </c>
      <c r="C1446" s="82">
        <v>301863809</v>
      </c>
      <c r="D1446">
        <v>201601</v>
      </c>
      <c r="E1446" s="1">
        <v>42370</v>
      </c>
      <c r="F1446" s="1">
        <v>42402</v>
      </c>
      <c r="G1446" t="s">
        <v>723</v>
      </c>
      <c r="H1446" s="81">
        <v>2</v>
      </c>
      <c r="I1446" t="s">
        <v>47</v>
      </c>
      <c r="J1446" s="3">
        <v>60.53</v>
      </c>
    </row>
    <row r="1447" spans="1:10" x14ac:dyDescent="0.25">
      <c r="A1447" t="s">
        <v>594</v>
      </c>
      <c r="B1447" t="s">
        <v>59</v>
      </c>
      <c r="C1447" s="82">
        <v>301863809</v>
      </c>
      <c r="D1447">
        <v>201602</v>
      </c>
      <c r="E1447" s="1">
        <v>42403</v>
      </c>
      <c r="F1447" s="1">
        <v>42433</v>
      </c>
      <c r="G1447" t="s">
        <v>723</v>
      </c>
      <c r="H1447" s="81">
        <v>3</v>
      </c>
      <c r="I1447" t="s">
        <v>47</v>
      </c>
      <c r="J1447" s="3">
        <v>69.73</v>
      </c>
    </row>
    <row r="1448" spans="1:10" x14ac:dyDescent="0.25">
      <c r="A1448" t="s">
        <v>594</v>
      </c>
      <c r="B1448" t="s">
        <v>59</v>
      </c>
      <c r="C1448" s="82">
        <v>301863809</v>
      </c>
      <c r="D1448">
        <v>201603</v>
      </c>
      <c r="E1448" s="1">
        <v>42434</v>
      </c>
      <c r="F1448" s="1">
        <v>42461</v>
      </c>
      <c r="G1448" t="s">
        <v>723</v>
      </c>
      <c r="H1448" s="81">
        <v>4</v>
      </c>
      <c r="I1448" t="s">
        <v>47</v>
      </c>
      <c r="J1448" s="3">
        <v>79.92</v>
      </c>
    </row>
    <row r="1449" spans="1:10" x14ac:dyDescent="0.25">
      <c r="A1449" t="s">
        <v>594</v>
      </c>
      <c r="B1449" t="s">
        <v>59</v>
      </c>
      <c r="C1449" s="82">
        <v>301863809</v>
      </c>
      <c r="D1449">
        <v>201604</v>
      </c>
      <c r="E1449" s="1">
        <v>42462</v>
      </c>
      <c r="F1449" s="1">
        <v>42493</v>
      </c>
      <c r="G1449" t="s">
        <v>723</v>
      </c>
      <c r="H1449" s="81">
        <v>3</v>
      </c>
      <c r="I1449" t="s">
        <v>47</v>
      </c>
      <c r="J1449" s="3">
        <v>70.59</v>
      </c>
    </row>
    <row r="1450" spans="1:10" x14ac:dyDescent="0.25">
      <c r="A1450" t="s">
        <v>594</v>
      </c>
      <c r="B1450" t="s">
        <v>59</v>
      </c>
      <c r="C1450" s="82">
        <v>301863809</v>
      </c>
      <c r="D1450">
        <v>201605</v>
      </c>
      <c r="E1450" s="1">
        <v>42494</v>
      </c>
      <c r="F1450" s="1">
        <v>42521</v>
      </c>
      <c r="G1450" t="s">
        <v>723</v>
      </c>
      <c r="H1450" s="81">
        <v>2</v>
      </c>
      <c r="I1450" t="s">
        <v>47</v>
      </c>
      <c r="J1450" s="3">
        <v>61.26</v>
      </c>
    </row>
    <row r="1451" spans="1:10" x14ac:dyDescent="0.25">
      <c r="A1451" t="s">
        <v>594</v>
      </c>
      <c r="B1451" t="s">
        <v>59</v>
      </c>
      <c r="C1451" s="82">
        <v>301863809</v>
      </c>
      <c r="D1451">
        <v>201606</v>
      </c>
      <c r="E1451" s="1">
        <v>42522</v>
      </c>
      <c r="F1451" s="1">
        <v>42550</v>
      </c>
      <c r="G1451" t="s">
        <v>723</v>
      </c>
      <c r="H1451" s="81">
        <v>3</v>
      </c>
      <c r="I1451" t="s">
        <v>47</v>
      </c>
      <c r="J1451" s="3">
        <v>70.59</v>
      </c>
    </row>
    <row r="1452" spans="1:10" x14ac:dyDescent="0.25">
      <c r="A1452" t="s">
        <v>663</v>
      </c>
      <c r="B1452" t="s">
        <v>59</v>
      </c>
      <c r="C1452" s="82">
        <v>301881231</v>
      </c>
      <c r="D1452">
        <v>201507</v>
      </c>
      <c r="E1452" s="1">
        <v>42186</v>
      </c>
      <c r="F1452" s="1">
        <v>42215</v>
      </c>
      <c r="G1452" t="s">
        <v>724</v>
      </c>
      <c r="H1452" s="81">
        <v>31</v>
      </c>
      <c r="I1452" t="s">
        <v>47</v>
      </c>
      <c r="J1452" s="3">
        <v>457.89</v>
      </c>
    </row>
    <row r="1453" spans="1:10" x14ac:dyDescent="0.25">
      <c r="A1453" t="s">
        <v>663</v>
      </c>
      <c r="B1453" t="s">
        <v>59</v>
      </c>
      <c r="C1453" s="82">
        <v>301881231</v>
      </c>
      <c r="D1453">
        <v>201508</v>
      </c>
      <c r="E1453" s="1">
        <v>42216</v>
      </c>
      <c r="F1453" s="1">
        <v>42244</v>
      </c>
      <c r="G1453" t="s">
        <v>724</v>
      </c>
      <c r="H1453" s="81">
        <v>23</v>
      </c>
      <c r="I1453" t="s">
        <v>47</v>
      </c>
      <c r="J1453" s="3">
        <v>420.96</v>
      </c>
    </row>
    <row r="1454" spans="1:10" x14ac:dyDescent="0.25">
      <c r="A1454" t="s">
        <v>663</v>
      </c>
      <c r="B1454" t="s">
        <v>59</v>
      </c>
      <c r="C1454" s="82">
        <v>301881231</v>
      </c>
      <c r="D1454">
        <v>201509</v>
      </c>
      <c r="E1454" s="1">
        <v>42245</v>
      </c>
      <c r="F1454" s="1">
        <v>42275</v>
      </c>
      <c r="G1454" t="s">
        <v>724</v>
      </c>
      <c r="H1454" s="81">
        <v>60</v>
      </c>
      <c r="I1454" t="s">
        <v>47</v>
      </c>
      <c r="J1454" s="3">
        <v>764.91</v>
      </c>
    </row>
    <row r="1455" spans="1:10" x14ac:dyDescent="0.25">
      <c r="A1455" t="s">
        <v>663</v>
      </c>
      <c r="B1455" t="s">
        <v>59</v>
      </c>
      <c r="C1455" s="82">
        <v>301881231</v>
      </c>
      <c r="D1455">
        <v>201510</v>
      </c>
      <c r="E1455" s="1">
        <v>42276</v>
      </c>
      <c r="F1455" s="1">
        <v>42310</v>
      </c>
      <c r="G1455" t="s">
        <v>724</v>
      </c>
      <c r="H1455" s="81">
        <v>71</v>
      </c>
      <c r="I1455" t="s">
        <v>47</v>
      </c>
      <c r="J1455" s="3">
        <v>905.16</v>
      </c>
    </row>
    <row r="1456" spans="1:10" x14ac:dyDescent="0.25">
      <c r="A1456" t="s">
        <v>663</v>
      </c>
      <c r="B1456" t="s">
        <v>59</v>
      </c>
      <c r="C1456" s="82">
        <v>301881231</v>
      </c>
      <c r="D1456">
        <v>201511</v>
      </c>
      <c r="E1456" s="1">
        <v>42311</v>
      </c>
      <c r="F1456" s="1">
        <v>42341</v>
      </c>
      <c r="G1456" t="s">
        <v>724</v>
      </c>
      <c r="H1456" s="81">
        <v>53</v>
      </c>
      <c r="I1456" t="s">
        <v>47</v>
      </c>
      <c r="J1456" s="3">
        <v>696.96</v>
      </c>
    </row>
    <row r="1457" spans="1:10" x14ac:dyDescent="0.25">
      <c r="A1457" t="s">
        <v>663</v>
      </c>
      <c r="B1457" t="s">
        <v>59</v>
      </c>
      <c r="C1457" s="82">
        <v>301881231</v>
      </c>
      <c r="D1457">
        <v>201512</v>
      </c>
      <c r="E1457" s="1">
        <v>42342</v>
      </c>
      <c r="F1457" s="1">
        <v>42373</v>
      </c>
      <c r="G1457" t="s">
        <v>724</v>
      </c>
      <c r="H1457" s="81">
        <v>35</v>
      </c>
      <c r="I1457" t="s">
        <v>47</v>
      </c>
      <c r="J1457" s="3">
        <v>531.36</v>
      </c>
    </row>
    <row r="1458" spans="1:10" x14ac:dyDescent="0.25">
      <c r="A1458" t="s">
        <v>663</v>
      </c>
      <c r="B1458" t="s">
        <v>59</v>
      </c>
      <c r="C1458" s="82">
        <v>301881231</v>
      </c>
      <c r="D1458">
        <v>201601</v>
      </c>
      <c r="E1458" s="1">
        <v>42374</v>
      </c>
      <c r="F1458" s="1">
        <v>42404</v>
      </c>
      <c r="G1458" t="s">
        <v>724</v>
      </c>
      <c r="H1458" s="81">
        <v>29</v>
      </c>
      <c r="I1458" t="s">
        <v>47</v>
      </c>
      <c r="J1458" s="3">
        <v>476.16</v>
      </c>
    </row>
    <row r="1459" spans="1:10" x14ac:dyDescent="0.25">
      <c r="A1459" t="s">
        <v>663</v>
      </c>
      <c r="B1459" t="s">
        <v>59</v>
      </c>
      <c r="C1459" s="82">
        <v>301881231</v>
      </c>
      <c r="D1459">
        <v>201602</v>
      </c>
      <c r="E1459" s="1">
        <v>42405</v>
      </c>
      <c r="F1459" s="1">
        <v>42436</v>
      </c>
      <c r="G1459" t="s">
        <v>724</v>
      </c>
      <c r="H1459" s="81">
        <v>62</v>
      </c>
      <c r="I1459" t="s">
        <v>47</v>
      </c>
      <c r="J1459" s="3">
        <v>779.76</v>
      </c>
    </row>
    <row r="1460" spans="1:10" x14ac:dyDescent="0.25">
      <c r="A1460" t="s">
        <v>663</v>
      </c>
      <c r="B1460" t="s">
        <v>59</v>
      </c>
      <c r="C1460" s="82">
        <v>301881231</v>
      </c>
      <c r="D1460">
        <v>201603</v>
      </c>
      <c r="E1460" s="1">
        <v>42437</v>
      </c>
      <c r="F1460" s="1">
        <v>42464</v>
      </c>
      <c r="G1460" t="s">
        <v>724</v>
      </c>
      <c r="H1460" s="81">
        <v>45</v>
      </c>
      <c r="I1460" t="s">
        <v>47</v>
      </c>
      <c r="J1460" s="3">
        <v>631.36</v>
      </c>
    </row>
    <row r="1461" spans="1:10" x14ac:dyDescent="0.25">
      <c r="A1461" t="s">
        <v>663</v>
      </c>
      <c r="B1461" t="s">
        <v>59</v>
      </c>
      <c r="C1461" s="82">
        <v>301881231</v>
      </c>
      <c r="D1461">
        <v>201604</v>
      </c>
      <c r="E1461" s="1">
        <v>42465</v>
      </c>
      <c r="F1461" s="1">
        <v>42494</v>
      </c>
      <c r="G1461" t="s">
        <v>724</v>
      </c>
      <c r="H1461" s="81">
        <v>64</v>
      </c>
      <c r="I1461" t="s">
        <v>47</v>
      </c>
      <c r="J1461" s="3">
        <v>808.63</v>
      </c>
    </row>
    <row r="1462" spans="1:10" x14ac:dyDescent="0.25">
      <c r="A1462" t="s">
        <v>663</v>
      </c>
      <c r="B1462" t="s">
        <v>59</v>
      </c>
      <c r="C1462" s="82">
        <v>301881231</v>
      </c>
      <c r="D1462">
        <v>201605</v>
      </c>
      <c r="E1462" s="1">
        <v>42495</v>
      </c>
      <c r="F1462" s="1">
        <v>42522</v>
      </c>
      <c r="G1462" t="s">
        <v>724</v>
      </c>
      <c r="H1462" s="81">
        <v>36</v>
      </c>
      <c r="I1462" t="s">
        <v>47</v>
      </c>
      <c r="J1462" s="3">
        <v>547.39</v>
      </c>
    </row>
    <row r="1463" spans="1:10" x14ac:dyDescent="0.25">
      <c r="A1463" t="s">
        <v>663</v>
      </c>
      <c r="B1463" t="s">
        <v>59</v>
      </c>
      <c r="C1463" s="82">
        <v>301881231</v>
      </c>
      <c r="D1463">
        <v>201606</v>
      </c>
      <c r="E1463" s="1">
        <v>42523</v>
      </c>
      <c r="F1463" s="1">
        <v>42550</v>
      </c>
      <c r="G1463" t="s">
        <v>724</v>
      </c>
      <c r="H1463" s="81">
        <v>29</v>
      </c>
      <c r="I1463" t="s">
        <v>47</v>
      </c>
      <c r="J1463" s="3">
        <v>482.08</v>
      </c>
    </row>
    <row r="1464" spans="1:10" x14ac:dyDescent="0.25">
      <c r="H1464" s="96">
        <f>SUM(H1067:H1463)</f>
        <v>19934.27</v>
      </c>
      <c r="I1464" t="s">
        <v>47</v>
      </c>
      <c r="J1464" s="95">
        <f>SUM(J1067:J1463)</f>
        <v>235214.95000000007</v>
      </c>
    </row>
    <row r="1465" spans="1:10" ht="15.75" thickBot="1" x14ac:dyDescent="0.3">
      <c r="H1465" s="97">
        <v>-86</v>
      </c>
      <c r="I1465" t="s">
        <v>47</v>
      </c>
      <c r="J1465" s="98">
        <v>-798.28</v>
      </c>
    </row>
    <row r="1466" spans="1:10" ht="15.75" thickBot="1" x14ac:dyDescent="0.3">
      <c r="H1466" s="91">
        <f>SUM(H1464:H1465)</f>
        <v>19848.27</v>
      </c>
      <c r="J1466" s="6">
        <f>SUM(J1464:J1465)</f>
        <v>234416.67000000007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L1674"/>
  <sheetViews>
    <sheetView tabSelected="1" topLeftCell="A1637" workbookViewId="0">
      <selection activeCell="L1665" sqref="L1665"/>
    </sheetView>
  </sheetViews>
  <sheetFormatPr defaultColWidth="8.85546875" defaultRowHeight="15" x14ac:dyDescent="0.25"/>
  <cols>
    <col min="1" max="1" width="32.28515625" bestFit="1" customWidth="1"/>
    <col min="2" max="2" width="14.42578125" bestFit="1" customWidth="1"/>
    <col min="3" max="3" width="31.140625" style="82" bestFit="1" customWidth="1"/>
    <col min="4" max="4" width="7" bestFit="1" customWidth="1"/>
    <col min="5" max="6" width="10.7109375" bestFit="1" customWidth="1"/>
    <col min="7" max="7" width="34.42578125" bestFit="1" customWidth="1"/>
    <col min="8" max="8" width="10.42578125" customWidth="1"/>
    <col min="9" max="9" width="7.85546875" bestFit="1" customWidth="1"/>
    <col min="10" max="10" width="13.7109375" customWidth="1"/>
    <col min="14" max="14" width="12" customWidth="1"/>
    <col min="16" max="16" width="12.28515625" customWidth="1"/>
  </cols>
  <sheetData>
    <row r="1" spans="1:10" x14ac:dyDescent="0.25">
      <c r="A1" t="s">
        <v>747</v>
      </c>
      <c r="B1" t="s">
        <v>748</v>
      </c>
      <c r="E1" t="s">
        <v>745</v>
      </c>
      <c r="F1" t="s">
        <v>746</v>
      </c>
      <c r="H1" t="s">
        <v>751</v>
      </c>
      <c r="I1" t="s">
        <v>750</v>
      </c>
      <c r="J1" t="s">
        <v>749</v>
      </c>
    </row>
    <row r="2" spans="1:10" x14ac:dyDescent="0.25">
      <c r="A2" t="s">
        <v>292</v>
      </c>
      <c r="B2" t="s">
        <v>5</v>
      </c>
      <c r="C2" s="82" t="s">
        <v>293</v>
      </c>
      <c r="D2">
        <v>201507</v>
      </c>
      <c r="E2" s="1">
        <v>42185</v>
      </c>
      <c r="F2" s="1">
        <v>42216</v>
      </c>
      <c r="G2" t="s">
        <v>293</v>
      </c>
      <c r="H2" s="81">
        <v>23806</v>
      </c>
      <c r="I2" t="s">
        <v>6</v>
      </c>
      <c r="J2" s="3">
        <v>1396.41</v>
      </c>
    </row>
    <row r="3" spans="1:10" x14ac:dyDescent="0.25">
      <c r="A3" t="s">
        <v>292</v>
      </c>
      <c r="B3" t="s">
        <v>5</v>
      </c>
      <c r="C3" s="82" t="s">
        <v>293</v>
      </c>
      <c r="D3">
        <v>201508</v>
      </c>
      <c r="E3" s="1">
        <v>42216</v>
      </c>
      <c r="F3" s="1">
        <v>42243</v>
      </c>
      <c r="G3" t="s">
        <v>293</v>
      </c>
      <c r="H3" s="81">
        <v>18185</v>
      </c>
      <c r="I3" t="s">
        <v>6</v>
      </c>
      <c r="J3" s="3">
        <v>1102.72</v>
      </c>
    </row>
    <row r="4" spans="1:10" x14ac:dyDescent="0.25">
      <c r="A4" t="s">
        <v>292</v>
      </c>
      <c r="B4" t="s">
        <v>5</v>
      </c>
      <c r="C4" s="82" t="s">
        <v>293</v>
      </c>
      <c r="D4">
        <v>201509</v>
      </c>
      <c r="E4" s="1">
        <v>42243</v>
      </c>
      <c r="F4" s="1">
        <v>42276</v>
      </c>
      <c r="G4" t="s">
        <v>293</v>
      </c>
      <c r="H4" s="81">
        <v>30485</v>
      </c>
      <c r="I4" t="s">
        <v>6</v>
      </c>
      <c r="J4" s="3">
        <v>1783.52</v>
      </c>
    </row>
    <row r="5" spans="1:10" x14ac:dyDescent="0.25">
      <c r="A5" t="s">
        <v>292</v>
      </c>
      <c r="B5" t="s">
        <v>5</v>
      </c>
      <c r="C5" s="82" t="s">
        <v>293</v>
      </c>
      <c r="D5">
        <v>201510</v>
      </c>
      <c r="E5" s="1">
        <v>42276</v>
      </c>
      <c r="F5" s="1">
        <v>42305</v>
      </c>
      <c r="G5" t="s">
        <v>293</v>
      </c>
      <c r="H5" s="81">
        <v>23579</v>
      </c>
      <c r="I5" t="s">
        <v>6</v>
      </c>
      <c r="J5" s="3">
        <v>1409.9</v>
      </c>
    </row>
    <row r="6" spans="1:10" x14ac:dyDescent="0.25">
      <c r="A6" t="s">
        <v>292</v>
      </c>
      <c r="B6" t="s">
        <v>5</v>
      </c>
      <c r="C6" s="82" t="s">
        <v>293</v>
      </c>
      <c r="D6">
        <v>201511</v>
      </c>
      <c r="E6" s="1">
        <v>42305</v>
      </c>
      <c r="F6" s="1">
        <v>42339</v>
      </c>
      <c r="G6" t="s">
        <v>293</v>
      </c>
      <c r="H6" s="81">
        <v>24257</v>
      </c>
      <c r="I6" t="s">
        <v>6</v>
      </c>
      <c r="J6" s="3">
        <v>1467.19</v>
      </c>
    </row>
    <row r="7" spans="1:10" x14ac:dyDescent="0.25">
      <c r="A7" t="s">
        <v>292</v>
      </c>
      <c r="B7" t="s">
        <v>5</v>
      </c>
      <c r="C7" s="82" t="s">
        <v>293</v>
      </c>
      <c r="D7">
        <v>201512</v>
      </c>
      <c r="E7" s="1">
        <v>42339</v>
      </c>
      <c r="F7" s="1">
        <v>42369</v>
      </c>
      <c r="G7" t="s">
        <v>293</v>
      </c>
      <c r="H7" s="81">
        <v>19619</v>
      </c>
      <c r="I7" t="s">
        <v>6</v>
      </c>
      <c r="J7" s="3">
        <v>1239.3800000000001</v>
      </c>
    </row>
    <row r="8" spans="1:10" x14ac:dyDescent="0.25">
      <c r="A8" t="s">
        <v>292</v>
      </c>
      <c r="B8" t="s">
        <v>5</v>
      </c>
      <c r="C8" s="82" t="s">
        <v>293</v>
      </c>
      <c r="D8">
        <v>201601</v>
      </c>
      <c r="E8" s="1">
        <v>42369</v>
      </c>
      <c r="F8" s="1">
        <v>42401</v>
      </c>
      <c r="G8" t="s">
        <v>293</v>
      </c>
      <c r="H8" s="81">
        <v>21194</v>
      </c>
      <c r="I8" t="s">
        <v>6</v>
      </c>
      <c r="J8" s="3">
        <v>1325.83</v>
      </c>
    </row>
    <row r="9" spans="1:10" x14ac:dyDescent="0.25">
      <c r="A9" t="s">
        <v>292</v>
      </c>
      <c r="B9" t="s">
        <v>5</v>
      </c>
      <c r="C9" s="82" t="s">
        <v>293</v>
      </c>
      <c r="D9">
        <v>201602</v>
      </c>
      <c r="E9" s="1">
        <v>42401</v>
      </c>
      <c r="F9" s="1">
        <v>42430</v>
      </c>
      <c r="G9" t="s">
        <v>293</v>
      </c>
      <c r="H9" s="81">
        <v>21697</v>
      </c>
      <c r="I9" t="s">
        <v>6</v>
      </c>
      <c r="J9" s="3">
        <v>1324.14</v>
      </c>
    </row>
    <row r="10" spans="1:10" x14ac:dyDescent="0.25">
      <c r="A10" t="s">
        <v>292</v>
      </c>
      <c r="B10" t="s">
        <v>5</v>
      </c>
      <c r="C10" s="82" t="s">
        <v>293</v>
      </c>
      <c r="D10">
        <v>201603</v>
      </c>
      <c r="E10" s="1">
        <v>42430</v>
      </c>
      <c r="F10" s="1">
        <v>42460</v>
      </c>
      <c r="G10" t="s">
        <v>293</v>
      </c>
      <c r="H10" s="81">
        <v>20287</v>
      </c>
      <c r="I10" t="s">
        <v>6</v>
      </c>
      <c r="J10" s="3">
        <v>1302.4000000000001</v>
      </c>
    </row>
    <row r="11" spans="1:10" x14ac:dyDescent="0.25">
      <c r="A11" t="s">
        <v>292</v>
      </c>
      <c r="B11" t="s">
        <v>5</v>
      </c>
      <c r="C11" s="82" t="s">
        <v>293</v>
      </c>
      <c r="D11">
        <v>201604</v>
      </c>
      <c r="E11" s="1">
        <v>42460</v>
      </c>
      <c r="F11" s="1">
        <v>42489</v>
      </c>
      <c r="G11" t="s">
        <v>293</v>
      </c>
      <c r="H11" s="81">
        <v>22117</v>
      </c>
      <c r="I11" t="s">
        <v>6</v>
      </c>
      <c r="J11" s="3">
        <v>1332.55</v>
      </c>
    </row>
    <row r="12" spans="1:10" x14ac:dyDescent="0.25">
      <c r="A12" t="s">
        <v>292</v>
      </c>
      <c r="B12" t="s">
        <v>5</v>
      </c>
      <c r="C12" s="82" t="s">
        <v>293</v>
      </c>
      <c r="D12">
        <v>201605</v>
      </c>
      <c r="E12" s="1">
        <v>42489</v>
      </c>
      <c r="F12" s="1">
        <v>42521</v>
      </c>
      <c r="G12" t="s">
        <v>293</v>
      </c>
      <c r="H12" s="81">
        <v>20714</v>
      </c>
      <c r="I12" t="s">
        <v>6</v>
      </c>
      <c r="J12" s="3">
        <v>1288.3900000000001</v>
      </c>
    </row>
    <row r="13" spans="1:10" x14ac:dyDescent="0.25">
      <c r="A13" t="s">
        <v>292</v>
      </c>
      <c r="B13" t="s">
        <v>5</v>
      </c>
      <c r="C13" s="82" t="s">
        <v>293</v>
      </c>
      <c r="D13">
        <v>201606</v>
      </c>
      <c r="E13" s="1">
        <v>42521</v>
      </c>
      <c r="F13" s="1">
        <v>42550</v>
      </c>
      <c r="G13" t="s">
        <v>293</v>
      </c>
      <c r="H13" s="81">
        <v>16624</v>
      </c>
      <c r="I13" t="s">
        <v>6</v>
      </c>
      <c r="J13" s="3">
        <v>997.97</v>
      </c>
    </row>
    <row r="14" spans="1:10" x14ac:dyDescent="0.25">
      <c r="A14" t="s">
        <v>294</v>
      </c>
      <c r="B14" t="s">
        <v>5</v>
      </c>
      <c r="C14" s="82" t="s">
        <v>295</v>
      </c>
      <c r="D14">
        <v>201507</v>
      </c>
      <c r="E14" s="1">
        <v>42185</v>
      </c>
      <c r="F14" s="1">
        <v>42216</v>
      </c>
      <c r="G14" t="s">
        <v>295</v>
      </c>
      <c r="H14" s="81">
        <v>11400</v>
      </c>
      <c r="I14" t="s">
        <v>6</v>
      </c>
      <c r="J14" s="3">
        <v>668.7</v>
      </c>
    </row>
    <row r="15" spans="1:10" x14ac:dyDescent="0.25">
      <c r="A15" t="s">
        <v>294</v>
      </c>
      <c r="B15" t="s">
        <v>5</v>
      </c>
      <c r="C15" s="82" t="s">
        <v>295</v>
      </c>
      <c r="D15">
        <v>201508</v>
      </c>
      <c r="E15" s="1">
        <v>42216</v>
      </c>
      <c r="F15" s="1">
        <v>42243</v>
      </c>
      <c r="G15" t="s">
        <v>295</v>
      </c>
      <c r="H15" s="81">
        <v>9440</v>
      </c>
      <c r="I15" t="s">
        <v>6</v>
      </c>
      <c r="J15" s="3">
        <v>572.42999999999995</v>
      </c>
    </row>
    <row r="16" spans="1:10" x14ac:dyDescent="0.25">
      <c r="A16" t="s">
        <v>294</v>
      </c>
      <c r="B16" t="s">
        <v>5</v>
      </c>
      <c r="C16" s="82" t="s">
        <v>295</v>
      </c>
      <c r="D16">
        <v>201509</v>
      </c>
      <c r="E16" s="1">
        <v>42243</v>
      </c>
      <c r="F16" s="1">
        <v>42276</v>
      </c>
      <c r="G16" t="s">
        <v>295</v>
      </c>
      <c r="H16" s="81">
        <v>17212</v>
      </c>
      <c r="I16" t="s">
        <v>6</v>
      </c>
      <c r="J16" s="3">
        <v>1006.99</v>
      </c>
    </row>
    <row r="17" spans="1:10" x14ac:dyDescent="0.25">
      <c r="A17" t="s">
        <v>294</v>
      </c>
      <c r="B17" t="s">
        <v>5</v>
      </c>
      <c r="C17" s="82" t="s">
        <v>295</v>
      </c>
      <c r="D17">
        <v>201510</v>
      </c>
      <c r="E17" s="1">
        <v>42276</v>
      </c>
      <c r="F17" s="1">
        <v>42305</v>
      </c>
      <c r="G17" t="s">
        <v>295</v>
      </c>
      <c r="H17" s="81">
        <v>14918</v>
      </c>
      <c r="I17" t="s">
        <v>6</v>
      </c>
      <c r="J17" s="3">
        <v>892.02</v>
      </c>
    </row>
    <row r="18" spans="1:10" x14ac:dyDescent="0.25">
      <c r="A18" t="s">
        <v>294</v>
      </c>
      <c r="B18" t="s">
        <v>5</v>
      </c>
      <c r="C18" s="82" t="s">
        <v>295</v>
      </c>
      <c r="D18">
        <v>201511</v>
      </c>
      <c r="E18" s="1">
        <v>42305</v>
      </c>
      <c r="F18" s="1">
        <v>42339</v>
      </c>
      <c r="G18" t="s">
        <v>295</v>
      </c>
      <c r="H18" s="81">
        <v>16836</v>
      </c>
      <c r="I18" t="s">
        <v>6</v>
      </c>
      <c r="J18" s="3">
        <v>1018.33</v>
      </c>
    </row>
    <row r="19" spans="1:10" x14ac:dyDescent="0.25">
      <c r="A19" t="s">
        <v>294</v>
      </c>
      <c r="B19" t="s">
        <v>5</v>
      </c>
      <c r="C19" s="82" t="s">
        <v>295</v>
      </c>
      <c r="D19">
        <v>201512</v>
      </c>
      <c r="E19" s="1">
        <v>42339</v>
      </c>
      <c r="F19" s="1">
        <v>42369</v>
      </c>
      <c r="G19" t="s">
        <v>295</v>
      </c>
      <c r="H19" s="81">
        <v>12505</v>
      </c>
      <c r="I19" t="s">
        <v>6</v>
      </c>
      <c r="J19" s="3">
        <v>789.97</v>
      </c>
    </row>
    <row r="20" spans="1:10" x14ac:dyDescent="0.25">
      <c r="A20" t="s">
        <v>294</v>
      </c>
      <c r="B20" t="s">
        <v>5</v>
      </c>
      <c r="C20" s="82" t="s">
        <v>295</v>
      </c>
      <c r="D20">
        <v>201601</v>
      </c>
      <c r="E20" s="1">
        <v>42369</v>
      </c>
      <c r="F20" s="1">
        <v>42401</v>
      </c>
      <c r="G20" t="s">
        <v>295</v>
      </c>
      <c r="H20" s="81">
        <v>12675</v>
      </c>
      <c r="I20" t="s">
        <v>6</v>
      </c>
      <c r="J20" s="3">
        <v>792.91</v>
      </c>
    </row>
    <row r="21" spans="1:10" x14ac:dyDescent="0.25">
      <c r="A21" t="s">
        <v>294</v>
      </c>
      <c r="B21" t="s">
        <v>5</v>
      </c>
      <c r="C21" s="82" t="s">
        <v>295</v>
      </c>
      <c r="D21">
        <v>201602</v>
      </c>
      <c r="E21" s="1">
        <v>42401</v>
      </c>
      <c r="F21" s="1">
        <v>42430</v>
      </c>
      <c r="G21" t="s">
        <v>295</v>
      </c>
      <c r="H21" s="81">
        <v>14437</v>
      </c>
      <c r="I21" t="s">
        <v>6</v>
      </c>
      <c r="J21" s="3">
        <v>881.07</v>
      </c>
    </row>
    <row r="22" spans="1:10" x14ac:dyDescent="0.25">
      <c r="A22" t="s">
        <v>294</v>
      </c>
      <c r="B22" t="s">
        <v>5</v>
      </c>
      <c r="C22" s="82" t="s">
        <v>295</v>
      </c>
      <c r="D22">
        <v>201603</v>
      </c>
      <c r="E22" s="1">
        <v>42430</v>
      </c>
      <c r="F22" s="1">
        <v>42460</v>
      </c>
      <c r="G22" t="s">
        <v>295</v>
      </c>
      <c r="H22" s="81">
        <v>13398</v>
      </c>
      <c r="I22" t="s">
        <v>6</v>
      </c>
      <c r="J22" s="3">
        <v>860.13</v>
      </c>
    </row>
    <row r="23" spans="1:10" x14ac:dyDescent="0.25">
      <c r="A23" t="s">
        <v>294</v>
      </c>
      <c r="B23" t="s">
        <v>5</v>
      </c>
      <c r="C23" s="82" t="s">
        <v>295</v>
      </c>
      <c r="D23">
        <v>201604</v>
      </c>
      <c r="E23" s="1">
        <v>42460</v>
      </c>
      <c r="F23" s="1">
        <v>42489</v>
      </c>
      <c r="G23" t="s">
        <v>295</v>
      </c>
      <c r="H23" s="81">
        <v>13158</v>
      </c>
      <c r="I23" t="s">
        <v>6</v>
      </c>
      <c r="J23" s="3">
        <v>792.77</v>
      </c>
    </row>
    <row r="24" spans="1:10" x14ac:dyDescent="0.25">
      <c r="A24" t="s">
        <v>294</v>
      </c>
      <c r="B24" t="s">
        <v>5</v>
      </c>
      <c r="C24" s="82" t="s">
        <v>295</v>
      </c>
      <c r="D24">
        <v>201605</v>
      </c>
      <c r="E24" s="1">
        <v>42489</v>
      </c>
      <c r="F24" s="1">
        <v>42521</v>
      </c>
      <c r="G24" t="s">
        <v>295</v>
      </c>
      <c r="H24" s="81">
        <v>10595</v>
      </c>
      <c r="I24" t="s">
        <v>6</v>
      </c>
      <c r="J24" s="3">
        <v>659</v>
      </c>
    </row>
    <row r="25" spans="1:10" x14ac:dyDescent="0.25">
      <c r="A25" t="s">
        <v>294</v>
      </c>
      <c r="B25" t="s">
        <v>5</v>
      </c>
      <c r="C25" s="82" t="s">
        <v>295</v>
      </c>
      <c r="D25">
        <v>201606</v>
      </c>
      <c r="E25" s="1">
        <v>42521</v>
      </c>
      <c r="F25" s="1">
        <v>42550</v>
      </c>
      <c r="G25" t="s">
        <v>295</v>
      </c>
      <c r="H25" s="81">
        <v>10087</v>
      </c>
      <c r="I25" t="s">
        <v>6</v>
      </c>
      <c r="J25" s="3">
        <v>605.54</v>
      </c>
    </row>
    <row r="26" spans="1:10" x14ac:dyDescent="0.25">
      <c r="A26" t="s">
        <v>61</v>
      </c>
      <c r="B26" t="s">
        <v>5</v>
      </c>
      <c r="C26" s="82" t="s">
        <v>372</v>
      </c>
      <c r="D26">
        <v>201507</v>
      </c>
      <c r="E26" s="1">
        <v>42185</v>
      </c>
      <c r="F26" s="1">
        <v>42216</v>
      </c>
      <c r="G26" t="s">
        <v>372</v>
      </c>
      <c r="H26" s="81">
        <v>78191</v>
      </c>
      <c r="I26" t="s">
        <v>6</v>
      </c>
      <c r="J26" s="3">
        <v>4586.53</v>
      </c>
    </row>
    <row r="27" spans="1:10" x14ac:dyDescent="0.25">
      <c r="A27" t="s">
        <v>61</v>
      </c>
      <c r="B27" t="s">
        <v>5</v>
      </c>
      <c r="C27" s="82" t="s">
        <v>372</v>
      </c>
      <c r="D27">
        <v>201508</v>
      </c>
      <c r="E27" s="1">
        <v>42216</v>
      </c>
      <c r="F27" s="1">
        <v>42243</v>
      </c>
      <c r="G27" t="s">
        <v>372</v>
      </c>
      <c r="H27" s="81">
        <v>64497</v>
      </c>
      <c r="I27" t="s">
        <v>6</v>
      </c>
      <c r="J27" s="3">
        <v>3911.04</v>
      </c>
    </row>
    <row r="28" spans="1:10" x14ac:dyDescent="0.25">
      <c r="A28" t="s">
        <v>61</v>
      </c>
      <c r="B28" t="s">
        <v>5</v>
      </c>
      <c r="C28" s="82" t="s">
        <v>372</v>
      </c>
      <c r="D28">
        <v>201509</v>
      </c>
      <c r="E28" s="1">
        <v>42243</v>
      </c>
      <c r="F28" s="1">
        <v>42276</v>
      </c>
      <c r="G28" t="s">
        <v>372</v>
      </c>
      <c r="H28" s="81">
        <v>111614</v>
      </c>
      <c r="I28" t="s">
        <v>6</v>
      </c>
      <c r="J28" s="3">
        <v>6529.96</v>
      </c>
    </row>
    <row r="29" spans="1:10" x14ac:dyDescent="0.25">
      <c r="A29" t="s">
        <v>61</v>
      </c>
      <c r="B29" t="s">
        <v>5</v>
      </c>
      <c r="C29" s="82" t="s">
        <v>372</v>
      </c>
      <c r="D29">
        <v>201510</v>
      </c>
      <c r="E29" s="1">
        <v>42276</v>
      </c>
      <c r="F29" s="1">
        <v>42305</v>
      </c>
      <c r="G29" t="s">
        <v>372</v>
      </c>
      <c r="H29" s="81">
        <v>104915</v>
      </c>
      <c r="I29" t="s">
        <v>6</v>
      </c>
      <c r="J29" s="3">
        <v>6273.38</v>
      </c>
    </row>
    <row r="30" spans="1:10" x14ac:dyDescent="0.25">
      <c r="A30" t="s">
        <v>61</v>
      </c>
      <c r="B30" t="s">
        <v>5</v>
      </c>
      <c r="C30" s="82" t="s">
        <v>372</v>
      </c>
      <c r="D30">
        <v>201511</v>
      </c>
      <c r="E30" s="1">
        <v>42305</v>
      </c>
      <c r="F30" s="1">
        <v>42339</v>
      </c>
      <c r="G30" t="s">
        <v>372</v>
      </c>
      <c r="H30" s="81">
        <v>115768</v>
      </c>
      <c r="I30" t="s">
        <v>6</v>
      </c>
      <c r="J30" s="3">
        <v>7002.23</v>
      </c>
    </row>
    <row r="31" spans="1:10" x14ac:dyDescent="0.25">
      <c r="A31" t="s">
        <v>61</v>
      </c>
      <c r="B31" t="s">
        <v>5</v>
      </c>
      <c r="C31" s="82" t="s">
        <v>372</v>
      </c>
      <c r="D31">
        <v>201512</v>
      </c>
      <c r="E31" s="1">
        <v>42339</v>
      </c>
      <c r="F31" s="1">
        <v>42369</v>
      </c>
      <c r="G31" t="s">
        <v>372</v>
      </c>
      <c r="H31" s="81">
        <v>92582</v>
      </c>
      <c r="I31" t="s">
        <v>6</v>
      </c>
      <c r="J31" s="3">
        <v>5848.62</v>
      </c>
    </row>
    <row r="32" spans="1:10" x14ac:dyDescent="0.25">
      <c r="A32" t="s">
        <v>61</v>
      </c>
      <c r="B32" t="s">
        <v>5</v>
      </c>
      <c r="C32" s="82" t="s">
        <v>372</v>
      </c>
      <c r="D32">
        <v>201601</v>
      </c>
      <c r="E32" s="1">
        <v>42369</v>
      </c>
      <c r="F32" s="1">
        <v>42401</v>
      </c>
      <c r="G32" t="s">
        <v>372</v>
      </c>
      <c r="H32" s="81">
        <v>97449</v>
      </c>
      <c r="I32" t="s">
        <v>6</v>
      </c>
      <c r="J32" s="3">
        <v>6096.11</v>
      </c>
    </row>
    <row r="33" spans="1:10" x14ac:dyDescent="0.25">
      <c r="A33" t="s">
        <v>61</v>
      </c>
      <c r="B33" t="s">
        <v>5</v>
      </c>
      <c r="C33" s="82" t="s">
        <v>372</v>
      </c>
      <c r="D33">
        <v>201602</v>
      </c>
      <c r="E33" s="1">
        <v>42401</v>
      </c>
      <c r="F33" s="1">
        <v>42430</v>
      </c>
      <c r="G33" t="s">
        <v>372</v>
      </c>
      <c r="H33" s="81">
        <v>105355</v>
      </c>
      <c r="I33" t="s">
        <v>6</v>
      </c>
      <c r="J33" s="3">
        <v>6429.67</v>
      </c>
    </row>
    <row r="34" spans="1:10" x14ac:dyDescent="0.25">
      <c r="A34" t="s">
        <v>61</v>
      </c>
      <c r="B34" t="s">
        <v>5</v>
      </c>
      <c r="C34" s="82" t="s">
        <v>372</v>
      </c>
      <c r="D34">
        <v>201603</v>
      </c>
      <c r="E34" s="1">
        <v>42430</v>
      </c>
      <c r="F34" s="1">
        <v>42460</v>
      </c>
      <c r="G34" t="s">
        <v>372</v>
      </c>
      <c r="H34" s="81">
        <v>101660</v>
      </c>
      <c r="I34" t="s">
        <v>6</v>
      </c>
      <c r="J34" s="3">
        <v>6526.42</v>
      </c>
    </row>
    <row r="35" spans="1:10" x14ac:dyDescent="0.25">
      <c r="A35" t="s">
        <v>61</v>
      </c>
      <c r="B35" t="s">
        <v>5</v>
      </c>
      <c r="C35" s="82" t="s">
        <v>372</v>
      </c>
      <c r="D35">
        <v>201604</v>
      </c>
      <c r="E35" s="1">
        <v>42460</v>
      </c>
      <c r="F35" s="1">
        <v>42489</v>
      </c>
      <c r="G35" t="s">
        <v>372</v>
      </c>
      <c r="H35" s="81">
        <v>99960</v>
      </c>
      <c r="I35" t="s">
        <v>6</v>
      </c>
      <c r="J35" s="3">
        <v>6022.59</v>
      </c>
    </row>
    <row r="36" spans="1:10" x14ac:dyDescent="0.25">
      <c r="A36" t="s">
        <v>61</v>
      </c>
      <c r="B36" t="s">
        <v>5</v>
      </c>
      <c r="C36" s="82" t="s">
        <v>372</v>
      </c>
      <c r="D36">
        <v>201605</v>
      </c>
      <c r="E36" s="1">
        <v>42489</v>
      </c>
      <c r="F36" s="1">
        <v>42521</v>
      </c>
      <c r="G36" t="s">
        <v>372</v>
      </c>
      <c r="H36" s="81">
        <v>91577</v>
      </c>
      <c r="I36" t="s">
        <v>6</v>
      </c>
      <c r="J36" s="3">
        <v>5696</v>
      </c>
    </row>
    <row r="37" spans="1:10" x14ac:dyDescent="0.25">
      <c r="A37" t="s">
        <v>61</v>
      </c>
      <c r="B37" t="s">
        <v>5</v>
      </c>
      <c r="C37" s="82" t="s">
        <v>372</v>
      </c>
      <c r="D37">
        <v>201606</v>
      </c>
      <c r="E37" s="1">
        <v>42521</v>
      </c>
      <c r="F37" s="1">
        <v>42550</v>
      </c>
      <c r="G37" t="s">
        <v>372</v>
      </c>
      <c r="H37" s="81">
        <v>65735</v>
      </c>
      <c r="I37" t="s">
        <v>6</v>
      </c>
      <c r="J37" s="3">
        <v>3946.21</v>
      </c>
    </row>
    <row r="38" spans="1:10" x14ac:dyDescent="0.25">
      <c r="A38" t="s">
        <v>296</v>
      </c>
      <c r="B38" t="s">
        <v>5</v>
      </c>
      <c r="C38" s="82" t="s">
        <v>297</v>
      </c>
      <c r="D38">
        <v>201507</v>
      </c>
      <c r="E38" s="1">
        <v>42185</v>
      </c>
      <c r="F38" s="1">
        <v>42216</v>
      </c>
      <c r="G38" t="s">
        <v>298</v>
      </c>
      <c r="H38" s="81">
        <v>6186</v>
      </c>
      <c r="I38" t="s">
        <v>6</v>
      </c>
      <c r="J38" s="3">
        <v>362.86</v>
      </c>
    </row>
    <row r="39" spans="1:10" x14ac:dyDescent="0.25">
      <c r="A39" t="s">
        <v>296</v>
      </c>
      <c r="B39" t="s">
        <v>5</v>
      </c>
      <c r="C39" s="82" t="s">
        <v>297</v>
      </c>
      <c r="D39">
        <v>201508</v>
      </c>
      <c r="E39" s="1">
        <v>42216</v>
      </c>
      <c r="F39" s="1">
        <v>42243</v>
      </c>
      <c r="G39" t="s">
        <v>298</v>
      </c>
      <c r="H39" s="81">
        <v>4400</v>
      </c>
      <c r="I39" t="s">
        <v>6</v>
      </c>
      <c r="J39" s="3">
        <v>266.81</v>
      </c>
    </row>
    <row r="40" spans="1:10" x14ac:dyDescent="0.25">
      <c r="A40" t="s">
        <v>296</v>
      </c>
      <c r="B40" t="s">
        <v>5</v>
      </c>
      <c r="C40" s="82" t="s">
        <v>297</v>
      </c>
      <c r="D40">
        <v>201509</v>
      </c>
      <c r="E40" s="1">
        <v>42243</v>
      </c>
      <c r="F40" s="1">
        <v>42276</v>
      </c>
      <c r="G40" t="s">
        <v>298</v>
      </c>
      <c r="H40" s="81">
        <v>17403</v>
      </c>
      <c r="I40" t="s">
        <v>6</v>
      </c>
      <c r="J40" s="3">
        <v>1018.16</v>
      </c>
    </row>
    <row r="41" spans="1:10" x14ac:dyDescent="0.25">
      <c r="A41" t="s">
        <v>296</v>
      </c>
      <c r="B41" t="s">
        <v>5</v>
      </c>
      <c r="C41" s="82" t="s">
        <v>297</v>
      </c>
      <c r="D41">
        <v>201510</v>
      </c>
      <c r="E41" s="1">
        <v>42276</v>
      </c>
      <c r="F41" s="1">
        <v>42305</v>
      </c>
      <c r="G41" t="s">
        <v>298</v>
      </c>
      <c r="H41" s="81">
        <v>10066</v>
      </c>
      <c r="I41" t="s">
        <v>6</v>
      </c>
      <c r="J41" s="3">
        <v>601.9</v>
      </c>
    </row>
    <row r="42" spans="1:10" x14ac:dyDescent="0.25">
      <c r="A42" t="s">
        <v>296</v>
      </c>
      <c r="B42" t="s">
        <v>5</v>
      </c>
      <c r="C42" s="82" t="s">
        <v>297</v>
      </c>
      <c r="D42">
        <v>201511</v>
      </c>
      <c r="E42" s="1">
        <v>42305</v>
      </c>
      <c r="F42" s="1">
        <v>42339</v>
      </c>
      <c r="G42" t="s">
        <v>298</v>
      </c>
      <c r="H42" s="81">
        <v>18008</v>
      </c>
      <c r="I42" t="s">
        <v>6</v>
      </c>
      <c r="J42" s="3">
        <v>1089.21</v>
      </c>
    </row>
    <row r="43" spans="1:10" x14ac:dyDescent="0.25">
      <c r="A43" t="s">
        <v>296</v>
      </c>
      <c r="B43" t="s">
        <v>5</v>
      </c>
      <c r="C43" s="82" t="s">
        <v>297</v>
      </c>
      <c r="D43">
        <v>201512</v>
      </c>
      <c r="E43" s="1">
        <v>42339</v>
      </c>
      <c r="F43" s="1">
        <v>42369</v>
      </c>
      <c r="G43" t="s">
        <v>298</v>
      </c>
      <c r="H43" s="81">
        <v>13687</v>
      </c>
      <c r="I43" t="s">
        <v>6</v>
      </c>
      <c r="J43" s="3">
        <v>864.64</v>
      </c>
    </row>
    <row r="44" spans="1:10" x14ac:dyDescent="0.25">
      <c r="A44" t="s">
        <v>296</v>
      </c>
      <c r="B44" t="s">
        <v>5</v>
      </c>
      <c r="C44" s="82" t="s">
        <v>297</v>
      </c>
      <c r="D44">
        <v>201601</v>
      </c>
      <c r="E44" s="1">
        <v>42369</v>
      </c>
      <c r="F44" s="1">
        <v>42401</v>
      </c>
      <c r="G44" t="s">
        <v>298</v>
      </c>
      <c r="H44" s="81">
        <v>14522</v>
      </c>
      <c r="I44" t="s">
        <v>6</v>
      </c>
      <c r="J44" s="3">
        <v>908.45</v>
      </c>
    </row>
    <row r="45" spans="1:10" x14ac:dyDescent="0.25">
      <c r="A45" t="s">
        <v>296</v>
      </c>
      <c r="B45" t="s">
        <v>5</v>
      </c>
      <c r="C45" s="82" t="s">
        <v>297</v>
      </c>
      <c r="D45">
        <v>201602</v>
      </c>
      <c r="E45" s="1">
        <v>42401</v>
      </c>
      <c r="F45" s="1">
        <v>42430</v>
      </c>
      <c r="G45" t="s">
        <v>298</v>
      </c>
      <c r="H45" s="81">
        <v>15536</v>
      </c>
      <c r="I45" t="s">
        <v>6</v>
      </c>
      <c r="J45" s="3">
        <v>948.14</v>
      </c>
    </row>
    <row r="46" spans="1:10" x14ac:dyDescent="0.25">
      <c r="A46" t="s">
        <v>296</v>
      </c>
      <c r="B46" t="s">
        <v>5</v>
      </c>
      <c r="C46" s="82" t="s">
        <v>297</v>
      </c>
      <c r="D46">
        <v>201603</v>
      </c>
      <c r="E46" s="1">
        <v>42430</v>
      </c>
      <c r="F46" s="1">
        <v>42460</v>
      </c>
      <c r="G46" t="s">
        <v>298</v>
      </c>
      <c r="H46" s="81">
        <v>14775</v>
      </c>
      <c r="I46" t="s">
        <v>6</v>
      </c>
      <c r="J46" s="3">
        <v>948.53</v>
      </c>
    </row>
    <row r="47" spans="1:10" x14ac:dyDescent="0.25">
      <c r="A47" t="s">
        <v>296</v>
      </c>
      <c r="B47" t="s">
        <v>5</v>
      </c>
      <c r="C47" s="82" t="s">
        <v>297</v>
      </c>
      <c r="D47">
        <v>201604</v>
      </c>
      <c r="E47" s="1">
        <v>42460</v>
      </c>
      <c r="F47" s="1">
        <v>42489</v>
      </c>
      <c r="G47" t="s">
        <v>298</v>
      </c>
      <c r="H47" s="81">
        <v>17083</v>
      </c>
      <c r="I47" t="s">
        <v>6</v>
      </c>
      <c r="J47" s="3">
        <v>1029.25</v>
      </c>
    </row>
    <row r="48" spans="1:10" x14ac:dyDescent="0.25">
      <c r="A48" t="s">
        <v>296</v>
      </c>
      <c r="B48" t="s">
        <v>5</v>
      </c>
      <c r="C48" s="82" t="s">
        <v>297</v>
      </c>
      <c r="D48">
        <v>201605</v>
      </c>
      <c r="E48" s="1">
        <v>42489</v>
      </c>
      <c r="F48" s="1">
        <v>42521</v>
      </c>
      <c r="G48" t="s">
        <v>298</v>
      </c>
      <c r="H48" s="81">
        <v>13599</v>
      </c>
      <c r="I48" t="s">
        <v>6</v>
      </c>
      <c r="J48" s="3">
        <v>845.85</v>
      </c>
    </row>
    <row r="49" spans="1:10" x14ac:dyDescent="0.25">
      <c r="A49" t="s">
        <v>296</v>
      </c>
      <c r="B49" t="s">
        <v>5</v>
      </c>
      <c r="C49" s="82" t="s">
        <v>297</v>
      </c>
      <c r="D49">
        <v>201606</v>
      </c>
      <c r="E49" s="1">
        <v>42521</v>
      </c>
      <c r="F49" s="1">
        <v>42550</v>
      </c>
      <c r="G49" t="s">
        <v>298</v>
      </c>
      <c r="H49" s="81">
        <v>11284</v>
      </c>
      <c r="I49" t="s">
        <v>6</v>
      </c>
      <c r="J49" s="3">
        <v>677.4</v>
      </c>
    </row>
    <row r="50" spans="1:10" x14ac:dyDescent="0.25">
      <c r="A50" t="s">
        <v>299</v>
      </c>
      <c r="B50" t="s">
        <v>5</v>
      </c>
      <c r="C50" s="82" t="s">
        <v>300</v>
      </c>
      <c r="D50">
        <v>201507</v>
      </c>
      <c r="E50" s="1">
        <v>42185</v>
      </c>
      <c r="F50" s="1">
        <v>42216</v>
      </c>
      <c r="G50" t="s">
        <v>301</v>
      </c>
      <c r="H50" s="81">
        <v>6185</v>
      </c>
      <c r="I50" t="s">
        <v>6</v>
      </c>
      <c r="J50" s="3">
        <v>362.8</v>
      </c>
    </row>
    <row r="51" spans="1:10" x14ac:dyDescent="0.25">
      <c r="A51" t="s">
        <v>299</v>
      </c>
      <c r="B51" t="s">
        <v>5</v>
      </c>
      <c r="C51" s="82" t="s">
        <v>300</v>
      </c>
      <c r="D51">
        <v>201508</v>
      </c>
      <c r="E51" s="1">
        <v>42216</v>
      </c>
      <c r="F51" s="1">
        <v>42243</v>
      </c>
      <c r="G51" t="s">
        <v>301</v>
      </c>
      <c r="H51" s="81">
        <v>4290</v>
      </c>
      <c r="I51" t="s">
        <v>6</v>
      </c>
      <c r="J51" s="3">
        <v>260.14</v>
      </c>
    </row>
    <row r="52" spans="1:10" x14ac:dyDescent="0.25">
      <c r="A52" t="s">
        <v>299</v>
      </c>
      <c r="B52" t="s">
        <v>5</v>
      </c>
      <c r="C52" s="82" t="s">
        <v>300</v>
      </c>
      <c r="D52">
        <v>201509</v>
      </c>
      <c r="E52" s="1">
        <v>42243</v>
      </c>
      <c r="F52" s="1">
        <v>42276</v>
      </c>
      <c r="G52" t="s">
        <v>301</v>
      </c>
      <c r="H52" s="81">
        <v>17124</v>
      </c>
      <c r="I52" t="s">
        <v>6</v>
      </c>
      <c r="J52" s="3">
        <v>1001.84</v>
      </c>
    </row>
    <row r="53" spans="1:10" x14ac:dyDescent="0.25">
      <c r="A53" t="s">
        <v>299</v>
      </c>
      <c r="B53" t="s">
        <v>5</v>
      </c>
      <c r="C53" s="82" t="s">
        <v>300</v>
      </c>
      <c r="D53">
        <v>201510</v>
      </c>
      <c r="E53" s="1">
        <v>42276</v>
      </c>
      <c r="F53" s="1">
        <v>42305</v>
      </c>
      <c r="G53" t="s">
        <v>301</v>
      </c>
      <c r="H53" s="81">
        <v>10255</v>
      </c>
      <c r="I53" t="s">
        <v>6</v>
      </c>
      <c r="J53" s="3">
        <v>613.20000000000005</v>
      </c>
    </row>
    <row r="54" spans="1:10" x14ac:dyDescent="0.25">
      <c r="A54" t="s">
        <v>299</v>
      </c>
      <c r="B54" t="s">
        <v>5</v>
      </c>
      <c r="C54" s="82" t="s">
        <v>300</v>
      </c>
      <c r="D54">
        <v>201511</v>
      </c>
      <c r="E54" s="1">
        <v>42305</v>
      </c>
      <c r="F54" s="1">
        <v>42339</v>
      </c>
      <c r="G54" t="s">
        <v>301</v>
      </c>
      <c r="H54" s="81">
        <v>16728</v>
      </c>
      <c r="I54" t="s">
        <v>6</v>
      </c>
      <c r="J54" s="3">
        <v>1011.79</v>
      </c>
    </row>
    <row r="55" spans="1:10" x14ac:dyDescent="0.25">
      <c r="A55" t="s">
        <v>299</v>
      </c>
      <c r="B55" t="s">
        <v>5</v>
      </c>
      <c r="C55" s="82" t="s">
        <v>300</v>
      </c>
      <c r="D55">
        <v>201512</v>
      </c>
      <c r="E55" s="1">
        <v>42339</v>
      </c>
      <c r="F55" s="1">
        <v>42369</v>
      </c>
      <c r="G55" t="s">
        <v>301</v>
      </c>
      <c r="H55" s="81">
        <v>12264</v>
      </c>
      <c r="I55" t="s">
        <v>6</v>
      </c>
      <c r="J55" s="3">
        <v>774.75</v>
      </c>
    </row>
    <row r="56" spans="1:10" x14ac:dyDescent="0.25">
      <c r="A56" t="s">
        <v>299</v>
      </c>
      <c r="B56" t="s">
        <v>5</v>
      </c>
      <c r="C56" s="82" t="s">
        <v>300</v>
      </c>
      <c r="D56">
        <v>201601</v>
      </c>
      <c r="E56" s="1">
        <v>42369</v>
      </c>
      <c r="F56" s="1">
        <v>42401</v>
      </c>
      <c r="G56" t="s">
        <v>301</v>
      </c>
      <c r="H56" s="81">
        <v>13385</v>
      </c>
      <c r="I56" t="s">
        <v>6</v>
      </c>
      <c r="J56" s="3">
        <v>837.32</v>
      </c>
    </row>
    <row r="57" spans="1:10" x14ac:dyDescent="0.25">
      <c r="A57" t="s">
        <v>299</v>
      </c>
      <c r="B57" t="s">
        <v>5</v>
      </c>
      <c r="C57" s="82" t="s">
        <v>300</v>
      </c>
      <c r="D57">
        <v>201602</v>
      </c>
      <c r="E57" s="1">
        <v>42401</v>
      </c>
      <c r="F57" s="1">
        <v>42430</v>
      </c>
      <c r="G57" t="s">
        <v>301</v>
      </c>
      <c r="H57" s="81">
        <v>15281</v>
      </c>
      <c r="I57" t="s">
        <v>6</v>
      </c>
      <c r="J57" s="3">
        <v>932.58</v>
      </c>
    </row>
    <row r="58" spans="1:10" x14ac:dyDescent="0.25">
      <c r="A58" t="s">
        <v>299</v>
      </c>
      <c r="B58" t="s">
        <v>5</v>
      </c>
      <c r="C58" s="82" t="s">
        <v>300</v>
      </c>
      <c r="D58">
        <v>201603</v>
      </c>
      <c r="E58" s="1">
        <v>42430</v>
      </c>
      <c r="F58" s="1">
        <v>42460</v>
      </c>
      <c r="G58" t="s">
        <v>301</v>
      </c>
      <c r="H58" s="81">
        <v>13969</v>
      </c>
      <c r="I58" t="s">
        <v>6</v>
      </c>
      <c r="J58" s="3">
        <v>896.79</v>
      </c>
    </row>
    <row r="59" spans="1:10" x14ac:dyDescent="0.25">
      <c r="A59" t="s">
        <v>299</v>
      </c>
      <c r="B59" t="s">
        <v>5</v>
      </c>
      <c r="C59" s="82" t="s">
        <v>300</v>
      </c>
      <c r="D59">
        <v>201604</v>
      </c>
      <c r="E59" s="1">
        <v>42460</v>
      </c>
      <c r="F59" s="1">
        <v>42489</v>
      </c>
      <c r="G59" t="s">
        <v>301</v>
      </c>
      <c r="H59" s="81">
        <v>13967</v>
      </c>
      <c r="I59" t="s">
        <v>6</v>
      </c>
      <c r="J59" s="3">
        <v>841.51</v>
      </c>
    </row>
    <row r="60" spans="1:10" x14ac:dyDescent="0.25">
      <c r="A60" t="s">
        <v>299</v>
      </c>
      <c r="B60" t="s">
        <v>5</v>
      </c>
      <c r="C60" s="82" t="s">
        <v>300</v>
      </c>
      <c r="D60">
        <v>201605</v>
      </c>
      <c r="E60" s="1">
        <v>42489</v>
      </c>
      <c r="F60" s="1">
        <v>42521</v>
      </c>
      <c r="G60" t="s">
        <v>301</v>
      </c>
      <c r="H60" s="81">
        <v>11712</v>
      </c>
      <c r="I60" t="s">
        <v>6</v>
      </c>
      <c r="J60" s="3">
        <v>728.48</v>
      </c>
    </row>
    <row r="61" spans="1:10" x14ac:dyDescent="0.25">
      <c r="A61" t="s">
        <v>299</v>
      </c>
      <c r="B61" t="s">
        <v>5</v>
      </c>
      <c r="C61" s="82" t="s">
        <v>300</v>
      </c>
      <c r="D61">
        <v>201606</v>
      </c>
      <c r="E61" s="1">
        <v>42521</v>
      </c>
      <c r="F61" s="1">
        <v>42550</v>
      </c>
      <c r="G61" t="s">
        <v>301</v>
      </c>
      <c r="H61" s="81">
        <v>10434</v>
      </c>
      <c r="I61" t="s">
        <v>6</v>
      </c>
      <c r="J61" s="3">
        <v>626.37</v>
      </c>
    </row>
    <row r="62" spans="1:10" x14ac:dyDescent="0.25">
      <c r="A62" t="s">
        <v>331</v>
      </c>
      <c r="B62" t="s">
        <v>5</v>
      </c>
      <c r="C62" s="82" t="s">
        <v>332</v>
      </c>
      <c r="D62">
        <v>201507</v>
      </c>
      <c r="E62" s="1">
        <v>42185</v>
      </c>
      <c r="F62" s="1">
        <v>42216</v>
      </c>
      <c r="G62" t="s">
        <v>332</v>
      </c>
      <c r="H62" s="81">
        <v>38380</v>
      </c>
      <c r="I62" t="s">
        <v>6</v>
      </c>
      <c r="J62" s="3">
        <v>2251.3000000000002</v>
      </c>
    </row>
    <row r="63" spans="1:10" x14ac:dyDescent="0.25">
      <c r="A63" t="s">
        <v>331</v>
      </c>
      <c r="B63" t="s">
        <v>5</v>
      </c>
      <c r="C63" s="82" t="s">
        <v>332</v>
      </c>
      <c r="D63">
        <v>201508</v>
      </c>
      <c r="E63" s="1">
        <v>42216</v>
      </c>
      <c r="F63" s="1">
        <v>42243</v>
      </c>
      <c r="G63" t="s">
        <v>332</v>
      </c>
      <c r="H63" s="81">
        <v>32037</v>
      </c>
      <c r="I63" t="s">
        <v>6</v>
      </c>
      <c r="J63" s="3">
        <v>1942.7</v>
      </c>
    </row>
    <row r="64" spans="1:10" x14ac:dyDescent="0.25">
      <c r="A64" t="s">
        <v>331</v>
      </c>
      <c r="B64" t="s">
        <v>5</v>
      </c>
      <c r="C64" s="82" t="s">
        <v>332</v>
      </c>
      <c r="D64">
        <v>201509</v>
      </c>
      <c r="E64" s="1">
        <v>42243</v>
      </c>
      <c r="F64" s="1">
        <v>42276</v>
      </c>
      <c r="G64" t="s">
        <v>332</v>
      </c>
      <c r="H64" s="81">
        <v>52786</v>
      </c>
      <c r="I64" t="s">
        <v>6</v>
      </c>
      <c r="J64" s="3">
        <v>3088.24</v>
      </c>
    </row>
    <row r="65" spans="1:10" x14ac:dyDescent="0.25">
      <c r="A65" t="s">
        <v>331</v>
      </c>
      <c r="B65" t="s">
        <v>5</v>
      </c>
      <c r="C65" s="82" t="s">
        <v>332</v>
      </c>
      <c r="D65">
        <v>201510</v>
      </c>
      <c r="E65" s="1">
        <v>42276</v>
      </c>
      <c r="F65" s="1">
        <v>42305</v>
      </c>
      <c r="G65" t="s">
        <v>332</v>
      </c>
      <c r="H65" s="81">
        <v>43825</v>
      </c>
      <c r="I65" t="s">
        <v>6</v>
      </c>
      <c r="J65" s="3">
        <v>2620.5100000000002</v>
      </c>
    </row>
    <row r="66" spans="1:10" x14ac:dyDescent="0.25">
      <c r="A66" t="s">
        <v>331</v>
      </c>
      <c r="B66" t="s">
        <v>5</v>
      </c>
      <c r="C66" s="82" t="s">
        <v>332</v>
      </c>
      <c r="D66">
        <v>201511</v>
      </c>
      <c r="E66" s="1">
        <v>42305</v>
      </c>
      <c r="F66" s="1">
        <v>42339</v>
      </c>
      <c r="G66" t="s">
        <v>332</v>
      </c>
      <c r="H66" s="81">
        <v>48152</v>
      </c>
      <c r="I66" t="s">
        <v>6</v>
      </c>
      <c r="J66" s="3">
        <v>2912.48</v>
      </c>
    </row>
    <row r="67" spans="1:10" x14ac:dyDescent="0.25">
      <c r="A67" t="s">
        <v>331</v>
      </c>
      <c r="B67" t="s">
        <v>5</v>
      </c>
      <c r="C67" s="82" t="s">
        <v>332</v>
      </c>
      <c r="D67">
        <v>201512</v>
      </c>
      <c r="E67" s="1">
        <v>42339</v>
      </c>
      <c r="F67" s="1">
        <v>42369</v>
      </c>
      <c r="G67" t="s">
        <v>332</v>
      </c>
      <c r="H67" s="81">
        <v>40775</v>
      </c>
      <c r="I67" t="s">
        <v>6</v>
      </c>
      <c r="J67" s="3">
        <v>2575.85</v>
      </c>
    </row>
    <row r="68" spans="1:10" x14ac:dyDescent="0.25">
      <c r="A68" t="s">
        <v>331</v>
      </c>
      <c r="B68" t="s">
        <v>5</v>
      </c>
      <c r="C68" s="82" t="s">
        <v>332</v>
      </c>
      <c r="D68">
        <v>201601</v>
      </c>
      <c r="E68" s="1">
        <v>42369</v>
      </c>
      <c r="F68" s="1">
        <v>42401</v>
      </c>
      <c r="G68" t="s">
        <v>332</v>
      </c>
      <c r="H68" s="81">
        <v>43979</v>
      </c>
      <c r="I68" t="s">
        <v>6</v>
      </c>
      <c r="J68" s="3">
        <v>2751.19</v>
      </c>
    </row>
    <row r="69" spans="1:10" x14ac:dyDescent="0.25">
      <c r="A69" t="s">
        <v>331</v>
      </c>
      <c r="B69" t="s">
        <v>5</v>
      </c>
      <c r="C69" s="82" t="s">
        <v>332</v>
      </c>
      <c r="D69">
        <v>201602</v>
      </c>
      <c r="E69" s="1">
        <v>42401</v>
      </c>
      <c r="F69" s="1">
        <v>42430</v>
      </c>
      <c r="G69" t="s">
        <v>332</v>
      </c>
      <c r="H69" s="81">
        <v>47353</v>
      </c>
      <c r="I69" t="s">
        <v>6</v>
      </c>
      <c r="J69" s="3">
        <v>2889.89</v>
      </c>
    </row>
    <row r="70" spans="1:10" x14ac:dyDescent="0.25">
      <c r="A70" t="s">
        <v>331</v>
      </c>
      <c r="B70" t="s">
        <v>5</v>
      </c>
      <c r="C70" s="82" t="s">
        <v>332</v>
      </c>
      <c r="D70">
        <v>201603</v>
      </c>
      <c r="E70" s="1">
        <v>42430</v>
      </c>
      <c r="F70" s="1">
        <v>42460</v>
      </c>
      <c r="G70" t="s">
        <v>332</v>
      </c>
      <c r="H70" s="81">
        <v>44070</v>
      </c>
      <c r="I70" t="s">
        <v>6</v>
      </c>
      <c r="J70" s="3">
        <v>2829.23</v>
      </c>
    </row>
    <row r="71" spans="1:10" x14ac:dyDescent="0.25">
      <c r="A71" t="s">
        <v>331</v>
      </c>
      <c r="B71" t="s">
        <v>5</v>
      </c>
      <c r="C71" s="82" t="s">
        <v>332</v>
      </c>
      <c r="D71">
        <v>201604</v>
      </c>
      <c r="E71" s="1">
        <v>42460</v>
      </c>
      <c r="F71" s="1">
        <v>42489</v>
      </c>
      <c r="G71" t="s">
        <v>332</v>
      </c>
      <c r="H71" s="81">
        <v>40992</v>
      </c>
      <c r="I71" t="s">
        <v>6</v>
      </c>
      <c r="J71" s="3">
        <v>2469.77</v>
      </c>
    </row>
    <row r="72" spans="1:10" x14ac:dyDescent="0.25">
      <c r="A72" t="s">
        <v>331</v>
      </c>
      <c r="B72" t="s">
        <v>5</v>
      </c>
      <c r="C72" s="82" t="s">
        <v>332</v>
      </c>
      <c r="D72">
        <v>201605</v>
      </c>
      <c r="E72" s="1">
        <v>42489</v>
      </c>
      <c r="F72" s="1">
        <v>42521</v>
      </c>
      <c r="G72" t="s">
        <v>332</v>
      </c>
      <c r="H72" s="81">
        <v>33675</v>
      </c>
      <c r="I72" t="s">
        <v>6</v>
      </c>
      <c r="J72" s="3">
        <v>2094.5500000000002</v>
      </c>
    </row>
    <row r="73" spans="1:10" x14ac:dyDescent="0.25">
      <c r="A73" t="s">
        <v>331</v>
      </c>
      <c r="B73" t="s">
        <v>5</v>
      </c>
      <c r="C73" s="82" t="s">
        <v>332</v>
      </c>
      <c r="D73">
        <v>201606</v>
      </c>
      <c r="E73" s="1">
        <v>42521</v>
      </c>
      <c r="F73" s="1">
        <v>42550</v>
      </c>
      <c r="G73" t="s">
        <v>332</v>
      </c>
      <c r="H73" s="81">
        <v>31273</v>
      </c>
      <c r="I73" t="s">
        <v>6</v>
      </c>
      <c r="J73" s="3">
        <v>1877.38</v>
      </c>
    </row>
    <row r="74" spans="1:10" x14ac:dyDescent="0.25">
      <c r="A74" t="s">
        <v>335</v>
      </c>
      <c r="B74" t="s">
        <v>5</v>
      </c>
      <c r="C74" s="82" t="s">
        <v>336</v>
      </c>
      <c r="D74">
        <v>201507</v>
      </c>
      <c r="E74" s="1">
        <v>42185</v>
      </c>
      <c r="F74" s="1">
        <v>42216</v>
      </c>
      <c r="G74" t="s">
        <v>336</v>
      </c>
      <c r="H74" s="81">
        <v>12041</v>
      </c>
      <c r="I74" t="s">
        <v>6</v>
      </c>
      <c r="J74" s="3">
        <v>706.3</v>
      </c>
    </row>
    <row r="75" spans="1:10" x14ac:dyDescent="0.25">
      <c r="A75" t="s">
        <v>335</v>
      </c>
      <c r="B75" t="s">
        <v>5</v>
      </c>
      <c r="C75" s="82" t="s">
        <v>336</v>
      </c>
      <c r="D75">
        <v>201508</v>
      </c>
      <c r="E75" s="1">
        <v>42216</v>
      </c>
      <c r="F75" s="1">
        <v>42243</v>
      </c>
      <c r="G75" t="s">
        <v>336</v>
      </c>
      <c r="H75" s="81">
        <v>9697</v>
      </c>
      <c r="I75" t="s">
        <v>6</v>
      </c>
      <c r="J75" s="3">
        <v>588.02</v>
      </c>
    </row>
    <row r="76" spans="1:10" x14ac:dyDescent="0.25">
      <c r="A76" t="s">
        <v>335</v>
      </c>
      <c r="B76" t="s">
        <v>5</v>
      </c>
      <c r="C76" s="82" t="s">
        <v>336</v>
      </c>
      <c r="D76">
        <v>201509</v>
      </c>
      <c r="E76" s="1">
        <v>42243</v>
      </c>
      <c r="F76" s="1">
        <v>42276</v>
      </c>
      <c r="G76" t="s">
        <v>336</v>
      </c>
      <c r="H76" s="81">
        <v>17757</v>
      </c>
      <c r="I76" t="s">
        <v>6</v>
      </c>
      <c r="J76" s="3">
        <v>1038.8699999999999</v>
      </c>
    </row>
    <row r="77" spans="1:10" x14ac:dyDescent="0.25">
      <c r="A77" t="s">
        <v>335</v>
      </c>
      <c r="B77" t="s">
        <v>5</v>
      </c>
      <c r="C77" s="82" t="s">
        <v>336</v>
      </c>
      <c r="D77">
        <v>201510</v>
      </c>
      <c r="E77" s="1">
        <v>42276</v>
      </c>
      <c r="F77" s="1">
        <v>42305</v>
      </c>
      <c r="G77" t="s">
        <v>336</v>
      </c>
      <c r="H77" s="81">
        <v>15587</v>
      </c>
      <c r="I77" t="s">
        <v>6</v>
      </c>
      <c r="J77" s="3">
        <v>932.02</v>
      </c>
    </row>
    <row r="78" spans="1:10" x14ac:dyDescent="0.25">
      <c r="A78" t="s">
        <v>335</v>
      </c>
      <c r="B78" t="s">
        <v>5</v>
      </c>
      <c r="C78" s="82" t="s">
        <v>336</v>
      </c>
      <c r="D78">
        <v>201511</v>
      </c>
      <c r="E78" s="1">
        <v>42305</v>
      </c>
      <c r="F78" s="1">
        <v>42339</v>
      </c>
      <c r="G78" t="s">
        <v>336</v>
      </c>
      <c r="H78" s="81">
        <v>18131</v>
      </c>
      <c r="I78" t="s">
        <v>6</v>
      </c>
      <c r="J78" s="3">
        <v>1096.6500000000001</v>
      </c>
    </row>
    <row r="79" spans="1:10" x14ac:dyDescent="0.25">
      <c r="A79" t="s">
        <v>335</v>
      </c>
      <c r="B79" t="s">
        <v>5</v>
      </c>
      <c r="C79" s="82" t="s">
        <v>336</v>
      </c>
      <c r="D79">
        <v>201512</v>
      </c>
      <c r="E79" s="1">
        <v>42339</v>
      </c>
      <c r="F79" s="1">
        <v>42369</v>
      </c>
      <c r="G79" t="s">
        <v>336</v>
      </c>
      <c r="H79" s="81">
        <v>13515</v>
      </c>
      <c r="I79" t="s">
        <v>6</v>
      </c>
      <c r="J79" s="3">
        <v>853.77</v>
      </c>
    </row>
    <row r="80" spans="1:10" x14ac:dyDescent="0.25">
      <c r="A80" t="s">
        <v>335</v>
      </c>
      <c r="B80" t="s">
        <v>5</v>
      </c>
      <c r="C80" s="82" t="s">
        <v>336</v>
      </c>
      <c r="D80">
        <v>201601</v>
      </c>
      <c r="E80" s="1">
        <v>42369</v>
      </c>
      <c r="F80" s="1">
        <v>42401</v>
      </c>
      <c r="G80" t="s">
        <v>336</v>
      </c>
      <c r="H80" s="81">
        <v>14254</v>
      </c>
      <c r="I80" t="s">
        <v>6</v>
      </c>
      <c r="J80" s="3">
        <v>891.69</v>
      </c>
    </row>
    <row r="81" spans="1:10" x14ac:dyDescent="0.25">
      <c r="A81" t="s">
        <v>335</v>
      </c>
      <c r="B81" t="s">
        <v>5</v>
      </c>
      <c r="C81" s="82" t="s">
        <v>336</v>
      </c>
      <c r="D81">
        <v>201602</v>
      </c>
      <c r="E81" s="1">
        <v>42401</v>
      </c>
      <c r="F81" s="1">
        <v>42430</v>
      </c>
      <c r="G81" t="s">
        <v>336</v>
      </c>
      <c r="H81" s="81">
        <v>15566</v>
      </c>
      <c r="I81" t="s">
        <v>6</v>
      </c>
      <c r="J81" s="3">
        <v>949.97</v>
      </c>
    </row>
    <row r="82" spans="1:10" x14ac:dyDescent="0.25">
      <c r="A82" t="s">
        <v>335</v>
      </c>
      <c r="B82" t="s">
        <v>5</v>
      </c>
      <c r="C82" s="82" t="s">
        <v>336</v>
      </c>
      <c r="D82">
        <v>201603</v>
      </c>
      <c r="E82" s="1">
        <v>42430</v>
      </c>
      <c r="F82" s="1">
        <v>42460</v>
      </c>
      <c r="G82" t="s">
        <v>336</v>
      </c>
      <c r="H82" s="81">
        <v>14278</v>
      </c>
      <c r="I82" t="s">
        <v>6</v>
      </c>
      <c r="J82" s="3">
        <v>916.63</v>
      </c>
    </row>
    <row r="83" spans="1:10" x14ac:dyDescent="0.25">
      <c r="A83" t="s">
        <v>335</v>
      </c>
      <c r="B83" t="s">
        <v>5</v>
      </c>
      <c r="C83" s="82" t="s">
        <v>336</v>
      </c>
      <c r="D83">
        <v>201604</v>
      </c>
      <c r="E83" s="1">
        <v>42460</v>
      </c>
      <c r="F83" s="1">
        <v>42489</v>
      </c>
      <c r="G83" t="s">
        <v>336</v>
      </c>
      <c r="H83" s="81">
        <v>14539</v>
      </c>
      <c r="I83" t="s">
        <v>6</v>
      </c>
      <c r="J83" s="3">
        <v>875.97</v>
      </c>
    </row>
    <row r="84" spans="1:10" x14ac:dyDescent="0.25">
      <c r="A84" t="s">
        <v>335</v>
      </c>
      <c r="B84" t="s">
        <v>5</v>
      </c>
      <c r="C84" s="82" t="s">
        <v>336</v>
      </c>
      <c r="D84">
        <v>201605</v>
      </c>
      <c r="E84" s="1">
        <v>42489</v>
      </c>
      <c r="F84" s="1">
        <v>42521</v>
      </c>
      <c r="G84" t="s">
        <v>336</v>
      </c>
      <c r="H84" s="81">
        <v>12539</v>
      </c>
      <c r="I84" t="s">
        <v>6</v>
      </c>
      <c r="J84" s="3">
        <v>779.91</v>
      </c>
    </row>
    <row r="85" spans="1:10" x14ac:dyDescent="0.25">
      <c r="A85" t="s">
        <v>335</v>
      </c>
      <c r="B85" t="s">
        <v>5</v>
      </c>
      <c r="C85" s="82" t="s">
        <v>336</v>
      </c>
      <c r="D85">
        <v>201606</v>
      </c>
      <c r="E85" s="1">
        <v>42521</v>
      </c>
      <c r="F85" s="1">
        <v>42550</v>
      </c>
      <c r="G85" t="s">
        <v>336</v>
      </c>
      <c r="H85" s="81">
        <v>11650</v>
      </c>
      <c r="I85" t="s">
        <v>6</v>
      </c>
      <c r="J85" s="3">
        <v>699.37</v>
      </c>
    </row>
    <row r="86" spans="1:10" x14ac:dyDescent="0.25">
      <c r="A86" t="s">
        <v>333</v>
      </c>
      <c r="B86" t="s">
        <v>5</v>
      </c>
      <c r="C86" s="82" t="s">
        <v>334</v>
      </c>
      <c r="D86">
        <v>201507</v>
      </c>
      <c r="E86" s="1">
        <v>42185</v>
      </c>
      <c r="F86" s="1">
        <v>42216</v>
      </c>
      <c r="G86" t="s">
        <v>334</v>
      </c>
      <c r="H86" s="81">
        <v>34569</v>
      </c>
      <c r="I86" t="s">
        <v>6</v>
      </c>
      <c r="J86" s="3">
        <v>2027.75</v>
      </c>
    </row>
    <row r="87" spans="1:10" x14ac:dyDescent="0.25">
      <c r="A87" t="s">
        <v>333</v>
      </c>
      <c r="B87" t="s">
        <v>5</v>
      </c>
      <c r="C87" s="82" t="s">
        <v>334</v>
      </c>
      <c r="D87">
        <v>201508</v>
      </c>
      <c r="E87" s="1">
        <v>42216</v>
      </c>
      <c r="F87" s="1">
        <v>42243</v>
      </c>
      <c r="G87" t="s">
        <v>334</v>
      </c>
      <c r="H87" s="81">
        <v>32346</v>
      </c>
      <c r="I87" t="s">
        <v>6</v>
      </c>
      <c r="J87" s="3">
        <v>1961.43</v>
      </c>
    </row>
    <row r="88" spans="1:10" x14ac:dyDescent="0.25">
      <c r="A88" t="s">
        <v>333</v>
      </c>
      <c r="B88" t="s">
        <v>5</v>
      </c>
      <c r="C88" s="82" t="s">
        <v>334</v>
      </c>
      <c r="D88">
        <v>201509</v>
      </c>
      <c r="E88" s="1">
        <v>42243</v>
      </c>
      <c r="F88" s="1">
        <v>42276</v>
      </c>
      <c r="G88" t="s">
        <v>334</v>
      </c>
      <c r="H88" s="81">
        <v>51346</v>
      </c>
      <c r="I88" t="s">
        <v>6</v>
      </c>
      <c r="J88" s="3">
        <v>3003.99</v>
      </c>
    </row>
    <row r="89" spans="1:10" x14ac:dyDescent="0.25">
      <c r="A89" t="s">
        <v>333</v>
      </c>
      <c r="B89" t="s">
        <v>5</v>
      </c>
      <c r="C89" s="82" t="s">
        <v>334</v>
      </c>
      <c r="D89">
        <v>201510</v>
      </c>
      <c r="E89" s="1">
        <v>42276</v>
      </c>
      <c r="F89" s="1">
        <v>42305</v>
      </c>
      <c r="G89" t="s">
        <v>334</v>
      </c>
      <c r="H89" s="81">
        <v>43558</v>
      </c>
      <c r="I89" t="s">
        <v>6</v>
      </c>
      <c r="J89" s="3">
        <v>2604.5500000000002</v>
      </c>
    </row>
    <row r="90" spans="1:10" x14ac:dyDescent="0.25">
      <c r="A90" t="s">
        <v>333</v>
      </c>
      <c r="B90" t="s">
        <v>5</v>
      </c>
      <c r="C90" s="82" t="s">
        <v>334</v>
      </c>
      <c r="D90">
        <v>201511</v>
      </c>
      <c r="E90" s="1">
        <v>42305</v>
      </c>
      <c r="F90" s="1">
        <v>42339</v>
      </c>
      <c r="G90" t="s">
        <v>334</v>
      </c>
      <c r="H90" s="81">
        <v>51364</v>
      </c>
      <c r="I90" t="s">
        <v>6</v>
      </c>
      <c r="J90" s="3">
        <v>3106.75</v>
      </c>
    </row>
    <row r="91" spans="1:10" x14ac:dyDescent="0.25">
      <c r="A91" t="s">
        <v>333</v>
      </c>
      <c r="B91" t="s">
        <v>5</v>
      </c>
      <c r="C91" s="82" t="s">
        <v>334</v>
      </c>
      <c r="D91">
        <v>201512</v>
      </c>
      <c r="E91" s="1">
        <v>42339</v>
      </c>
      <c r="F91" s="1">
        <v>42369</v>
      </c>
      <c r="G91" t="s">
        <v>334</v>
      </c>
      <c r="H91" s="81">
        <v>46930</v>
      </c>
      <c r="I91" t="s">
        <v>6</v>
      </c>
      <c r="J91" s="3">
        <v>2964.68</v>
      </c>
    </row>
    <row r="92" spans="1:10" x14ac:dyDescent="0.25">
      <c r="A92" t="s">
        <v>333</v>
      </c>
      <c r="B92" t="s">
        <v>5</v>
      </c>
      <c r="C92" s="82" t="s">
        <v>334</v>
      </c>
      <c r="D92">
        <v>201601</v>
      </c>
      <c r="E92" s="1">
        <v>42369</v>
      </c>
      <c r="F92" s="1">
        <v>42401</v>
      </c>
      <c r="G92" t="s">
        <v>334</v>
      </c>
      <c r="H92" s="81">
        <v>50522</v>
      </c>
      <c r="I92" t="s">
        <v>6</v>
      </c>
      <c r="J92" s="3">
        <v>3160.5</v>
      </c>
    </row>
    <row r="93" spans="1:10" x14ac:dyDescent="0.25">
      <c r="A93" t="s">
        <v>333</v>
      </c>
      <c r="B93" t="s">
        <v>5</v>
      </c>
      <c r="C93" s="82" t="s">
        <v>334</v>
      </c>
      <c r="D93">
        <v>201602</v>
      </c>
      <c r="E93" s="1">
        <v>42401</v>
      </c>
      <c r="F93" s="1">
        <v>42430</v>
      </c>
      <c r="G93" t="s">
        <v>334</v>
      </c>
      <c r="H93" s="81">
        <v>50746</v>
      </c>
      <c r="I93" t="s">
        <v>6</v>
      </c>
      <c r="J93" s="3">
        <v>3096.96</v>
      </c>
    </row>
    <row r="94" spans="1:10" x14ac:dyDescent="0.25">
      <c r="A94" t="s">
        <v>333</v>
      </c>
      <c r="B94" t="s">
        <v>5</v>
      </c>
      <c r="C94" s="82" t="s">
        <v>334</v>
      </c>
      <c r="D94">
        <v>201603</v>
      </c>
      <c r="E94" s="1">
        <v>42430</v>
      </c>
      <c r="F94" s="1">
        <v>42460</v>
      </c>
      <c r="G94" t="s">
        <v>334</v>
      </c>
      <c r="H94" s="81">
        <v>46117</v>
      </c>
      <c r="I94" t="s">
        <v>6</v>
      </c>
      <c r="J94" s="3">
        <v>2960.64</v>
      </c>
    </row>
    <row r="95" spans="1:10" x14ac:dyDescent="0.25">
      <c r="A95" t="s">
        <v>333</v>
      </c>
      <c r="B95" t="s">
        <v>5</v>
      </c>
      <c r="C95" s="82" t="s">
        <v>334</v>
      </c>
      <c r="D95">
        <v>201604</v>
      </c>
      <c r="E95" s="1">
        <v>42460</v>
      </c>
      <c r="F95" s="1">
        <v>42489</v>
      </c>
      <c r="G95" t="s">
        <v>334</v>
      </c>
      <c r="H95" s="81">
        <v>42904</v>
      </c>
      <c r="I95" t="s">
        <v>6</v>
      </c>
      <c r="J95" s="3">
        <v>2584.96</v>
      </c>
    </row>
    <row r="96" spans="1:10" x14ac:dyDescent="0.25">
      <c r="A96" t="s">
        <v>333</v>
      </c>
      <c r="B96" t="s">
        <v>5</v>
      </c>
      <c r="C96" s="82" t="s">
        <v>334</v>
      </c>
      <c r="D96">
        <v>201605</v>
      </c>
      <c r="E96" s="1">
        <v>42489</v>
      </c>
      <c r="F96" s="1">
        <v>42521</v>
      </c>
      <c r="G96" t="s">
        <v>334</v>
      </c>
      <c r="H96" s="81">
        <v>36966</v>
      </c>
      <c r="I96" t="s">
        <v>6</v>
      </c>
      <c r="J96" s="3">
        <v>2299.25</v>
      </c>
    </row>
    <row r="97" spans="1:10" x14ac:dyDescent="0.25">
      <c r="A97" t="s">
        <v>333</v>
      </c>
      <c r="B97" t="s">
        <v>5</v>
      </c>
      <c r="C97" s="82" t="s">
        <v>334</v>
      </c>
      <c r="D97">
        <v>201606</v>
      </c>
      <c r="E97" s="1">
        <v>42521</v>
      </c>
      <c r="F97" s="1">
        <v>42550</v>
      </c>
      <c r="G97" t="s">
        <v>334</v>
      </c>
      <c r="H97" s="81">
        <v>31739</v>
      </c>
      <c r="I97" t="s">
        <v>6</v>
      </c>
      <c r="J97" s="3">
        <v>1905.36</v>
      </c>
    </row>
    <row r="98" spans="1:10" x14ac:dyDescent="0.25">
      <c r="A98" t="s">
        <v>374</v>
      </c>
      <c r="B98" t="s">
        <v>5</v>
      </c>
      <c r="C98" s="82" t="s">
        <v>375</v>
      </c>
      <c r="D98">
        <v>201507</v>
      </c>
      <c r="E98" s="1">
        <v>42185</v>
      </c>
      <c r="F98" s="1">
        <v>42216</v>
      </c>
      <c r="G98" t="s">
        <v>376</v>
      </c>
      <c r="H98" s="81">
        <v>55805</v>
      </c>
      <c r="I98" t="s">
        <v>6</v>
      </c>
      <c r="J98" s="3">
        <v>3273.41</v>
      </c>
    </row>
    <row r="99" spans="1:10" x14ac:dyDescent="0.25">
      <c r="A99" t="s">
        <v>374</v>
      </c>
      <c r="B99" t="s">
        <v>5</v>
      </c>
      <c r="C99" s="82" t="s">
        <v>375</v>
      </c>
      <c r="D99">
        <v>201508</v>
      </c>
      <c r="E99" s="1">
        <v>42216</v>
      </c>
      <c r="F99" s="1">
        <v>42243</v>
      </c>
      <c r="G99" t="s">
        <v>376</v>
      </c>
      <c r="H99" s="81">
        <v>44192</v>
      </c>
      <c r="I99" t="s">
        <v>6</v>
      </c>
      <c r="J99" s="3">
        <v>2679.77</v>
      </c>
    </row>
    <row r="100" spans="1:10" x14ac:dyDescent="0.25">
      <c r="A100" t="s">
        <v>374</v>
      </c>
      <c r="B100" t="s">
        <v>5</v>
      </c>
      <c r="C100" s="82" t="s">
        <v>375</v>
      </c>
      <c r="D100">
        <v>201509</v>
      </c>
      <c r="E100" s="1">
        <v>42243</v>
      </c>
      <c r="F100" s="1">
        <v>42276</v>
      </c>
      <c r="G100" t="s">
        <v>376</v>
      </c>
      <c r="H100" s="81">
        <v>62740</v>
      </c>
      <c r="I100" t="s">
        <v>6</v>
      </c>
      <c r="J100" s="3">
        <v>3670.59</v>
      </c>
    </row>
    <row r="101" spans="1:10" x14ac:dyDescent="0.25">
      <c r="A101" t="s">
        <v>374</v>
      </c>
      <c r="B101" t="s">
        <v>5</v>
      </c>
      <c r="C101" s="82" t="s">
        <v>375</v>
      </c>
      <c r="D101">
        <v>201510</v>
      </c>
      <c r="E101" s="1">
        <v>42276</v>
      </c>
      <c r="F101" s="1">
        <v>42305</v>
      </c>
      <c r="G101" t="s">
        <v>376</v>
      </c>
      <c r="H101" s="81">
        <v>53036</v>
      </c>
      <c r="I101" t="s">
        <v>6</v>
      </c>
      <c r="J101" s="3">
        <v>3171.28</v>
      </c>
    </row>
    <row r="102" spans="1:10" x14ac:dyDescent="0.25">
      <c r="A102" t="s">
        <v>374</v>
      </c>
      <c r="B102" t="s">
        <v>5</v>
      </c>
      <c r="C102" s="82" t="s">
        <v>375</v>
      </c>
      <c r="D102">
        <v>201511</v>
      </c>
      <c r="E102" s="1">
        <v>42305</v>
      </c>
      <c r="F102" s="1">
        <v>42339</v>
      </c>
      <c r="G102" t="s">
        <v>376</v>
      </c>
      <c r="H102" s="81">
        <v>63266</v>
      </c>
      <c r="I102" t="s">
        <v>6</v>
      </c>
      <c r="J102" s="3">
        <v>3826.65</v>
      </c>
    </row>
    <row r="103" spans="1:10" x14ac:dyDescent="0.25">
      <c r="A103" t="s">
        <v>374</v>
      </c>
      <c r="B103" t="s">
        <v>5</v>
      </c>
      <c r="C103" s="82" t="s">
        <v>375</v>
      </c>
      <c r="D103">
        <v>201512</v>
      </c>
      <c r="E103" s="1">
        <v>42339</v>
      </c>
      <c r="F103" s="1">
        <v>42369</v>
      </c>
      <c r="G103" t="s">
        <v>376</v>
      </c>
      <c r="H103" s="81">
        <v>51556</v>
      </c>
      <c r="I103" t="s">
        <v>6</v>
      </c>
      <c r="J103" s="3">
        <v>3256.91</v>
      </c>
    </row>
    <row r="104" spans="1:10" x14ac:dyDescent="0.25">
      <c r="A104" t="s">
        <v>374</v>
      </c>
      <c r="B104" t="s">
        <v>5</v>
      </c>
      <c r="C104" s="82" t="s">
        <v>375</v>
      </c>
      <c r="D104">
        <v>201601</v>
      </c>
      <c r="E104" s="1">
        <v>42369</v>
      </c>
      <c r="F104" s="1">
        <v>42401</v>
      </c>
      <c r="G104" t="s">
        <v>376</v>
      </c>
      <c r="H104" s="81">
        <v>54846</v>
      </c>
      <c r="I104" t="s">
        <v>6</v>
      </c>
      <c r="J104" s="3">
        <v>3430.99</v>
      </c>
    </row>
    <row r="105" spans="1:10" x14ac:dyDescent="0.25">
      <c r="A105" t="s">
        <v>374</v>
      </c>
      <c r="B105" t="s">
        <v>5</v>
      </c>
      <c r="C105" s="82" t="s">
        <v>375</v>
      </c>
      <c r="D105">
        <v>201602</v>
      </c>
      <c r="E105" s="1">
        <v>42401</v>
      </c>
      <c r="F105" s="1">
        <v>42430</v>
      </c>
      <c r="G105" t="s">
        <v>376</v>
      </c>
      <c r="H105" s="81">
        <v>53577</v>
      </c>
      <c r="I105" t="s">
        <v>6</v>
      </c>
      <c r="J105" s="3">
        <v>3269.73</v>
      </c>
    </row>
    <row r="106" spans="1:10" x14ac:dyDescent="0.25">
      <c r="A106" t="s">
        <v>374</v>
      </c>
      <c r="B106" t="s">
        <v>5</v>
      </c>
      <c r="C106" s="82" t="s">
        <v>375</v>
      </c>
      <c r="D106">
        <v>201603</v>
      </c>
      <c r="E106" s="1">
        <v>42430</v>
      </c>
      <c r="F106" s="1">
        <v>42460</v>
      </c>
      <c r="G106" t="s">
        <v>376</v>
      </c>
      <c r="H106" s="81">
        <v>53030</v>
      </c>
      <c r="I106" t="s">
        <v>6</v>
      </c>
      <c r="J106" s="3">
        <v>3404.45</v>
      </c>
    </row>
    <row r="107" spans="1:10" x14ac:dyDescent="0.25">
      <c r="A107" t="s">
        <v>374</v>
      </c>
      <c r="B107" t="s">
        <v>5</v>
      </c>
      <c r="C107" s="82" t="s">
        <v>375</v>
      </c>
      <c r="D107">
        <v>201604</v>
      </c>
      <c r="E107" s="1">
        <v>42460</v>
      </c>
      <c r="F107" s="1">
        <v>42489</v>
      </c>
      <c r="G107" t="s">
        <v>376</v>
      </c>
      <c r="H107" s="81">
        <v>52437</v>
      </c>
      <c r="I107" t="s">
        <v>6</v>
      </c>
      <c r="J107" s="3">
        <v>3159.33</v>
      </c>
    </row>
    <row r="108" spans="1:10" x14ac:dyDescent="0.25">
      <c r="A108" t="s">
        <v>374</v>
      </c>
      <c r="B108" t="s">
        <v>5</v>
      </c>
      <c r="C108" s="82" t="s">
        <v>375</v>
      </c>
      <c r="D108">
        <v>201605</v>
      </c>
      <c r="E108" s="1">
        <v>42489</v>
      </c>
      <c r="F108" s="1">
        <v>42521</v>
      </c>
      <c r="G108" t="s">
        <v>376</v>
      </c>
      <c r="H108" s="81">
        <v>54123</v>
      </c>
      <c r="I108" t="s">
        <v>6</v>
      </c>
      <c r="J108" s="3">
        <v>3366.4</v>
      </c>
    </row>
    <row r="109" spans="1:10" x14ac:dyDescent="0.25">
      <c r="A109" t="s">
        <v>374</v>
      </c>
      <c r="B109" t="s">
        <v>5</v>
      </c>
      <c r="C109" s="82" t="s">
        <v>375</v>
      </c>
      <c r="D109">
        <v>201606</v>
      </c>
      <c r="E109" s="1">
        <v>42521</v>
      </c>
      <c r="F109" s="1">
        <v>42550</v>
      </c>
      <c r="G109" t="s">
        <v>376</v>
      </c>
      <c r="H109" s="81">
        <v>52274</v>
      </c>
      <c r="I109" t="s">
        <v>6</v>
      </c>
      <c r="J109" s="3">
        <v>3138.12</v>
      </c>
    </row>
    <row r="110" spans="1:10" x14ac:dyDescent="0.25">
      <c r="A110" t="s">
        <v>337</v>
      </c>
      <c r="B110" t="s">
        <v>5</v>
      </c>
      <c r="C110" s="82" t="s">
        <v>338</v>
      </c>
      <c r="D110">
        <v>201507</v>
      </c>
      <c r="E110" s="1">
        <v>42185</v>
      </c>
      <c r="F110" s="1">
        <v>42216</v>
      </c>
      <c r="G110" t="s">
        <v>339</v>
      </c>
      <c r="H110" s="81">
        <v>4428</v>
      </c>
      <c r="I110" t="s">
        <v>6</v>
      </c>
      <c r="J110" s="3">
        <v>259.74</v>
      </c>
    </row>
    <row r="111" spans="1:10" x14ac:dyDescent="0.25">
      <c r="A111" t="s">
        <v>337</v>
      </c>
      <c r="B111" t="s">
        <v>5</v>
      </c>
      <c r="C111" s="82" t="s">
        <v>338</v>
      </c>
      <c r="D111">
        <v>201508</v>
      </c>
      <c r="E111" s="1">
        <v>42216</v>
      </c>
      <c r="F111" s="1">
        <v>42243</v>
      </c>
      <c r="G111" t="s">
        <v>339</v>
      </c>
      <c r="H111" s="81">
        <v>4358</v>
      </c>
      <c r="I111" t="s">
        <v>6</v>
      </c>
      <c r="J111" s="3">
        <v>264.27</v>
      </c>
    </row>
    <row r="112" spans="1:10" x14ac:dyDescent="0.25">
      <c r="A112" t="s">
        <v>337</v>
      </c>
      <c r="B112" t="s">
        <v>5</v>
      </c>
      <c r="C112" s="82" t="s">
        <v>338</v>
      </c>
      <c r="D112">
        <v>201509</v>
      </c>
      <c r="E112" s="1">
        <v>42243</v>
      </c>
      <c r="F112" s="1">
        <v>42276</v>
      </c>
      <c r="G112" t="s">
        <v>339</v>
      </c>
      <c r="H112" s="81">
        <v>5381</v>
      </c>
      <c r="I112" t="s">
        <v>6</v>
      </c>
      <c r="J112" s="3">
        <v>314.81</v>
      </c>
    </row>
    <row r="113" spans="1:10" x14ac:dyDescent="0.25">
      <c r="A113" t="s">
        <v>337</v>
      </c>
      <c r="B113" t="s">
        <v>5</v>
      </c>
      <c r="C113" s="82" t="s">
        <v>338</v>
      </c>
      <c r="D113">
        <v>201510</v>
      </c>
      <c r="E113" s="1">
        <v>42276</v>
      </c>
      <c r="F113" s="1">
        <v>42305</v>
      </c>
      <c r="G113" t="s">
        <v>339</v>
      </c>
      <c r="H113" s="81">
        <v>6129</v>
      </c>
      <c r="I113" t="s">
        <v>6</v>
      </c>
      <c r="J113" s="3">
        <v>366.48</v>
      </c>
    </row>
    <row r="114" spans="1:10" x14ac:dyDescent="0.25">
      <c r="A114" t="s">
        <v>337</v>
      </c>
      <c r="B114" t="s">
        <v>5</v>
      </c>
      <c r="C114" s="82" t="s">
        <v>338</v>
      </c>
      <c r="D114">
        <v>201511</v>
      </c>
      <c r="E114" s="1">
        <v>42305</v>
      </c>
      <c r="F114" s="1">
        <v>42339</v>
      </c>
      <c r="G114" t="s">
        <v>339</v>
      </c>
      <c r="H114" s="81">
        <v>11811</v>
      </c>
      <c r="I114" t="s">
        <v>6</v>
      </c>
      <c r="J114" s="3">
        <v>714.39</v>
      </c>
    </row>
    <row r="115" spans="1:10" x14ac:dyDescent="0.25">
      <c r="A115" t="s">
        <v>337</v>
      </c>
      <c r="B115" t="s">
        <v>5</v>
      </c>
      <c r="C115" s="82" t="s">
        <v>338</v>
      </c>
      <c r="D115">
        <v>201512</v>
      </c>
      <c r="E115" s="1">
        <v>42339</v>
      </c>
      <c r="F115" s="1">
        <v>42369</v>
      </c>
      <c r="G115" t="s">
        <v>339</v>
      </c>
      <c r="H115" s="81">
        <v>9035</v>
      </c>
      <c r="I115" t="s">
        <v>6</v>
      </c>
      <c r="J115" s="3">
        <v>570.76</v>
      </c>
    </row>
    <row r="116" spans="1:10" x14ac:dyDescent="0.25">
      <c r="A116" t="s">
        <v>337</v>
      </c>
      <c r="B116" t="s">
        <v>5</v>
      </c>
      <c r="C116" s="82" t="s">
        <v>338</v>
      </c>
      <c r="D116">
        <v>201601</v>
      </c>
      <c r="E116" s="1">
        <v>42369</v>
      </c>
      <c r="F116" s="1">
        <v>42401</v>
      </c>
      <c r="G116" t="s">
        <v>339</v>
      </c>
      <c r="H116" s="81">
        <v>9458</v>
      </c>
      <c r="I116" t="s">
        <v>6</v>
      </c>
      <c r="J116" s="3">
        <v>591.66</v>
      </c>
    </row>
    <row r="117" spans="1:10" x14ac:dyDescent="0.25">
      <c r="A117" t="s">
        <v>337</v>
      </c>
      <c r="B117" t="s">
        <v>5</v>
      </c>
      <c r="C117" s="82" t="s">
        <v>338</v>
      </c>
      <c r="D117">
        <v>201602</v>
      </c>
      <c r="E117" s="1">
        <v>42401</v>
      </c>
      <c r="F117" s="1">
        <v>42430</v>
      </c>
      <c r="G117" t="s">
        <v>339</v>
      </c>
      <c r="H117" s="81">
        <v>8787</v>
      </c>
      <c r="I117" t="s">
        <v>6</v>
      </c>
      <c r="J117" s="3">
        <v>536.26</v>
      </c>
    </row>
    <row r="118" spans="1:10" x14ac:dyDescent="0.25">
      <c r="A118" t="s">
        <v>337</v>
      </c>
      <c r="B118" t="s">
        <v>5</v>
      </c>
      <c r="C118" s="82" t="s">
        <v>338</v>
      </c>
      <c r="D118">
        <v>201603</v>
      </c>
      <c r="E118" s="1">
        <v>42430</v>
      </c>
      <c r="F118" s="1">
        <v>42460</v>
      </c>
      <c r="G118" t="s">
        <v>339</v>
      </c>
      <c r="H118" s="81">
        <v>10089</v>
      </c>
      <c r="I118" t="s">
        <v>6</v>
      </c>
      <c r="J118" s="3">
        <v>647.70000000000005</v>
      </c>
    </row>
    <row r="119" spans="1:10" x14ac:dyDescent="0.25">
      <c r="A119" t="s">
        <v>337</v>
      </c>
      <c r="B119" t="s">
        <v>5</v>
      </c>
      <c r="C119" s="82" t="s">
        <v>338</v>
      </c>
      <c r="D119">
        <v>201604</v>
      </c>
      <c r="E119" s="1">
        <v>42460</v>
      </c>
      <c r="F119" s="1">
        <v>42489</v>
      </c>
      <c r="G119" t="s">
        <v>339</v>
      </c>
      <c r="H119" s="81">
        <v>6432</v>
      </c>
      <c r="I119" t="s">
        <v>6</v>
      </c>
      <c r="J119" s="3">
        <v>387.53</v>
      </c>
    </row>
    <row r="120" spans="1:10" x14ac:dyDescent="0.25">
      <c r="A120" t="s">
        <v>337</v>
      </c>
      <c r="B120" t="s">
        <v>5</v>
      </c>
      <c r="C120" s="82" t="s">
        <v>338</v>
      </c>
      <c r="D120">
        <v>201605</v>
      </c>
      <c r="E120" s="1">
        <v>42489</v>
      </c>
      <c r="F120" s="1">
        <v>42521</v>
      </c>
      <c r="G120" t="s">
        <v>339</v>
      </c>
      <c r="H120" s="81">
        <v>5614</v>
      </c>
      <c r="I120" t="s">
        <v>6</v>
      </c>
      <c r="J120" s="3">
        <v>349.19</v>
      </c>
    </row>
    <row r="121" spans="1:10" x14ac:dyDescent="0.25">
      <c r="A121" t="s">
        <v>337</v>
      </c>
      <c r="B121" t="s">
        <v>5</v>
      </c>
      <c r="C121" s="82" t="s">
        <v>338</v>
      </c>
      <c r="D121">
        <v>201606</v>
      </c>
      <c r="E121" s="1">
        <v>42521</v>
      </c>
      <c r="F121" s="1">
        <v>42550</v>
      </c>
      <c r="G121" t="s">
        <v>339</v>
      </c>
      <c r="H121" s="81">
        <v>4480</v>
      </c>
      <c r="I121" t="s">
        <v>6</v>
      </c>
      <c r="J121" s="3">
        <v>268.94</v>
      </c>
    </row>
    <row r="122" spans="1:10" x14ac:dyDescent="0.25">
      <c r="A122" t="s">
        <v>340</v>
      </c>
      <c r="B122" t="s">
        <v>5</v>
      </c>
      <c r="C122" s="82" t="s">
        <v>341</v>
      </c>
      <c r="D122">
        <v>201507</v>
      </c>
      <c r="E122" s="1">
        <v>42185</v>
      </c>
      <c r="F122" s="1">
        <v>42216</v>
      </c>
      <c r="G122" t="s">
        <v>342</v>
      </c>
      <c r="H122" s="81">
        <v>5361</v>
      </c>
      <c r="I122" t="s">
        <v>6</v>
      </c>
      <c r="J122" s="3">
        <v>314.47000000000003</v>
      </c>
    </row>
    <row r="123" spans="1:10" x14ac:dyDescent="0.25">
      <c r="A123" t="s">
        <v>340</v>
      </c>
      <c r="B123" t="s">
        <v>5</v>
      </c>
      <c r="C123" s="82" t="s">
        <v>341</v>
      </c>
      <c r="D123">
        <v>201508</v>
      </c>
      <c r="E123" s="1">
        <v>42216</v>
      </c>
      <c r="F123" s="1">
        <v>42243</v>
      </c>
      <c r="G123" t="s">
        <v>342</v>
      </c>
      <c r="H123" s="81">
        <v>3689</v>
      </c>
      <c r="I123" t="s">
        <v>6</v>
      </c>
      <c r="J123" s="3">
        <v>223.7</v>
      </c>
    </row>
    <row r="124" spans="1:10" x14ac:dyDescent="0.25">
      <c r="A124" t="s">
        <v>340</v>
      </c>
      <c r="B124" t="s">
        <v>5</v>
      </c>
      <c r="C124" s="82" t="s">
        <v>341</v>
      </c>
      <c r="D124">
        <v>201509</v>
      </c>
      <c r="E124" s="1">
        <v>42243</v>
      </c>
      <c r="F124" s="1">
        <v>42276</v>
      </c>
      <c r="G124" t="s">
        <v>342</v>
      </c>
      <c r="H124" s="81">
        <v>15557</v>
      </c>
      <c r="I124" t="s">
        <v>6</v>
      </c>
      <c r="J124" s="3">
        <v>910.16</v>
      </c>
    </row>
    <row r="125" spans="1:10" x14ac:dyDescent="0.25">
      <c r="A125" t="s">
        <v>340</v>
      </c>
      <c r="B125" t="s">
        <v>5</v>
      </c>
      <c r="C125" s="82" t="s">
        <v>341</v>
      </c>
      <c r="D125">
        <v>201510</v>
      </c>
      <c r="E125" s="1">
        <v>42276</v>
      </c>
      <c r="F125" s="1">
        <v>42305</v>
      </c>
      <c r="G125" t="s">
        <v>342</v>
      </c>
      <c r="H125" s="81">
        <v>9310</v>
      </c>
      <c r="I125" t="s">
        <v>6</v>
      </c>
      <c r="J125" s="3">
        <v>556.69000000000005</v>
      </c>
    </row>
    <row r="126" spans="1:10" x14ac:dyDescent="0.25">
      <c r="A126" t="s">
        <v>340</v>
      </c>
      <c r="B126" t="s">
        <v>5</v>
      </c>
      <c r="C126" s="82" t="s">
        <v>341</v>
      </c>
      <c r="D126">
        <v>201511</v>
      </c>
      <c r="E126" s="1">
        <v>42305</v>
      </c>
      <c r="F126" s="1">
        <v>42339</v>
      </c>
      <c r="G126" t="s">
        <v>342</v>
      </c>
      <c r="H126" s="81">
        <v>15353</v>
      </c>
      <c r="I126" t="s">
        <v>6</v>
      </c>
      <c r="J126" s="3">
        <v>928.63</v>
      </c>
    </row>
    <row r="127" spans="1:10" x14ac:dyDescent="0.25">
      <c r="A127" t="s">
        <v>340</v>
      </c>
      <c r="B127" t="s">
        <v>5</v>
      </c>
      <c r="C127" s="82" t="s">
        <v>341</v>
      </c>
      <c r="D127">
        <v>201512</v>
      </c>
      <c r="E127" s="1">
        <v>42339</v>
      </c>
      <c r="F127" s="1">
        <v>42369</v>
      </c>
      <c r="G127" t="s">
        <v>342</v>
      </c>
      <c r="H127" s="81">
        <v>12135</v>
      </c>
      <c r="I127" t="s">
        <v>6</v>
      </c>
      <c r="J127" s="3">
        <v>766.6</v>
      </c>
    </row>
    <row r="128" spans="1:10" x14ac:dyDescent="0.25">
      <c r="A128" t="s">
        <v>340</v>
      </c>
      <c r="B128" t="s">
        <v>5</v>
      </c>
      <c r="C128" s="82" t="s">
        <v>341</v>
      </c>
      <c r="D128">
        <v>201601</v>
      </c>
      <c r="E128" s="1">
        <v>42369</v>
      </c>
      <c r="F128" s="1">
        <v>42401</v>
      </c>
      <c r="G128" t="s">
        <v>342</v>
      </c>
      <c r="H128" s="81">
        <v>13110</v>
      </c>
      <c r="I128" t="s">
        <v>6</v>
      </c>
      <c r="J128" s="3">
        <v>820.12</v>
      </c>
    </row>
    <row r="129" spans="1:10" x14ac:dyDescent="0.25">
      <c r="A129" t="s">
        <v>340</v>
      </c>
      <c r="B129" t="s">
        <v>5</v>
      </c>
      <c r="C129" s="82" t="s">
        <v>341</v>
      </c>
      <c r="D129">
        <v>201602</v>
      </c>
      <c r="E129" s="1">
        <v>42401</v>
      </c>
      <c r="F129" s="1">
        <v>42430</v>
      </c>
      <c r="G129" t="s">
        <v>342</v>
      </c>
      <c r="H129" s="81">
        <v>14786</v>
      </c>
      <c r="I129" t="s">
        <v>6</v>
      </c>
      <c r="J129" s="3">
        <v>902.37</v>
      </c>
    </row>
    <row r="130" spans="1:10" x14ac:dyDescent="0.25">
      <c r="A130" t="s">
        <v>340</v>
      </c>
      <c r="B130" t="s">
        <v>5</v>
      </c>
      <c r="C130" s="82" t="s">
        <v>341</v>
      </c>
      <c r="D130">
        <v>201603</v>
      </c>
      <c r="E130" s="1">
        <v>42430</v>
      </c>
      <c r="F130" s="1">
        <v>42460</v>
      </c>
      <c r="G130" t="s">
        <v>342</v>
      </c>
      <c r="H130" s="81">
        <v>13757</v>
      </c>
      <c r="I130" t="s">
        <v>6</v>
      </c>
      <c r="J130" s="3">
        <v>883.18</v>
      </c>
    </row>
    <row r="131" spans="1:10" x14ac:dyDescent="0.25">
      <c r="A131" t="s">
        <v>340</v>
      </c>
      <c r="B131" t="s">
        <v>5</v>
      </c>
      <c r="C131" s="82" t="s">
        <v>341</v>
      </c>
      <c r="D131">
        <v>201604</v>
      </c>
      <c r="E131" s="1">
        <v>42460</v>
      </c>
      <c r="F131" s="1">
        <v>42489</v>
      </c>
      <c r="G131" t="s">
        <v>342</v>
      </c>
      <c r="H131" s="81">
        <v>15311</v>
      </c>
      <c r="I131" t="s">
        <v>6</v>
      </c>
      <c r="J131" s="3">
        <v>922.49</v>
      </c>
    </row>
    <row r="132" spans="1:10" x14ac:dyDescent="0.25">
      <c r="A132" t="s">
        <v>340</v>
      </c>
      <c r="B132" t="s">
        <v>5</v>
      </c>
      <c r="C132" s="82" t="s">
        <v>341</v>
      </c>
      <c r="D132">
        <v>201605</v>
      </c>
      <c r="E132" s="1">
        <v>42489</v>
      </c>
      <c r="F132" s="1">
        <v>42521</v>
      </c>
      <c r="G132" t="s">
        <v>342</v>
      </c>
      <c r="H132" s="81">
        <v>11784</v>
      </c>
      <c r="I132" t="s">
        <v>6</v>
      </c>
      <c r="J132" s="3">
        <v>732.95</v>
      </c>
    </row>
    <row r="133" spans="1:10" x14ac:dyDescent="0.25">
      <c r="A133" t="s">
        <v>340</v>
      </c>
      <c r="B133" t="s">
        <v>5</v>
      </c>
      <c r="C133" s="82" t="s">
        <v>341</v>
      </c>
      <c r="D133">
        <v>201606</v>
      </c>
      <c r="E133" s="1">
        <v>42521</v>
      </c>
      <c r="F133" s="1">
        <v>42550</v>
      </c>
      <c r="G133" t="s">
        <v>342</v>
      </c>
      <c r="H133" s="81">
        <v>9030</v>
      </c>
      <c r="I133" t="s">
        <v>6</v>
      </c>
      <c r="J133" s="3">
        <v>542.09</v>
      </c>
    </row>
    <row r="134" spans="1:10" x14ac:dyDescent="0.25">
      <c r="A134" t="s">
        <v>343</v>
      </c>
      <c r="B134" t="s">
        <v>5</v>
      </c>
      <c r="C134" s="82" t="s">
        <v>344</v>
      </c>
      <c r="D134">
        <v>201507</v>
      </c>
      <c r="E134" s="1">
        <v>42185</v>
      </c>
      <c r="F134" s="1">
        <v>42216</v>
      </c>
      <c r="G134" t="s">
        <v>345</v>
      </c>
      <c r="H134" s="81">
        <v>4720</v>
      </c>
      <c r="I134" t="s">
        <v>6</v>
      </c>
      <c r="J134" s="3">
        <v>276.87</v>
      </c>
    </row>
    <row r="135" spans="1:10" x14ac:dyDescent="0.25">
      <c r="A135" t="s">
        <v>343</v>
      </c>
      <c r="B135" t="s">
        <v>5</v>
      </c>
      <c r="C135" s="82" t="s">
        <v>344</v>
      </c>
      <c r="D135">
        <v>201508</v>
      </c>
      <c r="E135" s="1">
        <v>42216</v>
      </c>
      <c r="F135" s="1">
        <v>42243</v>
      </c>
      <c r="G135" t="s">
        <v>345</v>
      </c>
      <c r="H135" s="81">
        <v>4541</v>
      </c>
      <c r="I135" t="s">
        <v>6</v>
      </c>
      <c r="J135" s="3">
        <v>275.36</v>
      </c>
    </row>
    <row r="136" spans="1:10" x14ac:dyDescent="0.25">
      <c r="A136" t="s">
        <v>343</v>
      </c>
      <c r="B136" t="s">
        <v>5</v>
      </c>
      <c r="C136" s="82" t="s">
        <v>344</v>
      </c>
      <c r="D136">
        <v>201509</v>
      </c>
      <c r="E136" s="1">
        <v>42243</v>
      </c>
      <c r="F136" s="1">
        <v>42276</v>
      </c>
      <c r="G136" t="s">
        <v>345</v>
      </c>
      <c r="H136" s="81">
        <v>13311</v>
      </c>
      <c r="I136" t="s">
        <v>6</v>
      </c>
      <c r="J136" s="3">
        <v>778.76</v>
      </c>
    </row>
    <row r="137" spans="1:10" x14ac:dyDescent="0.25">
      <c r="A137" t="s">
        <v>343</v>
      </c>
      <c r="B137" t="s">
        <v>5</v>
      </c>
      <c r="C137" s="82" t="s">
        <v>344</v>
      </c>
      <c r="D137">
        <v>201510</v>
      </c>
      <c r="E137" s="1">
        <v>42276</v>
      </c>
      <c r="F137" s="1">
        <v>42305</v>
      </c>
      <c r="G137" t="s">
        <v>345</v>
      </c>
      <c r="H137" s="81">
        <v>7852</v>
      </c>
      <c r="I137" t="s">
        <v>6</v>
      </c>
      <c r="J137" s="3">
        <v>469.51</v>
      </c>
    </row>
    <row r="138" spans="1:10" x14ac:dyDescent="0.25">
      <c r="A138" t="s">
        <v>343</v>
      </c>
      <c r="B138" t="s">
        <v>5</v>
      </c>
      <c r="C138" s="82" t="s">
        <v>344</v>
      </c>
      <c r="D138">
        <v>201511</v>
      </c>
      <c r="E138" s="1">
        <v>42305</v>
      </c>
      <c r="F138" s="1">
        <v>42339</v>
      </c>
      <c r="G138" t="s">
        <v>345</v>
      </c>
      <c r="H138" s="81">
        <v>13884</v>
      </c>
      <c r="I138" t="s">
        <v>6</v>
      </c>
      <c r="J138" s="3">
        <v>839.77</v>
      </c>
    </row>
    <row r="139" spans="1:10" x14ac:dyDescent="0.25">
      <c r="A139" t="s">
        <v>343</v>
      </c>
      <c r="B139" t="s">
        <v>5</v>
      </c>
      <c r="C139" s="82" t="s">
        <v>344</v>
      </c>
      <c r="D139">
        <v>201512</v>
      </c>
      <c r="E139" s="1">
        <v>42339</v>
      </c>
      <c r="F139" s="1">
        <v>42369</v>
      </c>
      <c r="G139" t="s">
        <v>345</v>
      </c>
      <c r="H139" s="81">
        <v>11044</v>
      </c>
      <c r="I139" t="s">
        <v>6</v>
      </c>
      <c r="J139" s="3">
        <v>697.67</v>
      </c>
    </row>
    <row r="140" spans="1:10" x14ac:dyDescent="0.25">
      <c r="A140" t="s">
        <v>343</v>
      </c>
      <c r="B140" t="s">
        <v>5</v>
      </c>
      <c r="C140" s="82" t="s">
        <v>344</v>
      </c>
      <c r="D140">
        <v>201601</v>
      </c>
      <c r="E140" s="1">
        <v>42369</v>
      </c>
      <c r="F140" s="1">
        <v>42401</v>
      </c>
      <c r="G140" t="s">
        <v>345</v>
      </c>
      <c r="H140" s="81">
        <v>11499</v>
      </c>
      <c r="I140" t="s">
        <v>6</v>
      </c>
      <c r="J140" s="3">
        <v>719.34</v>
      </c>
    </row>
    <row r="141" spans="1:10" x14ac:dyDescent="0.25">
      <c r="A141" t="s">
        <v>343</v>
      </c>
      <c r="B141" t="s">
        <v>5</v>
      </c>
      <c r="C141" s="82" t="s">
        <v>344</v>
      </c>
      <c r="D141">
        <v>201602</v>
      </c>
      <c r="E141" s="1">
        <v>42401</v>
      </c>
      <c r="F141" s="1">
        <v>42430</v>
      </c>
      <c r="G141" t="s">
        <v>345</v>
      </c>
      <c r="H141" s="81">
        <v>12038</v>
      </c>
      <c r="I141" t="s">
        <v>6</v>
      </c>
      <c r="J141" s="3">
        <v>734.66</v>
      </c>
    </row>
    <row r="142" spans="1:10" x14ac:dyDescent="0.25">
      <c r="A142" t="s">
        <v>343</v>
      </c>
      <c r="B142" t="s">
        <v>5</v>
      </c>
      <c r="C142" s="82" t="s">
        <v>344</v>
      </c>
      <c r="D142">
        <v>201603</v>
      </c>
      <c r="E142" s="1">
        <v>42430</v>
      </c>
      <c r="F142" s="1">
        <v>42460</v>
      </c>
      <c r="G142" t="s">
        <v>345</v>
      </c>
      <c r="H142" s="81">
        <v>11609</v>
      </c>
      <c r="I142" t="s">
        <v>6</v>
      </c>
      <c r="J142" s="3">
        <v>745.28</v>
      </c>
    </row>
    <row r="143" spans="1:10" x14ac:dyDescent="0.25">
      <c r="A143" t="s">
        <v>343</v>
      </c>
      <c r="B143" t="s">
        <v>5</v>
      </c>
      <c r="C143" s="82" t="s">
        <v>344</v>
      </c>
      <c r="D143">
        <v>201604</v>
      </c>
      <c r="E143" s="1">
        <v>42460</v>
      </c>
      <c r="F143" s="1">
        <v>42489</v>
      </c>
      <c r="G143" t="s">
        <v>345</v>
      </c>
      <c r="H143" s="81">
        <v>11339</v>
      </c>
      <c r="I143" t="s">
        <v>6</v>
      </c>
      <c r="J143" s="3">
        <v>683.17</v>
      </c>
    </row>
    <row r="144" spans="1:10" x14ac:dyDescent="0.25">
      <c r="A144" t="s">
        <v>343</v>
      </c>
      <c r="B144" t="s">
        <v>5</v>
      </c>
      <c r="C144" s="82" t="s">
        <v>344</v>
      </c>
      <c r="D144">
        <v>201605</v>
      </c>
      <c r="E144" s="1">
        <v>42489</v>
      </c>
      <c r="F144" s="1">
        <v>42521</v>
      </c>
      <c r="G144" t="s">
        <v>345</v>
      </c>
      <c r="H144" s="81">
        <v>10391</v>
      </c>
      <c r="I144" t="s">
        <v>6</v>
      </c>
      <c r="J144" s="3">
        <v>646.30999999999995</v>
      </c>
    </row>
    <row r="145" spans="1:10" x14ac:dyDescent="0.25">
      <c r="A145" t="s">
        <v>343</v>
      </c>
      <c r="B145" t="s">
        <v>5</v>
      </c>
      <c r="C145" s="82" t="s">
        <v>344</v>
      </c>
      <c r="D145">
        <v>201606</v>
      </c>
      <c r="E145" s="1">
        <v>42521</v>
      </c>
      <c r="F145" s="1">
        <v>42550</v>
      </c>
      <c r="G145" t="s">
        <v>345</v>
      </c>
      <c r="H145" s="81">
        <v>8895</v>
      </c>
      <c r="I145" t="s">
        <v>6</v>
      </c>
      <c r="J145" s="3">
        <v>533.99</v>
      </c>
    </row>
    <row r="146" spans="1:10" x14ac:dyDescent="0.25">
      <c r="A146" t="s">
        <v>346</v>
      </c>
      <c r="B146" t="s">
        <v>5</v>
      </c>
      <c r="C146" s="82" t="s">
        <v>347</v>
      </c>
      <c r="D146">
        <v>201507</v>
      </c>
      <c r="E146" s="1">
        <v>42185</v>
      </c>
      <c r="F146" s="1">
        <v>42216</v>
      </c>
      <c r="G146" t="s">
        <v>348</v>
      </c>
      <c r="H146" s="81">
        <v>4350</v>
      </c>
      <c r="I146" t="s">
        <v>6</v>
      </c>
      <c r="J146" s="3">
        <v>255.16</v>
      </c>
    </row>
    <row r="147" spans="1:10" x14ac:dyDescent="0.25">
      <c r="A147" t="s">
        <v>346</v>
      </c>
      <c r="B147" t="s">
        <v>5</v>
      </c>
      <c r="C147" s="82" t="s">
        <v>347</v>
      </c>
      <c r="D147">
        <v>201508</v>
      </c>
      <c r="E147" s="1">
        <v>42216</v>
      </c>
      <c r="F147" s="1">
        <v>42243</v>
      </c>
      <c r="G147" t="s">
        <v>348</v>
      </c>
      <c r="H147" s="81">
        <v>3601</v>
      </c>
      <c r="I147" t="s">
        <v>6</v>
      </c>
      <c r="J147" s="3">
        <v>218.36</v>
      </c>
    </row>
    <row r="148" spans="1:10" x14ac:dyDescent="0.25">
      <c r="A148" t="s">
        <v>346</v>
      </c>
      <c r="B148" t="s">
        <v>5</v>
      </c>
      <c r="C148" s="82" t="s">
        <v>347</v>
      </c>
      <c r="D148">
        <v>201509</v>
      </c>
      <c r="E148" s="1">
        <v>42243</v>
      </c>
      <c r="F148" s="1">
        <v>42276</v>
      </c>
      <c r="G148" t="s">
        <v>348</v>
      </c>
      <c r="H148" s="81">
        <v>13696</v>
      </c>
      <c r="I148" t="s">
        <v>6</v>
      </c>
      <c r="J148" s="3">
        <v>801.28</v>
      </c>
    </row>
    <row r="149" spans="1:10" x14ac:dyDescent="0.25">
      <c r="A149" t="s">
        <v>346</v>
      </c>
      <c r="B149" t="s">
        <v>5</v>
      </c>
      <c r="C149" s="82" t="s">
        <v>347</v>
      </c>
      <c r="D149">
        <v>201510</v>
      </c>
      <c r="E149" s="1">
        <v>42276</v>
      </c>
      <c r="F149" s="1">
        <v>42305</v>
      </c>
      <c r="G149" t="s">
        <v>348</v>
      </c>
      <c r="H149" s="81">
        <v>7499</v>
      </c>
      <c r="I149" t="s">
        <v>6</v>
      </c>
      <c r="J149" s="3">
        <v>448.4</v>
      </c>
    </row>
    <row r="150" spans="1:10" x14ac:dyDescent="0.25">
      <c r="A150" t="s">
        <v>346</v>
      </c>
      <c r="B150" t="s">
        <v>5</v>
      </c>
      <c r="C150" s="82" t="s">
        <v>347</v>
      </c>
      <c r="D150">
        <v>201511</v>
      </c>
      <c r="E150" s="1">
        <v>42305</v>
      </c>
      <c r="F150" s="1">
        <v>42339</v>
      </c>
      <c r="G150" t="s">
        <v>348</v>
      </c>
      <c r="H150" s="81">
        <v>13622</v>
      </c>
      <c r="I150" t="s">
        <v>6</v>
      </c>
      <c r="J150" s="3">
        <v>823.93</v>
      </c>
    </row>
    <row r="151" spans="1:10" x14ac:dyDescent="0.25">
      <c r="A151" t="s">
        <v>346</v>
      </c>
      <c r="B151" t="s">
        <v>5</v>
      </c>
      <c r="C151" s="82" t="s">
        <v>347</v>
      </c>
      <c r="D151">
        <v>201512</v>
      </c>
      <c r="E151" s="1">
        <v>42339</v>
      </c>
      <c r="F151" s="1">
        <v>42369</v>
      </c>
      <c r="G151" t="s">
        <v>348</v>
      </c>
      <c r="H151" s="81">
        <v>10335</v>
      </c>
      <c r="I151" t="s">
        <v>6</v>
      </c>
      <c r="J151" s="3">
        <v>652.89</v>
      </c>
    </row>
    <row r="152" spans="1:10" x14ac:dyDescent="0.25">
      <c r="A152" t="s">
        <v>346</v>
      </c>
      <c r="B152" t="s">
        <v>5</v>
      </c>
      <c r="C152" s="82" t="s">
        <v>347</v>
      </c>
      <c r="D152">
        <v>201601</v>
      </c>
      <c r="E152" s="1">
        <v>42369</v>
      </c>
      <c r="F152" s="1">
        <v>42401</v>
      </c>
      <c r="G152" t="s">
        <v>348</v>
      </c>
      <c r="H152" s="81">
        <v>10585</v>
      </c>
      <c r="I152" t="s">
        <v>6</v>
      </c>
      <c r="J152" s="3">
        <v>662.16</v>
      </c>
    </row>
    <row r="153" spans="1:10" x14ac:dyDescent="0.25">
      <c r="A153" t="s">
        <v>346</v>
      </c>
      <c r="B153" t="s">
        <v>5</v>
      </c>
      <c r="C153" s="82" t="s">
        <v>347</v>
      </c>
      <c r="D153">
        <v>201602</v>
      </c>
      <c r="E153" s="1">
        <v>42401</v>
      </c>
      <c r="F153" s="1">
        <v>42430</v>
      </c>
      <c r="G153" t="s">
        <v>348</v>
      </c>
      <c r="H153" s="81">
        <v>12209</v>
      </c>
      <c r="I153" t="s">
        <v>6</v>
      </c>
      <c r="J153" s="3">
        <v>745.1</v>
      </c>
    </row>
    <row r="154" spans="1:10" x14ac:dyDescent="0.25">
      <c r="A154" t="s">
        <v>346</v>
      </c>
      <c r="B154" t="s">
        <v>5</v>
      </c>
      <c r="C154" s="82" t="s">
        <v>347</v>
      </c>
      <c r="D154">
        <v>201603</v>
      </c>
      <c r="E154" s="1">
        <v>42430</v>
      </c>
      <c r="F154" s="1">
        <v>42460</v>
      </c>
      <c r="G154" t="s">
        <v>348</v>
      </c>
      <c r="H154" s="81">
        <v>11447</v>
      </c>
      <c r="I154" t="s">
        <v>6</v>
      </c>
      <c r="J154" s="3">
        <v>734.88</v>
      </c>
    </row>
    <row r="155" spans="1:10" x14ac:dyDescent="0.25">
      <c r="A155" t="s">
        <v>346</v>
      </c>
      <c r="B155" t="s">
        <v>5</v>
      </c>
      <c r="C155" s="82" t="s">
        <v>347</v>
      </c>
      <c r="D155">
        <v>201604</v>
      </c>
      <c r="E155" s="1">
        <v>42460</v>
      </c>
      <c r="F155" s="1">
        <v>42489</v>
      </c>
      <c r="G155" t="s">
        <v>348</v>
      </c>
      <c r="H155" s="81">
        <v>12039</v>
      </c>
      <c r="I155" t="s">
        <v>6</v>
      </c>
      <c r="J155" s="3">
        <v>725.35</v>
      </c>
    </row>
    <row r="156" spans="1:10" x14ac:dyDescent="0.25">
      <c r="A156" t="s">
        <v>346</v>
      </c>
      <c r="B156" t="s">
        <v>5</v>
      </c>
      <c r="C156" s="82" t="s">
        <v>347</v>
      </c>
      <c r="D156">
        <v>201605</v>
      </c>
      <c r="E156" s="1">
        <v>42489</v>
      </c>
      <c r="F156" s="1">
        <v>42521</v>
      </c>
      <c r="G156" t="s">
        <v>348</v>
      </c>
      <c r="H156" s="81">
        <v>9763</v>
      </c>
      <c r="I156" t="s">
        <v>6</v>
      </c>
      <c r="J156" s="3">
        <v>607.25</v>
      </c>
    </row>
    <row r="157" spans="1:10" x14ac:dyDescent="0.25">
      <c r="A157" t="s">
        <v>346</v>
      </c>
      <c r="B157" t="s">
        <v>5</v>
      </c>
      <c r="C157" s="82" t="s">
        <v>347</v>
      </c>
      <c r="D157">
        <v>201606</v>
      </c>
      <c r="E157" s="1">
        <v>42521</v>
      </c>
      <c r="F157" s="1">
        <v>42550</v>
      </c>
      <c r="G157" t="s">
        <v>348</v>
      </c>
      <c r="H157" s="81">
        <v>7680</v>
      </c>
      <c r="I157" t="s">
        <v>6</v>
      </c>
      <c r="J157" s="3">
        <v>461.05</v>
      </c>
    </row>
    <row r="158" spans="1:10" x14ac:dyDescent="0.25">
      <c r="A158" t="s">
        <v>377</v>
      </c>
      <c r="B158" t="s">
        <v>5</v>
      </c>
      <c r="C158" s="82" t="s">
        <v>378</v>
      </c>
      <c r="D158">
        <v>201507</v>
      </c>
      <c r="E158" s="1">
        <v>42185</v>
      </c>
      <c r="F158" s="1">
        <v>42216</v>
      </c>
      <c r="G158" t="s">
        <v>379</v>
      </c>
      <c r="H158" s="81">
        <v>68525</v>
      </c>
      <c r="I158" t="s">
        <v>6</v>
      </c>
      <c r="J158" s="3">
        <v>4019.54</v>
      </c>
    </row>
    <row r="159" spans="1:10" x14ac:dyDescent="0.25">
      <c r="A159" t="s">
        <v>377</v>
      </c>
      <c r="B159" t="s">
        <v>5</v>
      </c>
      <c r="C159" s="82" t="s">
        <v>378</v>
      </c>
      <c r="D159">
        <v>201508</v>
      </c>
      <c r="E159" s="1">
        <v>42216</v>
      </c>
      <c r="F159" s="1">
        <v>42243</v>
      </c>
      <c r="G159" t="s">
        <v>379</v>
      </c>
      <c r="H159" s="81">
        <v>62059</v>
      </c>
      <c r="I159" t="s">
        <v>6</v>
      </c>
      <c r="J159" s="3">
        <v>3763.21</v>
      </c>
    </row>
    <row r="160" spans="1:10" x14ac:dyDescent="0.25">
      <c r="A160" t="s">
        <v>377</v>
      </c>
      <c r="B160" t="s">
        <v>5</v>
      </c>
      <c r="C160" s="82" t="s">
        <v>378</v>
      </c>
      <c r="D160">
        <v>201509</v>
      </c>
      <c r="E160" s="1">
        <v>42243</v>
      </c>
      <c r="F160" s="1">
        <v>42276</v>
      </c>
      <c r="G160" t="s">
        <v>379</v>
      </c>
      <c r="H160" s="81">
        <v>101540</v>
      </c>
      <c r="I160" t="s">
        <v>6</v>
      </c>
      <c r="J160" s="3">
        <v>5940.58</v>
      </c>
    </row>
    <row r="161" spans="1:10" x14ac:dyDescent="0.25">
      <c r="A161" t="s">
        <v>377</v>
      </c>
      <c r="B161" t="s">
        <v>5</v>
      </c>
      <c r="C161" s="82" t="s">
        <v>378</v>
      </c>
      <c r="D161">
        <v>201510</v>
      </c>
      <c r="E161" s="1">
        <v>42276</v>
      </c>
      <c r="F161" s="1">
        <v>42305</v>
      </c>
      <c r="G161" t="s">
        <v>379</v>
      </c>
      <c r="H161" s="81">
        <v>85242</v>
      </c>
      <c r="I161" t="s">
        <v>6</v>
      </c>
      <c r="J161" s="3">
        <v>5097.04</v>
      </c>
    </row>
    <row r="162" spans="1:10" x14ac:dyDescent="0.25">
      <c r="A162" t="s">
        <v>377</v>
      </c>
      <c r="B162" t="s">
        <v>5</v>
      </c>
      <c r="C162" s="82" t="s">
        <v>378</v>
      </c>
      <c r="D162">
        <v>201511</v>
      </c>
      <c r="E162" s="1">
        <v>42305</v>
      </c>
      <c r="F162" s="1">
        <v>42339</v>
      </c>
      <c r="G162" t="s">
        <v>379</v>
      </c>
      <c r="H162" s="81">
        <v>97140</v>
      </c>
      <c r="I162" t="s">
        <v>6</v>
      </c>
      <c r="J162" s="3">
        <v>5875.52</v>
      </c>
    </row>
    <row r="163" spans="1:10" x14ac:dyDescent="0.25">
      <c r="A163" t="s">
        <v>377</v>
      </c>
      <c r="B163" t="s">
        <v>5</v>
      </c>
      <c r="C163" s="82" t="s">
        <v>378</v>
      </c>
      <c r="D163">
        <v>201512</v>
      </c>
      <c r="E163" s="1">
        <v>42339</v>
      </c>
      <c r="F163" s="1">
        <v>42369</v>
      </c>
      <c r="G163" t="s">
        <v>379</v>
      </c>
      <c r="H163" s="81">
        <v>78832</v>
      </c>
      <c r="I163" t="s">
        <v>6</v>
      </c>
      <c r="J163" s="3">
        <v>4980</v>
      </c>
    </row>
    <row r="164" spans="1:10" x14ac:dyDescent="0.25">
      <c r="A164" t="s">
        <v>377</v>
      </c>
      <c r="B164" t="s">
        <v>5</v>
      </c>
      <c r="C164" s="82" t="s">
        <v>378</v>
      </c>
      <c r="D164">
        <v>201601</v>
      </c>
      <c r="E164" s="1">
        <v>42369</v>
      </c>
      <c r="F164" s="1">
        <v>42401</v>
      </c>
      <c r="G164" t="s">
        <v>379</v>
      </c>
      <c r="H164" s="81">
        <v>82556</v>
      </c>
      <c r="I164" t="s">
        <v>6</v>
      </c>
      <c r="J164" s="3">
        <v>5164.45</v>
      </c>
    </row>
    <row r="165" spans="1:10" x14ac:dyDescent="0.25">
      <c r="A165" t="s">
        <v>377</v>
      </c>
      <c r="B165" t="s">
        <v>5</v>
      </c>
      <c r="C165" s="82" t="s">
        <v>378</v>
      </c>
      <c r="D165">
        <v>201602</v>
      </c>
      <c r="E165" s="1">
        <v>42401</v>
      </c>
      <c r="F165" s="1">
        <v>42430</v>
      </c>
      <c r="G165" t="s">
        <v>379</v>
      </c>
      <c r="H165" s="81">
        <v>88220</v>
      </c>
      <c r="I165" t="s">
        <v>6</v>
      </c>
      <c r="J165" s="3">
        <v>5383.95</v>
      </c>
    </row>
    <row r="166" spans="1:10" x14ac:dyDescent="0.25">
      <c r="A166" t="s">
        <v>377</v>
      </c>
      <c r="B166" t="s">
        <v>5</v>
      </c>
      <c r="C166" s="82" t="s">
        <v>378</v>
      </c>
      <c r="D166">
        <v>201603</v>
      </c>
      <c r="E166" s="1">
        <v>42430</v>
      </c>
      <c r="F166" s="1">
        <v>42460</v>
      </c>
      <c r="G166" t="s">
        <v>379</v>
      </c>
      <c r="H166" s="81">
        <v>84218</v>
      </c>
      <c r="I166" t="s">
        <v>6</v>
      </c>
      <c r="J166" s="3">
        <v>5406.67</v>
      </c>
    </row>
    <row r="167" spans="1:10" x14ac:dyDescent="0.25">
      <c r="A167" t="s">
        <v>377</v>
      </c>
      <c r="B167" t="s">
        <v>5</v>
      </c>
      <c r="C167" s="82" t="s">
        <v>378</v>
      </c>
      <c r="D167">
        <v>201604</v>
      </c>
      <c r="E167" s="1">
        <v>42460</v>
      </c>
      <c r="F167" s="1">
        <v>42489</v>
      </c>
      <c r="G167" t="s">
        <v>379</v>
      </c>
      <c r="H167" s="81">
        <v>85801</v>
      </c>
      <c r="I167" t="s">
        <v>6</v>
      </c>
      <c r="J167" s="3">
        <v>5169.51</v>
      </c>
    </row>
    <row r="168" spans="1:10" x14ac:dyDescent="0.25">
      <c r="A168" t="s">
        <v>377</v>
      </c>
      <c r="B168" t="s">
        <v>5</v>
      </c>
      <c r="C168" s="82" t="s">
        <v>378</v>
      </c>
      <c r="D168">
        <v>201605</v>
      </c>
      <c r="E168" s="1">
        <v>42489</v>
      </c>
      <c r="F168" s="1">
        <v>42521</v>
      </c>
      <c r="G168" t="s">
        <v>379</v>
      </c>
      <c r="H168" s="81">
        <v>74067</v>
      </c>
      <c r="I168" t="s">
        <v>6</v>
      </c>
      <c r="J168" s="3">
        <v>4606.8999999999996</v>
      </c>
    </row>
    <row r="169" spans="1:10" x14ac:dyDescent="0.25">
      <c r="A169" t="s">
        <v>377</v>
      </c>
      <c r="B169" t="s">
        <v>5</v>
      </c>
      <c r="C169" s="82" t="s">
        <v>378</v>
      </c>
      <c r="D169">
        <v>201606</v>
      </c>
      <c r="E169" s="1">
        <v>42521</v>
      </c>
      <c r="F169" s="1">
        <v>42550</v>
      </c>
      <c r="G169" t="s">
        <v>379</v>
      </c>
      <c r="H169" s="81">
        <v>60796</v>
      </c>
      <c r="I169" t="s">
        <v>6</v>
      </c>
      <c r="J169" s="3">
        <v>3649.71</v>
      </c>
    </row>
    <row r="170" spans="1:10" x14ac:dyDescent="0.25">
      <c r="A170" t="s">
        <v>352</v>
      </c>
      <c r="B170" t="s">
        <v>5</v>
      </c>
      <c r="C170" s="82" t="s">
        <v>353</v>
      </c>
      <c r="D170">
        <v>201507</v>
      </c>
      <c r="E170" s="1">
        <v>42185</v>
      </c>
      <c r="F170" s="1">
        <v>42216</v>
      </c>
      <c r="G170" t="s">
        <v>354</v>
      </c>
      <c r="H170" s="81">
        <v>11929</v>
      </c>
      <c r="I170" t="s">
        <v>6</v>
      </c>
      <c r="J170" s="3">
        <v>699.73</v>
      </c>
    </row>
    <row r="171" spans="1:10" x14ac:dyDescent="0.25">
      <c r="A171" t="s">
        <v>352</v>
      </c>
      <c r="B171" t="s">
        <v>5</v>
      </c>
      <c r="C171" s="82" t="s">
        <v>353</v>
      </c>
      <c r="D171">
        <v>201508</v>
      </c>
      <c r="E171" s="1">
        <v>42216</v>
      </c>
      <c r="F171" s="1">
        <v>42243</v>
      </c>
      <c r="G171" t="s">
        <v>354</v>
      </c>
      <c r="H171" s="81">
        <v>9774</v>
      </c>
      <c r="I171" t="s">
        <v>6</v>
      </c>
      <c r="J171" s="3">
        <v>592.69000000000005</v>
      </c>
    </row>
    <row r="172" spans="1:10" x14ac:dyDescent="0.25">
      <c r="A172" t="s">
        <v>352</v>
      </c>
      <c r="B172" t="s">
        <v>5</v>
      </c>
      <c r="C172" s="82" t="s">
        <v>353</v>
      </c>
      <c r="D172">
        <v>201509</v>
      </c>
      <c r="E172" s="1">
        <v>42243</v>
      </c>
      <c r="F172" s="1">
        <v>42276</v>
      </c>
      <c r="G172" t="s">
        <v>354</v>
      </c>
      <c r="H172" s="81">
        <v>17091</v>
      </c>
      <c r="I172" t="s">
        <v>6</v>
      </c>
      <c r="J172" s="3">
        <v>999.91</v>
      </c>
    </row>
    <row r="173" spans="1:10" x14ac:dyDescent="0.25">
      <c r="A173" t="s">
        <v>352</v>
      </c>
      <c r="B173" t="s">
        <v>5</v>
      </c>
      <c r="C173" s="82" t="s">
        <v>353</v>
      </c>
      <c r="D173">
        <v>201510</v>
      </c>
      <c r="E173" s="1">
        <v>42276</v>
      </c>
      <c r="F173" s="1">
        <v>42305</v>
      </c>
      <c r="G173" t="s">
        <v>354</v>
      </c>
      <c r="H173" s="81">
        <v>14624</v>
      </c>
      <c r="I173" t="s">
        <v>6</v>
      </c>
      <c r="J173" s="3">
        <v>874.44</v>
      </c>
    </row>
    <row r="174" spans="1:10" x14ac:dyDescent="0.25">
      <c r="A174" t="s">
        <v>352</v>
      </c>
      <c r="B174" t="s">
        <v>5</v>
      </c>
      <c r="C174" s="82" t="s">
        <v>353</v>
      </c>
      <c r="D174">
        <v>201511</v>
      </c>
      <c r="E174" s="1">
        <v>42305</v>
      </c>
      <c r="F174" s="1">
        <v>42339</v>
      </c>
      <c r="G174" t="s">
        <v>354</v>
      </c>
      <c r="H174" s="81">
        <v>16330</v>
      </c>
      <c r="I174" t="s">
        <v>6</v>
      </c>
      <c r="J174" s="3">
        <v>987.72</v>
      </c>
    </row>
    <row r="175" spans="1:10" x14ac:dyDescent="0.25">
      <c r="A175" t="s">
        <v>352</v>
      </c>
      <c r="B175" t="s">
        <v>5</v>
      </c>
      <c r="C175" s="82" t="s">
        <v>353</v>
      </c>
      <c r="D175">
        <v>201512</v>
      </c>
      <c r="E175" s="1">
        <v>42339</v>
      </c>
      <c r="F175" s="1">
        <v>42369</v>
      </c>
      <c r="G175" t="s">
        <v>354</v>
      </c>
      <c r="H175" s="81">
        <v>12933</v>
      </c>
      <c r="I175" t="s">
        <v>6</v>
      </c>
      <c r="J175" s="3">
        <v>817.01</v>
      </c>
    </row>
    <row r="176" spans="1:10" x14ac:dyDescent="0.25">
      <c r="A176" t="s">
        <v>352</v>
      </c>
      <c r="B176" t="s">
        <v>5</v>
      </c>
      <c r="C176" s="82" t="s">
        <v>353</v>
      </c>
      <c r="D176">
        <v>201601</v>
      </c>
      <c r="E176" s="1">
        <v>42369</v>
      </c>
      <c r="F176" s="1">
        <v>42401</v>
      </c>
      <c r="G176" t="s">
        <v>354</v>
      </c>
      <c r="H176" s="81">
        <v>13586</v>
      </c>
      <c r="I176" t="s">
        <v>6</v>
      </c>
      <c r="J176" s="3">
        <v>849.9</v>
      </c>
    </row>
    <row r="177" spans="1:10" x14ac:dyDescent="0.25">
      <c r="A177" t="s">
        <v>352</v>
      </c>
      <c r="B177" t="s">
        <v>5</v>
      </c>
      <c r="C177" s="82" t="s">
        <v>353</v>
      </c>
      <c r="D177">
        <v>201602</v>
      </c>
      <c r="E177" s="1">
        <v>42401</v>
      </c>
      <c r="F177" s="1">
        <v>42430</v>
      </c>
      <c r="G177" t="s">
        <v>354</v>
      </c>
      <c r="H177" s="81">
        <v>13898</v>
      </c>
      <c r="I177" t="s">
        <v>6</v>
      </c>
      <c r="J177" s="3">
        <v>848.18</v>
      </c>
    </row>
    <row r="178" spans="1:10" x14ac:dyDescent="0.25">
      <c r="A178" t="s">
        <v>352</v>
      </c>
      <c r="B178" t="s">
        <v>5</v>
      </c>
      <c r="C178" s="82" t="s">
        <v>353</v>
      </c>
      <c r="D178">
        <v>201603</v>
      </c>
      <c r="E178" s="1">
        <v>42430</v>
      </c>
      <c r="F178" s="1">
        <v>42460</v>
      </c>
      <c r="G178" t="s">
        <v>354</v>
      </c>
      <c r="H178" s="81">
        <v>13649</v>
      </c>
      <c r="I178" t="s">
        <v>6</v>
      </c>
      <c r="J178" s="3">
        <v>876.25</v>
      </c>
    </row>
    <row r="179" spans="1:10" x14ac:dyDescent="0.25">
      <c r="A179" t="s">
        <v>352</v>
      </c>
      <c r="B179" t="s">
        <v>5</v>
      </c>
      <c r="C179" s="82" t="s">
        <v>353</v>
      </c>
      <c r="D179">
        <v>201604</v>
      </c>
      <c r="E179" s="1">
        <v>42460</v>
      </c>
      <c r="F179" s="1">
        <v>42489</v>
      </c>
      <c r="G179" t="s">
        <v>354</v>
      </c>
      <c r="H179" s="81">
        <v>14644</v>
      </c>
      <c r="I179" t="s">
        <v>6</v>
      </c>
      <c r="J179" s="3">
        <v>882.3</v>
      </c>
    </row>
    <row r="180" spans="1:10" x14ac:dyDescent="0.25">
      <c r="A180" t="s">
        <v>352</v>
      </c>
      <c r="B180" t="s">
        <v>5</v>
      </c>
      <c r="C180" s="82" t="s">
        <v>353</v>
      </c>
      <c r="D180">
        <v>201605</v>
      </c>
      <c r="E180" s="1">
        <v>42489</v>
      </c>
      <c r="F180" s="1">
        <v>42521</v>
      </c>
      <c r="G180" t="s">
        <v>354</v>
      </c>
      <c r="H180" s="81">
        <v>15060</v>
      </c>
      <c r="I180" t="s">
        <v>6</v>
      </c>
      <c r="J180" s="3">
        <v>936.72</v>
      </c>
    </row>
    <row r="181" spans="1:10" x14ac:dyDescent="0.25">
      <c r="A181" t="s">
        <v>352</v>
      </c>
      <c r="B181" t="s">
        <v>5</v>
      </c>
      <c r="C181" s="82" t="s">
        <v>353</v>
      </c>
      <c r="D181">
        <v>201606</v>
      </c>
      <c r="E181" s="1">
        <v>42521</v>
      </c>
      <c r="F181" s="1">
        <v>42550</v>
      </c>
      <c r="G181" t="s">
        <v>354</v>
      </c>
      <c r="H181" s="81">
        <v>13646</v>
      </c>
      <c r="I181" t="s">
        <v>6</v>
      </c>
      <c r="J181" s="3">
        <v>819.2</v>
      </c>
    </row>
    <row r="182" spans="1:10" x14ac:dyDescent="0.25">
      <c r="A182" t="s">
        <v>355</v>
      </c>
      <c r="B182" t="s">
        <v>5</v>
      </c>
      <c r="C182" s="82" t="s">
        <v>356</v>
      </c>
      <c r="D182">
        <v>201507</v>
      </c>
      <c r="E182" s="1">
        <v>42185</v>
      </c>
      <c r="F182" s="1">
        <v>42216</v>
      </c>
      <c r="G182" t="s">
        <v>357</v>
      </c>
      <c r="H182" s="81">
        <v>29565</v>
      </c>
      <c r="I182" t="s">
        <v>6</v>
      </c>
      <c r="J182" s="3">
        <v>1734.22</v>
      </c>
    </row>
    <row r="183" spans="1:10" x14ac:dyDescent="0.25">
      <c r="A183" t="s">
        <v>355</v>
      </c>
      <c r="B183" t="s">
        <v>5</v>
      </c>
      <c r="C183" s="82" t="s">
        <v>356</v>
      </c>
      <c r="D183">
        <v>201508</v>
      </c>
      <c r="E183" s="1">
        <v>42216</v>
      </c>
      <c r="F183" s="1">
        <v>42243</v>
      </c>
      <c r="G183" t="s">
        <v>357</v>
      </c>
      <c r="H183" s="81">
        <v>25800</v>
      </c>
      <c r="I183" t="s">
        <v>6</v>
      </c>
      <c r="J183" s="3">
        <v>1564.49</v>
      </c>
    </row>
    <row r="184" spans="1:10" x14ac:dyDescent="0.25">
      <c r="A184" t="s">
        <v>355</v>
      </c>
      <c r="B184" t="s">
        <v>5</v>
      </c>
      <c r="C184" s="82" t="s">
        <v>356</v>
      </c>
      <c r="D184">
        <v>201509</v>
      </c>
      <c r="E184" s="1">
        <v>42243</v>
      </c>
      <c r="F184" s="1">
        <v>42276</v>
      </c>
      <c r="G184" t="s">
        <v>357</v>
      </c>
      <c r="H184" s="81">
        <v>37672</v>
      </c>
      <c r="I184" t="s">
        <v>6</v>
      </c>
      <c r="J184" s="3">
        <v>2203.9899999999998</v>
      </c>
    </row>
    <row r="185" spans="1:10" x14ac:dyDescent="0.25">
      <c r="A185" t="s">
        <v>355</v>
      </c>
      <c r="B185" t="s">
        <v>5</v>
      </c>
      <c r="C185" s="82" t="s">
        <v>356</v>
      </c>
      <c r="D185">
        <v>201510</v>
      </c>
      <c r="E185" s="1">
        <v>42276</v>
      </c>
      <c r="F185" s="1">
        <v>42305</v>
      </c>
      <c r="G185" t="s">
        <v>357</v>
      </c>
      <c r="H185" s="81">
        <v>32458</v>
      </c>
      <c r="I185" t="s">
        <v>6</v>
      </c>
      <c r="J185" s="3">
        <v>1940.82</v>
      </c>
    </row>
    <row r="186" spans="1:10" x14ac:dyDescent="0.25">
      <c r="A186" t="s">
        <v>355</v>
      </c>
      <c r="B186" t="s">
        <v>5</v>
      </c>
      <c r="C186" s="82" t="s">
        <v>356</v>
      </c>
      <c r="D186">
        <v>201511</v>
      </c>
      <c r="E186" s="1">
        <v>42305</v>
      </c>
      <c r="F186" s="1">
        <v>42339</v>
      </c>
      <c r="G186" t="s">
        <v>357</v>
      </c>
      <c r="H186" s="81">
        <v>39363</v>
      </c>
      <c r="I186" t="s">
        <v>6</v>
      </c>
      <c r="J186" s="3">
        <v>2380.87</v>
      </c>
    </row>
    <row r="187" spans="1:10" x14ac:dyDescent="0.25">
      <c r="A187" t="s">
        <v>355</v>
      </c>
      <c r="B187" t="s">
        <v>5</v>
      </c>
      <c r="C187" s="82" t="s">
        <v>356</v>
      </c>
      <c r="D187">
        <v>201512</v>
      </c>
      <c r="E187" s="1">
        <v>42339</v>
      </c>
      <c r="F187" s="1">
        <v>42369</v>
      </c>
      <c r="G187" t="s">
        <v>357</v>
      </c>
      <c r="H187" s="81">
        <v>33339</v>
      </c>
      <c r="I187" t="s">
        <v>6</v>
      </c>
      <c r="J187" s="3">
        <v>2106.1</v>
      </c>
    </row>
    <row r="188" spans="1:10" x14ac:dyDescent="0.25">
      <c r="A188" t="s">
        <v>355</v>
      </c>
      <c r="B188" t="s">
        <v>5</v>
      </c>
      <c r="C188" s="82" t="s">
        <v>356</v>
      </c>
      <c r="D188">
        <v>201601</v>
      </c>
      <c r="E188" s="1">
        <v>42369</v>
      </c>
      <c r="F188" s="1">
        <v>42401</v>
      </c>
      <c r="G188" t="s">
        <v>357</v>
      </c>
      <c r="H188" s="81">
        <v>38951</v>
      </c>
      <c r="I188" t="s">
        <v>6</v>
      </c>
      <c r="J188" s="3">
        <v>2436.65</v>
      </c>
    </row>
    <row r="189" spans="1:10" x14ac:dyDescent="0.25">
      <c r="A189" t="s">
        <v>355</v>
      </c>
      <c r="B189" t="s">
        <v>5</v>
      </c>
      <c r="C189" s="82" t="s">
        <v>356</v>
      </c>
      <c r="D189">
        <v>201602</v>
      </c>
      <c r="E189" s="1">
        <v>42401</v>
      </c>
      <c r="F189" s="1">
        <v>42430</v>
      </c>
      <c r="G189" t="s">
        <v>357</v>
      </c>
      <c r="H189" s="81">
        <v>38584</v>
      </c>
      <c r="I189" t="s">
        <v>6</v>
      </c>
      <c r="J189" s="3">
        <v>2354.73</v>
      </c>
    </row>
    <row r="190" spans="1:10" x14ac:dyDescent="0.25">
      <c r="A190" t="s">
        <v>355</v>
      </c>
      <c r="B190" t="s">
        <v>5</v>
      </c>
      <c r="C190" s="82" t="s">
        <v>356</v>
      </c>
      <c r="D190">
        <v>201603</v>
      </c>
      <c r="E190" s="1">
        <v>42430</v>
      </c>
      <c r="F190" s="1">
        <v>42460</v>
      </c>
      <c r="G190" t="s">
        <v>357</v>
      </c>
      <c r="H190" s="81">
        <v>37118</v>
      </c>
      <c r="I190" t="s">
        <v>6</v>
      </c>
      <c r="J190" s="3">
        <v>2382.92</v>
      </c>
    </row>
    <row r="191" spans="1:10" x14ac:dyDescent="0.25">
      <c r="A191" t="s">
        <v>355</v>
      </c>
      <c r="B191" t="s">
        <v>5</v>
      </c>
      <c r="C191" s="82" t="s">
        <v>356</v>
      </c>
      <c r="D191">
        <v>201604</v>
      </c>
      <c r="E191" s="1">
        <v>42460</v>
      </c>
      <c r="F191" s="1">
        <v>42489</v>
      </c>
      <c r="G191" t="s">
        <v>357</v>
      </c>
      <c r="H191" s="81">
        <v>35843</v>
      </c>
      <c r="I191" t="s">
        <v>6</v>
      </c>
      <c r="J191" s="3">
        <v>2159.54</v>
      </c>
    </row>
    <row r="192" spans="1:10" x14ac:dyDescent="0.25">
      <c r="A192" t="s">
        <v>355</v>
      </c>
      <c r="B192" t="s">
        <v>5</v>
      </c>
      <c r="C192" s="82" t="s">
        <v>356</v>
      </c>
      <c r="D192">
        <v>201605</v>
      </c>
      <c r="E192" s="1">
        <v>42489</v>
      </c>
      <c r="F192" s="1">
        <v>42521</v>
      </c>
      <c r="G192" t="s">
        <v>357</v>
      </c>
      <c r="H192" s="81">
        <v>30936</v>
      </c>
      <c r="I192" t="s">
        <v>6</v>
      </c>
      <c r="J192" s="3">
        <v>1924.19</v>
      </c>
    </row>
    <row r="193" spans="1:10" x14ac:dyDescent="0.25">
      <c r="A193" t="s">
        <v>355</v>
      </c>
      <c r="B193" t="s">
        <v>5</v>
      </c>
      <c r="C193" s="82" t="s">
        <v>356</v>
      </c>
      <c r="D193">
        <v>201606</v>
      </c>
      <c r="E193" s="1">
        <v>42521</v>
      </c>
      <c r="F193" s="1">
        <v>42550</v>
      </c>
      <c r="G193" t="s">
        <v>357</v>
      </c>
      <c r="H193" s="81">
        <v>24999</v>
      </c>
      <c r="I193" t="s">
        <v>6</v>
      </c>
      <c r="J193" s="3">
        <v>1500.74</v>
      </c>
    </row>
    <row r="194" spans="1:10" x14ac:dyDescent="0.25">
      <c r="A194" t="s">
        <v>358</v>
      </c>
      <c r="B194" t="s">
        <v>5</v>
      </c>
      <c r="C194" s="82" t="s">
        <v>359</v>
      </c>
      <c r="D194">
        <v>201507</v>
      </c>
      <c r="E194" s="1">
        <v>42185</v>
      </c>
      <c r="F194" s="1">
        <v>42216</v>
      </c>
      <c r="G194" t="s">
        <v>360</v>
      </c>
      <c r="H194" s="81">
        <v>38037</v>
      </c>
      <c r="I194" t="s">
        <v>6</v>
      </c>
      <c r="J194" s="3">
        <v>2231.1799999999998</v>
      </c>
    </row>
    <row r="195" spans="1:10" x14ac:dyDescent="0.25">
      <c r="A195" t="s">
        <v>358</v>
      </c>
      <c r="B195" t="s">
        <v>5</v>
      </c>
      <c r="C195" s="82" t="s">
        <v>359</v>
      </c>
      <c r="D195">
        <v>201508</v>
      </c>
      <c r="E195" s="1">
        <v>42216</v>
      </c>
      <c r="F195" s="1">
        <v>42243</v>
      </c>
      <c r="G195" t="s">
        <v>360</v>
      </c>
      <c r="H195" s="81">
        <v>30913</v>
      </c>
      <c r="I195" t="s">
        <v>6</v>
      </c>
      <c r="J195" s="3">
        <v>1874.54</v>
      </c>
    </row>
    <row r="196" spans="1:10" x14ac:dyDescent="0.25">
      <c r="A196" t="s">
        <v>358</v>
      </c>
      <c r="B196" t="s">
        <v>5</v>
      </c>
      <c r="C196" s="82" t="s">
        <v>359</v>
      </c>
      <c r="D196">
        <v>201509</v>
      </c>
      <c r="E196" s="1">
        <v>42243</v>
      </c>
      <c r="F196" s="1">
        <v>42276</v>
      </c>
      <c r="G196" t="s">
        <v>360</v>
      </c>
      <c r="H196" s="81">
        <v>41987</v>
      </c>
      <c r="I196" t="s">
        <v>6</v>
      </c>
      <c r="J196" s="3">
        <v>2456.44</v>
      </c>
    </row>
    <row r="197" spans="1:10" x14ac:dyDescent="0.25">
      <c r="A197" t="s">
        <v>358</v>
      </c>
      <c r="B197" t="s">
        <v>5</v>
      </c>
      <c r="C197" s="82" t="s">
        <v>359</v>
      </c>
      <c r="D197">
        <v>201510</v>
      </c>
      <c r="E197" s="1">
        <v>42276</v>
      </c>
      <c r="F197" s="1">
        <v>42305</v>
      </c>
      <c r="G197" t="s">
        <v>360</v>
      </c>
      <c r="H197" s="81">
        <v>31401</v>
      </c>
      <c r="I197" t="s">
        <v>6</v>
      </c>
      <c r="J197" s="3">
        <v>1877.62</v>
      </c>
    </row>
    <row r="198" spans="1:10" x14ac:dyDescent="0.25">
      <c r="A198" t="s">
        <v>358</v>
      </c>
      <c r="B198" t="s">
        <v>5</v>
      </c>
      <c r="C198" s="82" t="s">
        <v>359</v>
      </c>
      <c r="D198">
        <v>201511</v>
      </c>
      <c r="E198" s="1">
        <v>42305</v>
      </c>
      <c r="F198" s="1">
        <v>42339</v>
      </c>
      <c r="G198" t="s">
        <v>360</v>
      </c>
      <c r="H198" s="81">
        <v>33610</v>
      </c>
      <c r="I198" t="s">
        <v>6</v>
      </c>
      <c r="J198" s="3">
        <v>2032.9</v>
      </c>
    </row>
    <row r="199" spans="1:10" x14ac:dyDescent="0.25">
      <c r="A199" t="s">
        <v>358</v>
      </c>
      <c r="B199" t="s">
        <v>5</v>
      </c>
      <c r="C199" s="82" t="s">
        <v>359</v>
      </c>
      <c r="D199">
        <v>201512</v>
      </c>
      <c r="E199" s="1">
        <v>42339</v>
      </c>
      <c r="F199" s="1">
        <v>42369</v>
      </c>
      <c r="G199" t="s">
        <v>360</v>
      </c>
      <c r="H199" s="81">
        <v>32117</v>
      </c>
      <c r="I199" t="s">
        <v>6</v>
      </c>
      <c r="J199" s="3">
        <v>2028.9</v>
      </c>
    </row>
    <row r="200" spans="1:10" x14ac:dyDescent="0.25">
      <c r="A200" t="s">
        <v>358</v>
      </c>
      <c r="B200" t="s">
        <v>5</v>
      </c>
      <c r="C200" s="82" t="s">
        <v>359</v>
      </c>
      <c r="D200">
        <v>201601</v>
      </c>
      <c r="E200" s="1">
        <v>42369</v>
      </c>
      <c r="F200" s="1">
        <v>42401</v>
      </c>
      <c r="G200" t="s">
        <v>360</v>
      </c>
      <c r="H200" s="81">
        <v>45253</v>
      </c>
      <c r="I200" t="s">
        <v>6</v>
      </c>
      <c r="J200" s="3">
        <v>2830.89</v>
      </c>
    </row>
    <row r="201" spans="1:10" x14ac:dyDescent="0.25">
      <c r="A201" t="s">
        <v>358</v>
      </c>
      <c r="B201" t="s">
        <v>5</v>
      </c>
      <c r="C201" s="82" t="s">
        <v>359</v>
      </c>
      <c r="D201">
        <v>201602</v>
      </c>
      <c r="E201" s="1">
        <v>42401</v>
      </c>
      <c r="F201" s="1">
        <v>42430</v>
      </c>
      <c r="G201" t="s">
        <v>360</v>
      </c>
      <c r="H201" s="81">
        <v>40428</v>
      </c>
      <c r="I201" t="s">
        <v>6</v>
      </c>
      <c r="J201" s="3">
        <v>2467.27</v>
      </c>
    </row>
    <row r="202" spans="1:10" x14ac:dyDescent="0.25">
      <c r="A202" t="s">
        <v>358</v>
      </c>
      <c r="B202" t="s">
        <v>5</v>
      </c>
      <c r="C202" s="82" t="s">
        <v>359</v>
      </c>
      <c r="D202">
        <v>201603</v>
      </c>
      <c r="E202" s="1">
        <v>42430</v>
      </c>
      <c r="F202" s="1">
        <v>42460</v>
      </c>
      <c r="G202" t="s">
        <v>360</v>
      </c>
      <c r="H202" s="81">
        <v>29546</v>
      </c>
      <c r="I202" t="s">
        <v>6</v>
      </c>
      <c r="J202" s="3">
        <v>1896.81</v>
      </c>
    </row>
    <row r="203" spans="1:10" x14ac:dyDescent="0.25">
      <c r="A203" t="s">
        <v>358</v>
      </c>
      <c r="B203" t="s">
        <v>5</v>
      </c>
      <c r="C203" s="82" t="s">
        <v>359</v>
      </c>
      <c r="D203">
        <v>201604</v>
      </c>
      <c r="E203" s="1">
        <v>42460</v>
      </c>
      <c r="F203" s="1">
        <v>42489</v>
      </c>
      <c r="G203" t="s">
        <v>360</v>
      </c>
      <c r="H203" s="81">
        <v>31424</v>
      </c>
      <c r="I203" t="s">
        <v>6</v>
      </c>
      <c r="J203" s="3">
        <v>1893.3</v>
      </c>
    </row>
    <row r="204" spans="1:10" x14ac:dyDescent="0.25">
      <c r="A204" t="s">
        <v>358</v>
      </c>
      <c r="B204" t="s">
        <v>5</v>
      </c>
      <c r="C204" s="82" t="s">
        <v>359</v>
      </c>
      <c r="D204">
        <v>201605</v>
      </c>
      <c r="E204" s="1">
        <v>42489</v>
      </c>
      <c r="F204" s="1">
        <v>42521</v>
      </c>
      <c r="G204" t="s">
        <v>360</v>
      </c>
      <c r="H204" s="81">
        <v>35802</v>
      </c>
      <c r="I204" t="s">
        <v>6</v>
      </c>
      <c r="J204" s="3">
        <v>2226.85</v>
      </c>
    </row>
    <row r="205" spans="1:10" x14ac:dyDescent="0.25">
      <c r="A205" t="s">
        <v>358</v>
      </c>
      <c r="B205" t="s">
        <v>5</v>
      </c>
      <c r="C205" s="82" t="s">
        <v>359</v>
      </c>
      <c r="D205">
        <v>201606</v>
      </c>
      <c r="E205" s="1">
        <v>42521</v>
      </c>
      <c r="F205" s="1">
        <v>42550</v>
      </c>
      <c r="G205" t="s">
        <v>360</v>
      </c>
      <c r="H205" s="81">
        <v>38346</v>
      </c>
      <c r="I205" t="s">
        <v>6</v>
      </c>
      <c r="J205" s="3">
        <v>2301.9899999999998</v>
      </c>
    </row>
    <row r="206" spans="1:10" x14ac:dyDescent="0.25">
      <c r="A206" t="s">
        <v>349</v>
      </c>
      <c r="B206" t="s">
        <v>5</v>
      </c>
      <c r="C206" s="82" t="s">
        <v>350</v>
      </c>
      <c r="D206">
        <v>201507</v>
      </c>
      <c r="E206" s="1">
        <v>42185</v>
      </c>
      <c r="F206" s="1">
        <v>42216</v>
      </c>
      <c r="G206" t="s">
        <v>351</v>
      </c>
      <c r="H206" s="81">
        <v>95437</v>
      </c>
      <c r="I206" t="s">
        <v>6</v>
      </c>
      <c r="J206" s="3">
        <v>5598.15</v>
      </c>
    </row>
    <row r="207" spans="1:10" x14ac:dyDescent="0.25">
      <c r="A207" t="s">
        <v>349</v>
      </c>
      <c r="B207" t="s">
        <v>5</v>
      </c>
      <c r="C207" s="82" t="s">
        <v>350</v>
      </c>
      <c r="D207">
        <v>201508</v>
      </c>
      <c r="E207" s="1">
        <v>42216</v>
      </c>
      <c r="F207" s="1">
        <v>42243</v>
      </c>
      <c r="G207" t="s">
        <v>351</v>
      </c>
      <c r="H207" s="81">
        <v>76469</v>
      </c>
      <c r="I207" t="s">
        <v>6</v>
      </c>
      <c r="J207" s="3">
        <v>4637.0200000000004</v>
      </c>
    </row>
    <row r="208" spans="1:10" x14ac:dyDescent="0.25">
      <c r="A208" t="s">
        <v>349</v>
      </c>
      <c r="B208" t="s">
        <v>5</v>
      </c>
      <c r="C208" s="82" t="s">
        <v>350</v>
      </c>
      <c r="D208">
        <v>201509</v>
      </c>
      <c r="E208" s="1">
        <v>42243</v>
      </c>
      <c r="F208" s="1">
        <v>42276</v>
      </c>
      <c r="G208" t="s">
        <v>351</v>
      </c>
      <c r="H208" s="81">
        <v>141252</v>
      </c>
      <c r="I208" t="s">
        <v>6</v>
      </c>
      <c r="J208" s="3">
        <v>8263.92</v>
      </c>
    </row>
    <row r="209" spans="1:10" x14ac:dyDescent="0.25">
      <c r="A209" t="s">
        <v>349</v>
      </c>
      <c r="B209" t="s">
        <v>5</v>
      </c>
      <c r="C209" s="82" t="s">
        <v>350</v>
      </c>
      <c r="D209">
        <v>201510</v>
      </c>
      <c r="E209" s="1">
        <v>42276</v>
      </c>
      <c r="F209" s="1">
        <v>42305</v>
      </c>
      <c r="G209" t="s">
        <v>351</v>
      </c>
      <c r="H209" s="81">
        <v>129021</v>
      </c>
      <c r="I209" t="s">
        <v>6</v>
      </c>
      <c r="J209" s="3">
        <v>7714.8</v>
      </c>
    </row>
    <row r="210" spans="1:10" x14ac:dyDescent="0.25">
      <c r="A210" t="s">
        <v>349</v>
      </c>
      <c r="B210" t="s">
        <v>5</v>
      </c>
      <c r="C210" s="82" t="s">
        <v>350</v>
      </c>
      <c r="D210">
        <v>201511</v>
      </c>
      <c r="E210" s="1">
        <v>42305</v>
      </c>
      <c r="F210" s="1">
        <v>42339</v>
      </c>
      <c r="G210" t="s">
        <v>351</v>
      </c>
      <c r="H210" s="81">
        <v>149558</v>
      </c>
      <c r="I210" t="s">
        <v>6</v>
      </c>
      <c r="J210" s="3">
        <v>9046.02</v>
      </c>
    </row>
    <row r="211" spans="1:10" x14ac:dyDescent="0.25">
      <c r="A211" t="s">
        <v>349</v>
      </c>
      <c r="B211" t="s">
        <v>5</v>
      </c>
      <c r="C211" s="82" t="s">
        <v>350</v>
      </c>
      <c r="D211">
        <v>201512</v>
      </c>
      <c r="E211" s="1">
        <v>42339</v>
      </c>
      <c r="F211" s="1">
        <v>42369</v>
      </c>
      <c r="G211" t="s">
        <v>351</v>
      </c>
      <c r="H211" s="81">
        <v>120454</v>
      </c>
      <c r="I211" t="s">
        <v>6</v>
      </c>
      <c r="J211" s="3">
        <v>7609.36</v>
      </c>
    </row>
    <row r="212" spans="1:10" x14ac:dyDescent="0.25">
      <c r="A212" t="s">
        <v>349</v>
      </c>
      <c r="B212" t="s">
        <v>5</v>
      </c>
      <c r="C212" s="82" t="s">
        <v>350</v>
      </c>
      <c r="D212">
        <v>201601</v>
      </c>
      <c r="E212" s="1">
        <v>42369</v>
      </c>
      <c r="F212" s="1">
        <v>42401</v>
      </c>
      <c r="G212" t="s">
        <v>351</v>
      </c>
      <c r="H212" s="81">
        <v>124250</v>
      </c>
      <c r="I212" t="s">
        <v>6</v>
      </c>
      <c r="J212" s="3">
        <v>7772.69</v>
      </c>
    </row>
    <row r="213" spans="1:10" x14ac:dyDescent="0.25">
      <c r="A213" t="s">
        <v>349</v>
      </c>
      <c r="B213" t="s">
        <v>5</v>
      </c>
      <c r="C213" s="82" t="s">
        <v>350</v>
      </c>
      <c r="D213">
        <v>201602</v>
      </c>
      <c r="E213" s="1">
        <v>42401</v>
      </c>
      <c r="F213" s="1">
        <v>42430</v>
      </c>
      <c r="G213" t="s">
        <v>351</v>
      </c>
      <c r="H213" s="81">
        <v>129753</v>
      </c>
      <c r="I213" t="s">
        <v>6</v>
      </c>
      <c r="J213" s="3">
        <v>7918.65</v>
      </c>
    </row>
    <row r="214" spans="1:10" x14ac:dyDescent="0.25">
      <c r="A214" t="s">
        <v>349</v>
      </c>
      <c r="B214" t="s">
        <v>5</v>
      </c>
      <c r="C214" s="82" t="s">
        <v>350</v>
      </c>
      <c r="D214">
        <v>201603</v>
      </c>
      <c r="E214" s="1">
        <v>42430</v>
      </c>
      <c r="F214" s="1">
        <v>42460</v>
      </c>
      <c r="G214" t="s">
        <v>351</v>
      </c>
      <c r="H214" s="81">
        <v>123334</v>
      </c>
      <c r="I214" t="s">
        <v>6</v>
      </c>
      <c r="J214" s="3">
        <v>7917.86</v>
      </c>
    </row>
    <row r="215" spans="1:10" x14ac:dyDescent="0.25">
      <c r="A215" t="s">
        <v>349</v>
      </c>
      <c r="B215" t="s">
        <v>5</v>
      </c>
      <c r="C215" s="82" t="s">
        <v>350</v>
      </c>
      <c r="D215">
        <v>201604</v>
      </c>
      <c r="E215" s="1">
        <v>42460</v>
      </c>
      <c r="F215" s="1">
        <v>42489</v>
      </c>
      <c r="G215" t="s">
        <v>351</v>
      </c>
      <c r="H215" s="81">
        <v>125542</v>
      </c>
      <c r="I215" t="s">
        <v>6</v>
      </c>
      <c r="J215" s="3">
        <v>7563.9</v>
      </c>
    </row>
    <row r="216" spans="1:10" x14ac:dyDescent="0.25">
      <c r="A216" t="s">
        <v>349</v>
      </c>
      <c r="B216" t="s">
        <v>5</v>
      </c>
      <c r="C216" s="82" t="s">
        <v>350</v>
      </c>
      <c r="D216">
        <v>201605</v>
      </c>
      <c r="E216" s="1">
        <v>42489</v>
      </c>
      <c r="F216" s="1">
        <v>42521</v>
      </c>
      <c r="G216" t="s">
        <v>351</v>
      </c>
      <c r="H216" s="81">
        <v>117927</v>
      </c>
      <c r="I216" t="s">
        <v>6</v>
      </c>
      <c r="J216" s="3">
        <v>7334.95</v>
      </c>
    </row>
    <row r="217" spans="1:10" x14ac:dyDescent="0.25">
      <c r="A217" t="s">
        <v>349</v>
      </c>
      <c r="B217" t="s">
        <v>5</v>
      </c>
      <c r="C217" s="82" t="s">
        <v>350</v>
      </c>
      <c r="D217">
        <v>201606</v>
      </c>
      <c r="E217" s="1">
        <v>42521</v>
      </c>
      <c r="F217" s="1">
        <v>42550</v>
      </c>
      <c r="G217" t="s">
        <v>351</v>
      </c>
      <c r="H217" s="81">
        <v>104191</v>
      </c>
      <c r="I217" t="s">
        <v>6</v>
      </c>
      <c r="J217" s="3">
        <v>6254.8</v>
      </c>
    </row>
    <row r="218" spans="1:10" x14ac:dyDescent="0.25">
      <c r="A218" t="s">
        <v>361</v>
      </c>
      <c r="B218" t="s">
        <v>5</v>
      </c>
      <c r="C218" s="82" t="s">
        <v>362</v>
      </c>
      <c r="D218">
        <v>201507</v>
      </c>
      <c r="E218" s="1">
        <v>42185</v>
      </c>
      <c r="F218" s="1">
        <v>42216</v>
      </c>
      <c r="G218" t="s">
        <v>363</v>
      </c>
      <c r="H218" s="81">
        <v>24392</v>
      </c>
      <c r="I218" t="s">
        <v>6</v>
      </c>
      <c r="J218" s="3">
        <v>1430.79</v>
      </c>
    </row>
    <row r="219" spans="1:10" x14ac:dyDescent="0.25">
      <c r="A219" t="s">
        <v>361</v>
      </c>
      <c r="B219" t="s">
        <v>5</v>
      </c>
      <c r="C219" s="82" t="s">
        <v>362</v>
      </c>
      <c r="D219">
        <v>201508</v>
      </c>
      <c r="E219" s="1">
        <v>42216</v>
      </c>
      <c r="F219" s="1">
        <v>42243</v>
      </c>
      <c r="G219" t="s">
        <v>363</v>
      </c>
      <c r="H219" s="81">
        <v>24337</v>
      </c>
      <c r="I219" t="s">
        <v>6</v>
      </c>
      <c r="J219" s="3">
        <v>1475.78</v>
      </c>
    </row>
    <row r="220" spans="1:10" x14ac:dyDescent="0.25">
      <c r="A220" t="s">
        <v>361</v>
      </c>
      <c r="B220" t="s">
        <v>5</v>
      </c>
      <c r="C220" s="82" t="s">
        <v>362</v>
      </c>
      <c r="D220">
        <v>201509</v>
      </c>
      <c r="E220" s="1">
        <v>42243</v>
      </c>
      <c r="F220" s="1">
        <v>42276</v>
      </c>
      <c r="G220" t="s">
        <v>363</v>
      </c>
      <c r="H220" s="81">
        <v>40230</v>
      </c>
      <c r="I220" t="s">
        <v>6</v>
      </c>
      <c r="J220" s="3">
        <v>2353.65</v>
      </c>
    </row>
    <row r="221" spans="1:10" x14ac:dyDescent="0.25">
      <c r="A221" t="s">
        <v>361</v>
      </c>
      <c r="B221" t="s">
        <v>5</v>
      </c>
      <c r="C221" s="82" t="s">
        <v>362</v>
      </c>
      <c r="D221">
        <v>201510</v>
      </c>
      <c r="E221" s="1">
        <v>42276</v>
      </c>
      <c r="F221" s="1">
        <v>42305</v>
      </c>
      <c r="G221" t="s">
        <v>363</v>
      </c>
      <c r="H221" s="81">
        <v>31198</v>
      </c>
      <c r="I221" t="s">
        <v>6</v>
      </c>
      <c r="J221" s="3">
        <v>1865.48</v>
      </c>
    </row>
    <row r="222" spans="1:10" x14ac:dyDescent="0.25">
      <c r="A222" t="s">
        <v>361</v>
      </c>
      <c r="B222" t="s">
        <v>5</v>
      </c>
      <c r="C222" s="82" t="s">
        <v>362</v>
      </c>
      <c r="D222">
        <v>201511</v>
      </c>
      <c r="E222" s="1">
        <v>42305</v>
      </c>
      <c r="F222" s="1">
        <v>42339</v>
      </c>
      <c r="G222" t="s">
        <v>363</v>
      </c>
      <c r="H222" s="81">
        <v>29603</v>
      </c>
      <c r="I222" t="s">
        <v>6</v>
      </c>
      <c r="J222" s="3">
        <v>1790.54</v>
      </c>
    </row>
    <row r="223" spans="1:10" x14ac:dyDescent="0.25">
      <c r="A223" t="s">
        <v>361</v>
      </c>
      <c r="B223" t="s">
        <v>5</v>
      </c>
      <c r="C223" s="82" t="s">
        <v>362</v>
      </c>
      <c r="D223">
        <v>201512</v>
      </c>
      <c r="E223" s="1">
        <v>42339</v>
      </c>
      <c r="F223" s="1">
        <v>42369</v>
      </c>
      <c r="G223" t="s">
        <v>363</v>
      </c>
      <c r="H223" s="81">
        <v>22442</v>
      </c>
      <c r="I223" t="s">
        <v>6</v>
      </c>
      <c r="J223" s="3">
        <v>1417.71</v>
      </c>
    </row>
    <row r="224" spans="1:10" x14ac:dyDescent="0.25">
      <c r="A224" t="s">
        <v>361</v>
      </c>
      <c r="B224" t="s">
        <v>5</v>
      </c>
      <c r="C224" s="82" t="s">
        <v>362</v>
      </c>
      <c r="D224">
        <v>201601</v>
      </c>
      <c r="E224" s="1">
        <v>42369</v>
      </c>
      <c r="F224" s="1">
        <v>42401</v>
      </c>
      <c r="G224" t="s">
        <v>363</v>
      </c>
      <c r="H224" s="81">
        <v>24268</v>
      </c>
      <c r="I224" t="s">
        <v>6</v>
      </c>
      <c r="J224" s="3">
        <v>1518.13</v>
      </c>
    </row>
    <row r="225" spans="1:10" x14ac:dyDescent="0.25">
      <c r="A225" t="s">
        <v>361</v>
      </c>
      <c r="B225" t="s">
        <v>5</v>
      </c>
      <c r="C225" s="82" t="s">
        <v>362</v>
      </c>
      <c r="D225">
        <v>201602</v>
      </c>
      <c r="E225" s="1">
        <v>42401</v>
      </c>
      <c r="F225" s="1">
        <v>42430</v>
      </c>
      <c r="G225" t="s">
        <v>363</v>
      </c>
      <c r="H225" s="81">
        <v>26575</v>
      </c>
      <c r="I225" t="s">
        <v>6</v>
      </c>
      <c r="J225" s="3">
        <v>1621.84</v>
      </c>
    </row>
    <row r="226" spans="1:10" x14ac:dyDescent="0.25">
      <c r="A226" t="s">
        <v>361</v>
      </c>
      <c r="B226" t="s">
        <v>5</v>
      </c>
      <c r="C226" s="82" t="s">
        <v>362</v>
      </c>
      <c r="D226">
        <v>201603</v>
      </c>
      <c r="E226" s="1">
        <v>42430</v>
      </c>
      <c r="F226" s="1">
        <v>42460</v>
      </c>
      <c r="G226" t="s">
        <v>363</v>
      </c>
      <c r="H226" s="81">
        <v>24688</v>
      </c>
      <c r="I226" t="s">
        <v>6</v>
      </c>
      <c r="J226" s="3">
        <v>1584.93</v>
      </c>
    </row>
    <row r="227" spans="1:10" x14ac:dyDescent="0.25">
      <c r="A227" t="s">
        <v>361</v>
      </c>
      <c r="B227" t="s">
        <v>5</v>
      </c>
      <c r="C227" s="82" t="s">
        <v>362</v>
      </c>
      <c r="D227">
        <v>201604</v>
      </c>
      <c r="E227" s="1">
        <v>42460</v>
      </c>
      <c r="F227" s="1">
        <v>42489</v>
      </c>
      <c r="G227" t="s">
        <v>363</v>
      </c>
      <c r="H227" s="81">
        <v>26579</v>
      </c>
      <c r="I227" t="s">
        <v>6</v>
      </c>
      <c r="J227" s="3">
        <v>1601.38</v>
      </c>
    </row>
    <row r="228" spans="1:10" x14ac:dyDescent="0.25">
      <c r="A228" t="s">
        <v>361</v>
      </c>
      <c r="B228" t="s">
        <v>5</v>
      </c>
      <c r="C228" s="82" t="s">
        <v>362</v>
      </c>
      <c r="D228">
        <v>201605</v>
      </c>
      <c r="E228" s="1">
        <v>42489</v>
      </c>
      <c r="F228" s="1">
        <v>42521</v>
      </c>
      <c r="G228" t="s">
        <v>363</v>
      </c>
      <c r="H228" s="81">
        <v>29970</v>
      </c>
      <c r="I228" t="s">
        <v>6</v>
      </c>
      <c r="J228" s="3">
        <v>1864.11</v>
      </c>
    </row>
    <row r="229" spans="1:10" x14ac:dyDescent="0.25">
      <c r="A229" t="s">
        <v>361</v>
      </c>
      <c r="B229" t="s">
        <v>5</v>
      </c>
      <c r="C229" s="82" t="s">
        <v>362</v>
      </c>
      <c r="D229">
        <v>201606</v>
      </c>
      <c r="E229" s="1">
        <v>42521</v>
      </c>
      <c r="F229" s="1">
        <v>42550</v>
      </c>
      <c r="G229" t="s">
        <v>363</v>
      </c>
      <c r="H229" s="81">
        <v>19971</v>
      </c>
      <c r="I229" t="s">
        <v>6</v>
      </c>
      <c r="J229" s="3">
        <v>1198.9000000000001</v>
      </c>
    </row>
    <row r="230" spans="1:10" x14ac:dyDescent="0.25">
      <c r="A230" t="s">
        <v>48</v>
      </c>
      <c r="B230" t="s">
        <v>5</v>
      </c>
      <c r="C230" s="82" t="s">
        <v>428</v>
      </c>
      <c r="D230">
        <v>201507</v>
      </c>
      <c r="E230" s="1">
        <v>42185</v>
      </c>
      <c r="F230" s="1">
        <v>42216</v>
      </c>
      <c r="G230" t="s">
        <v>428</v>
      </c>
      <c r="H230" s="81">
        <v>45951</v>
      </c>
      <c r="I230" t="s">
        <v>6</v>
      </c>
      <c r="J230" s="3">
        <v>2695.4</v>
      </c>
    </row>
    <row r="231" spans="1:10" x14ac:dyDescent="0.25">
      <c r="A231" t="s">
        <v>48</v>
      </c>
      <c r="B231" t="s">
        <v>5</v>
      </c>
      <c r="C231" s="82" t="s">
        <v>428</v>
      </c>
      <c r="D231">
        <v>201508</v>
      </c>
      <c r="E231" s="1">
        <v>42216</v>
      </c>
      <c r="F231" s="1">
        <v>42243</v>
      </c>
      <c r="G231" t="s">
        <v>428</v>
      </c>
      <c r="H231" s="81">
        <v>39301</v>
      </c>
      <c r="I231" t="s">
        <v>6</v>
      </c>
      <c r="J231" s="3">
        <v>2383.1799999999998</v>
      </c>
    </row>
    <row r="232" spans="1:10" x14ac:dyDescent="0.25">
      <c r="A232" t="s">
        <v>48</v>
      </c>
      <c r="B232" t="s">
        <v>5</v>
      </c>
      <c r="C232" s="82" t="s">
        <v>428</v>
      </c>
      <c r="D232">
        <v>201509</v>
      </c>
      <c r="E232" s="1">
        <v>42243</v>
      </c>
      <c r="F232" s="1">
        <v>42276</v>
      </c>
      <c r="G232" t="s">
        <v>428</v>
      </c>
      <c r="H232" s="81">
        <v>86198</v>
      </c>
      <c r="I232" t="s">
        <v>6</v>
      </c>
      <c r="J232" s="3">
        <v>5043</v>
      </c>
    </row>
    <row r="233" spans="1:10" x14ac:dyDescent="0.25">
      <c r="A233" t="s">
        <v>48</v>
      </c>
      <c r="B233" t="s">
        <v>5</v>
      </c>
      <c r="C233" s="82" t="s">
        <v>428</v>
      </c>
      <c r="D233">
        <v>201510</v>
      </c>
      <c r="E233" s="1">
        <v>42276</v>
      </c>
      <c r="F233" s="1">
        <v>42305</v>
      </c>
      <c r="G233" t="s">
        <v>428</v>
      </c>
      <c r="H233" s="81">
        <v>74808</v>
      </c>
      <c r="I233" t="s">
        <v>6</v>
      </c>
      <c r="J233" s="3">
        <v>4473.1400000000003</v>
      </c>
    </row>
    <row r="234" spans="1:10" x14ac:dyDescent="0.25">
      <c r="A234" t="s">
        <v>48</v>
      </c>
      <c r="B234" t="s">
        <v>5</v>
      </c>
      <c r="C234" s="82" t="s">
        <v>428</v>
      </c>
      <c r="D234">
        <v>201511</v>
      </c>
      <c r="E234" s="1">
        <v>42305</v>
      </c>
      <c r="F234" s="1">
        <v>42339</v>
      </c>
      <c r="G234" t="s">
        <v>428</v>
      </c>
      <c r="H234" s="81">
        <v>84982</v>
      </c>
      <c r="I234" t="s">
        <v>6</v>
      </c>
      <c r="J234" s="3">
        <v>5140.1400000000003</v>
      </c>
    </row>
    <row r="235" spans="1:10" x14ac:dyDescent="0.25">
      <c r="A235" t="s">
        <v>48</v>
      </c>
      <c r="B235" t="s">
        <v>5</v>
      </c>
      <c r="C235" s="82" t="s">
        <v>428</v>
      </c>
      <c r="D235">
        <v>201512</v>
      </c>
      <c r="E235" s="1">
        <v>42339</v>
      </c>
      <c r="F235" s="1">
        <v>42369</v>
      </c>
      <c r="G235" t="s">
        <v>428</v>
      </c>
      <c r="H235" s="81">
        <v>65047</v>
      </c>
      <c r="I235" t="s">
        <v>6</v>
      </c>
      <c r="J235" s="3">
        <v>4109.17</v>
      </c>
    </row>
    <row r="236" spans="1:10" x14ac:dyDescent="0.25">
      <c r="A236" t="s">
        <v>48</v>
      </c>
      <c r="B236" t="s">
        <v>5</v>
      </c>
      <c r="C236" s="82" t="s">
        <v>428</v>
      </c>
      <c r="D236">
        <v>201601</v>
      </c>
      <c r="E236" s="1">
        <v>42369</v>
      </c>
      <c r="F236" s="1">
        <v>42401</v>
      </c>
      <c r="G236" t="s">
        <v>428</v>
      </c>
      <c r="H236" s="81">
        <v>66581</v>
      </c>
      <c r="I236" t="s">
        <v>6</v>
      </c>
      <c r="J236" s="3">
        <v>4165.1000000000004</v>
      </c>
    </row>
    <row r="237" spans="1:10" x14ac:dyDescent="0.25">
      <c r="A237" t="s">
        <v>48</v>
      </c>
      <c r="B237" t="s">
        <v>5</v>
      </c>
      <c r="C237" s="82" t="s">
        <v>428</v>
      </c>
      <c r="D237">
        <v>201602</v>
      </c>
      <c r="E237" s="1">
        <v>42401</v>
      </c>
      <c r="F237" s="1">
        <v>42430</v>
      </c>
      <c r="G237" t="s">
        <v>428</v>
      </c>
      <c r="H237" s="81">
        <v>77556</v>
      </c>
      <c r="I237" t="s">
        <v>6</v>
      </c>
      <c r="J237" s="3">
        <v>4733.1400000000003</v>
      </c>
    </row>
    <row r="238" spans="1:10" x14ac:dyDescent="0.25">
      <c r="A238" t="s">
        <v>48</v>
      </c>
      <c r="B238" t="s">
        <v>5</v>
      </c>
      <c r="C238" s="82" t="s">
        <v>428</v>
      </c>
      <c r="D238">
        <v>201603</v>
      </c>
      <c r="E238" s="1">
        <v>42430</v>
      </c>
      <c r="F238" s="1">
        <v>42460</v>
      </c>
      <c r="G238" t="s">
        <v>428</v>
      </c>
      <c r="H238" s="81">
        <v>75809</v>
      </c>
      <c r="I238" t="s">
        <v>6</v>
      </c>
      <c r="J238" s="3">
        <v>4866.83</v>
      </c>
    </row>
    <row r="239" spans="1:10" x14ac:dyDescent="0.25">
      <c r="A239" t="s">
        <v>48</v>
      </c>
      <c r="B239" t="s">
        <v>5</v>
      </c>
      <c r="C239" s="82" t="s">
        <v>428</v>
      </c>
      <c r="D239">
        <v>201604</v>
      </c>
      <c r="E239" s="1">
        <v>42460</v>
      </c>
      <c r="F239" s="1">
        <v>42489</v>
      </c>
      <c r="G239" t="s">
        <v>428</v>
      </c>
      <c r="H239" s="81">
        <v>75340</v>
      </c>
      <c r="I239" t="s">
        <v>6</v>
      </c>
      <c r="J239" s="3">
        <v>4539.2299999999996</v>
      </c>
    </row>
    <row r="240" spans="1:10" x14ac:dyDescent="0.25">
      <c r="A240" t="s">
        <v>48</v>
      </c>
      <c r="B240" t="s">
        <v>5</v>
      </c>
      <c r="C240" s="82" t="s">
        <v>428</v>
      </c>
      <c r="D240">
        <v>201605</v>
      </c>
      <c r="E240" s="1">
        <v>42489</v>
      </c>
      <c r="F240" s="1">
        <v>42521</v>
      </c>
      <c r="G240" t="s">
        <v>428</v>
      </c>
      <c r="H240" s="81">
        <v>62456</v>
      </c>
      <c r="I240" t="s">
        <v>6</v>
      </c>
      <c r="J240" s="3">
        <v>3884.71</v>
      </c>
    </row>
    <row r="241" spans="1:10" x14ac:dyDescent="0.25">
      <c r="A241" t="s">
        <v>48</v>
      </c>
      <c r="B241" t="s">
        <v>5</v>
      </c>
      <c r="C241" s="82" t="s">
        <v>428</v>
      </c>
      <c r="D241">
        <v>201606</v>
      </c>
      <c r="E241" s="1">
        <v>42521</v>
      </c>
      <c r="F241" s="1">
        <v>42550</v>
      </c>
      <c r="G241" t="s">
        <v>428</v>
      </c>
      <c r="H241" s="81">
        <v>39893</v>
      </c>
      <c r="I241" t="s">
        <v>6</v>
      </c>
      <c r="J241" s="3">
        <v>2394.86</v>
      </c>
    </row>
    <row r="242" spans="1:10" x14ac:dyDescent="0.25">
      <c r="A242" t="s">
        <v>63</v>
      </c>
      <c r="B242" t="s">
        <v>5</v>
      </c>
      <c r="C242" s="82" t="s">
        <v>373</v>
      </c>
      <c r="D242">
        <v>201507</v>
      </c>
      <c r="E242" s="1">
        <v>42185</v>
      </c>
      <c r="F242" s="1">
        <v>42216</v>
      </c>
      <c r="G242" t="s">
        <v>373</v>
      </c>
      <c r="H242" s="81">
        <v>59276</v>
      </c>
      <c r="I242" t="s">
        <v>6</v>
      </c>
      <c r="J242" s="3">
        <v>3477.01</v>
      </c>
    </row>
    <row r="243" spans="1:10" x14ac:dyDescent="0.25">
      <c r="A243" t="s">
        <v>63</v>
      </c>
      <c r="B243" t="s">
        <v>5</v>
      </c>
      <c r="C243" s="82" t="s">
        <v>373</v>
      </c>
      <c r="D243">
        <v>201508</v>
      </c>
      <c r="E243" s="1">
        <v>42216</v>
      </c>
      <c r="F243" s="1">
        <v>42243</v>
      </c>
      <c r="G243" t="s">
        <v>373</v>
      </c>
      <c r="H243" s="81">
        <v>47739</v>
      </c>
      <c r="I243" t="s">
        <v>6</v>
      </c>
      <c r="J243" s="3">
        <v>2894.85</v>
      </c>
    </row>
    <row r="244" spans="1:10" x14ac:dyDescent="0.25">
      <c r="A244" t="s">
        <v>63</v>
      </c>
      <c r="B244" t="s">
        <v>5</v>
      </c>
      <c r="C244" s="82" t="s">
        <v>373</v>
      </c>
      <c r="D244">
        <v>201509</v>
      </c>
      <c r="E244" s="1">
        <v>42243</v>
      </c>
      <c r="F244" s="1">
        <v>42276</v>
      </c>
      <c r="G244" t="s">
        <v>373</v>
      </c>
      <c r="H244" s="81">
        <v>88009</v>
      </c>
      <c r="I244" t="s">
        <v>6</v>
      </c>
      <c r="J244" s="3">
        <v>5148.95</v>
      </c>
    </row>
    <row r="245" spans="1:10" x14ac:dyDescent="0.25">
      <c r="A245" t="s">
        <v>63</v>
      </c>
      <c r="B245" t="s">
        <v>5</v>
      </c>
      <c r="C245" s="82" t="s">
        <v>373</v>
      </c>
      <c r="D245">
        <v>201510</v>
      </c>
      <c r="E245" s="1">
        <v>42276</v>
      </c>
      <c r="F245" s="1">
        <v>42305</v>
      </c>
      <c r="G245" t="s">
        <v>373</v>
      </c>
      <c r="H245" s="81">
        <v>76393</v>
      </c>
      <c r="I245" t="s">
        <v>6</v>
      </c>
      <c r="J245" s="3">
        <v>4567.91</v>
      </c>
    </row>
    <row r="246" spans="1:10" x14ac:dyDescent="0.25">
      <c r="A246" t="s">
        <v>63</v>
      </c>
      <c r="B246" t="s">
        <v>5</v>
      </c>
      <c r="C246" s="82" t="s">
        <v>373</v>
      </c>
      <c r="D246">
        <v>201511</v>
      </c>
      <c r="E246" s="1">
        <v>42305</v>
      </c>
      <c r="F246" s="1">
        <v>42339</v>
      </c>
      <c r="G246" t="s">
        <v>373</v>
      </c>
      <c r="H246" s="81">
        <v>87479</v>
      </c>
      <c r="I246" t="s">
        <v>6</v>
      </c>
      <c r="J246" s="3">
        <v>5291.17</v>
      </c>
    </row>
    <row r="247" spans="1:10" x14ac:dyDescent="0.25">
      <c r="A247" t="s">
        <v>63</v>
      </c>
      <c r="B247" t="s">
        <v>5</v>
      </c>
      <c r="C247" s="82" t="s">
        <v>373</v>
      </c>
      <c r="D247">
        <v>201512</v>
      </c>
      <c r="E247" s="1">
        <v>42339</v>
      </c>
      <c r="F247" s="1">
        <v>42369</v>
      </c>
      <c r="G247" t="s">
        <v>373</v>
      </c>
      <c r="H247" s="81">
        <v>65318</v>
      </c>
      <c r="I247" t="s">
        <v>6</v>
      </c>
      <c r="J247" s="3">
        <v>4126.29</v>
      </c>
    </row>
    <row r="248" spans="1:10" x14ac:dyDescent="0.25">
      <c r="A248" t="s">
        <v>63</v>
      </c>
      <c r="B248" t="s">
        <v>5</v>
      </c>
      <c r="C248" s="82" t="s">
        <v>373</v>
      </c>
      <c r="D248">
        <v>201601</v>
      </c>
      <c r="E248" s="1">
        <v>42369</v>
      </c>
      <c r="F248" s="1">
        <v>42401</v>
      </c>
      <c r="G248" t="s">
        <v>373</v>
      </c>
      <c r="H248" s="81">
        <v>67751</v>
      </c>
      <c r="I248" t="s">
        <v>6</v>
      </c>
      <c r="J248" s="3">
        <v>4238.29</v>
      </c>
    </row>
    <row r="249" spans="1:10" x14ac:dyDescent="0.25">
      <c r="A249" t="s">
        <v>63</v>
      </c>
      <c r="B249" t="s">
        <v>5</v>
      </c>
      <c r="C249" s="82" t="s">
        <v>373</v>
      </c>
      <c r="D249">
        <v>201602</v>
      </c>
      <c r="E249" s="1">
        <v>42401</v>
      </c>
      <c r="F249" s="1">
        <v>42430</v>
      </c>
      <c r="G249" t="s">
        <v>373</v>
      </c>
      <c r="H249" s="81">
        <v>80253</v>
      </c>
      <c r="I249" t="s">
        <v>6</v>
      </c>
      <c r="J249" s="3">
        <v>4897.7299999999996</v>
      </c>
    </row>
    <row r="250" spans="1:10" x14ac:dyDescent="0.25">
      <c r="A250" t="s">
        <v>63</v>
      </c>
      <c r="B250" t="s">
        <v>5</v>
      </c>
      <c r="C250" s="82" t="s">
        <v>373</v>
      </c>
      <c r="D250">
        <v>201603</v>
      </c>
      <c r="E250" s="1">
        <v>42430</v>
      </c>
      <c r="F250" s="1">
        <v>42460</v>
      </c>
      <c r="G250" t="s">
        <v>373</v>
      </c>
      <c r="H250" s="81">
        <v>76471</v>
      </c>
      <c r="I250" t="s">
        <v>6</v>
      </c>
      <c r="J250" s="3">
        <v>4909.32</v>
      </c>
    </row>
    <row r="251" spans="1:10" x14ac:dyDescent="0.25">
      <c r="A251" t="s">
        <v>63</v>
      </c>
      <c r="B251" t="s">
        <v>5</v>
      </c>
      <c r="C251" s="82" t="s">
        <v>373</v>
      </c>
      <c r="D251">
        <v>201604</v>
      </c>
      <c r="E251" s="1">
        <v>42460</v>
      </c>
      <c r="F251" s="1">
        <v>42489</v>
      </c>
      <c r="G251" t="s">
        <v>373</v>
      </c>
      <c r="H251" s="81">
        <v>78775</v>
      </c>
      <c r="I251" t="s">
        <v>6</v>
      </c>
      <c r="J251" s="3">
        <v>4746.1899999999996</v>
      </c>
    </row>
    <row r="252" spans="1:10" x14ac:dyDescent="0.25">
      <c r="A252" t="s">
        <v>63</v>
      </c>
      <c r="B252" t="s">
        <v>5</v>
      </c>
      <c r="C252" s="82" t="s">
        <v>373</v>
      </c>
      <c r="D252">
        <v>201605</v>
      </c>
      <c r="E252" s="1">
        <v>42489</v>
      </c>
      <c r="F252" s="1">
        <v>42521</v>
      </c>
      <c r="G252" t="s">
        <v>373</v>
      </c>
      <c r="H252" s="81">
        <v>71708</v>
      </c>
      <c r="I252" t="s">
        <v>6</v>
      </c>
      <c r="J252" s="3">
        <v>4460.17</v>
      </c>
    </row>
    <row r="253" spans="1:10" x14ac:dyDescent="0.25">
      <c r="A253" t="s">
        <v>63</v>
      </c>
      <c r="B253" t="s">
        <v>5</v>
      </c>
      <c r="C253" s="82" t="s">
        <v>373</v>
      </c>
      <c r="D253">
        <v>201606</v>
      </c>
      <c r="E253" s="1">
        <v>42521</v>
      </c>
      <c r="F253" s="1">
        <v>42550</v>
      </c>
      <c r="G253" t="s">
        <v>373</v>
      </c>
      <c r="H253" s="81">
        <v>60303</v>
      </c>
      <c r="I253" t="s">
        <v>6</v>
      </c>
      <c r="J253" s="3">
        <v>3620.11</v>
      </c>
    </row>
    <row r="254" spans="1:10" x14ac:dyDescent="0.25">
      <c r="A254" t="s">
        <v>68</v>
      </c>
      <c r="B254" t="s">
        <v>5</v>
      </c>
      <c r="C254" s="82" t="s">
        <v>419</v>
      </c>
      <c r="D254">
        <v>201507</v>
      </c>
      <c r="E254" s="1">
        <v>42185</v>
      </c>
      <c r="F254" s="1">
        <v>42216</v>
      </c>
      <c r="G254" t="s">
        <v>420</v>
      </c>
      <c r="H254" s="81">
        <v>43578</v>
      </c>
      <c r="I254" t="s">
        <v>6</v>
      </c>
      <c r="J254" s="3">
        <v>2556.1999999999998</v>
      </c>
    </row>
    <row r="255" spans="1:10" x14ac:dyDescent="0.25">
      <c r="A255" t="s">
        <v>68</v>
      </c>
      <c r="B255" t="s">
        <v>5</v>
      </c>
      <c r="C255" s="82" t="s">
        <v>419</v>
      </c>
      <c r="D255">
        <v>201508</v>
      </c>
      <c r="E255" s="1">
        <v>42216</v>
      </c>
      <c r="F255" s="1">
        <v>42243</v>
      </c>
      <c r="G255" t="s">
        <v>420</v>
      </c>
      <c r="H255" s="81">
        <v>38084</v>
      </c>
      <c r="I255" t="s">
        <v>6</v>
      </c>
      <c r="J255" s="3">
        <v>2309.38</v>
      </c>
    </row>
    <row r="256" spans="1:10" x14ac:dyDescent="0.25">
      <c r="A256" t="s">
        <v>68</v>
      </c>
      <c r="B256" t="s">
        <v>5</v>
      </c>
      <c r="C256" s="82" t="s">
        <v>419</v>
      </c>
      <c r="D256">
        <v>201509</v>
      </c>
      <c r="E256" s="1">
        <v>42243</v>
      </c>
      <c r="F256" s="1">
        <v>42276</v>
      </c>
      <c r="G256" t="s">
        <v>420</v>
      </c>
      <c r="H256" s="81">
        <v>123042</v>
      </c>
      <c r="I256" t="s">
        <v>6</v>
      </c>
      <c r="J256" s="3">
        <v>7198.55</v>
      </c>
    </row>
    <row r="257" spans="1:10" x14ac:dyDescent="0.25">
      <c r="A257" t="s">
        <v>68</v>
      </c>
      <c r="B257" t="s">
        <v>5</v>
      </c>
      <c r="C257" s="82" t="s">
        <v>419</v>
      </c>
      <c r="D257">
        <v>201510</v>
      </c>
      <c r="E257" s="1">
        <v>42276</v>
      </c>
      <c r="F257" s="1">
        <v>42305</v>
      </c>
      <c r="G257" t="s">
        <v>420</v>
      </c>
      <c r="H257" s="81">
        <v>72548</v>
      </c>
      <c r="I257" t="s">
        <v>6</v>
      </c>
      <c r="J257" s="3">
        <v>4338</v>
      </c>
    </row>
    <row r="258" spans="1:10" x14ac:dyDescent="0.25">
      <c r="A258" t="s">
        <v>68</v>
      </c>
      <c r="B258" t="s">
        <v>5</v>
      </c>
      <c r="C258" s="82" t="s">
        <v>419</v>
      </c>
      <c r="D258">
        <v>201511</v>
      </c>
      <c r="E258" s="1">
        <v>42305</v>
      </c>
      <c r="F258" s="1">
        <v>42339</v>
      </c>
      <c r="G258" t="s">
        <v>420</v>
      </c>
      <c r="H258" s="81">
        <v>125633</v>
      </c>
      <c r="I258" t="s">
        <v>6</v>
      </c>
      <c r="J258" s="3">
        <v>7598.92</v>
      </c>
    </row>
    <row r="259" spans="1:10" x14ac:dyDescent="0.25">
      <c r="A259" t="s">
        <v>68</v>
      </c>
      <c r="B259" t="s">
        <v>5</v>
      </c>
      <c r="C259" s="82" t="s">
        <v>419</v>
      </c>
      <c r="D259">
        <v>201512</v>
      </c>
      <c r="E259" s="1">
        <v>42339</v>
      </c>
      <c r="F259" s="1">
        <v>42369</v>
      </c>
      <c r="G259" t="s">
        <v>420</v>
      </c>
      <c r="H259" s="81">
        <v>99161</v>
      </c>
      <c r="I259" t="s">
        <v>6</v>
      </c>
      <c r="J259" s="3">
        <v>6264.23</v>
      </c>
    </row>
    <row r="260" spans="1:10" x14ac:dyDescent="0.25">
      <c r="A260" t="s">
        <v>68</v>
      </c>
      <c r="B260" t="s">
        <v>5</v>
      </c>
      <c r="C260" s="82" t="s">
        <v>419</v>
      </c>
      <c r="D260">
        <v>201601</v>
      </c>
      <c r="E260" s="1">
        <v>42369</v>
      </c>
      <c r="F260" s="1">
        <v>42401</v>
      </c>
      <c r="G260" t="s">
        <v>420</v>
      </c>
      <c r="H260" s="81">
        <v>100018</v>
      </c>
      <c r="I260" t="s">
        <v>6</v>
      </c>
      <c r="J260" s="3">
        <v>6256.81</v>
      </c>
    </row>
    <row r="261" spans="1:10" x14ac:dyDescent="0.25">
      <c r="A261" t="s">
        <v>68</v>
      </c>
      <c r="B261" t="s">
        <v>5</v>
      </c>
      <c r="C261" s="82" t="s">
        <v>419</v>
      </c>
      <c r="D261">
        <v>201602</v>
      </c>
      <c r="E261" s="1">
        <v>42401</v>
      </c>
      <c r="F261" s="1">
        <v>42430</v>
      </c>
      <c r="G261" t="s">
        <v>420</v>
      </c>
      <c r="H261" s="81">
        <v>107438</v>
      </c>
      <c r="I261" t="s">
        <v>6</v>
      </c>
      <c r="J261" s="3">
        <v>6556.8</v>
      </c>
    </row>
    <row r="262" spans="1:10" x14ac:dyDescent="0.25">
      <c r="A262" t="s">
        <v>68</v>
      </c>
      <c r="B262" t="s">
        <v>5</v>
      </c>
      <c r="C262" s="82" t="s">
        <v>419</v>
      </c>
      <c r="D262">
        <v>201603</v>
      </c>
      <c r="E262" s="1">
        <v>42430</v>
      </c>
      <c r="F262" s="1">
        <v>42460</v>
      </c>
      <c r="G262" t="s">
        <v>420</v>
      </c>
      <c r="H262" s="81">
        <v>103006</v>
      </c>
      <c r="I262" t="s">
        <v>6</v>
      </c>
      <c r="J262" s="3">
        <v>6612.83</v>
      </c>
    </row>
    <row r="263" spans="1:10" x14ac:dyDescent="0.25">
      <c r="A263" t="s">
        <v>68</v>
      </c>
      <c r="B263" t="s">
        <v>5</v>
      </c>
      <c r="C263" s="82" t="s">
        <v>419</v>
      </c>
      <c r="D263">
        <v>201604</v>
      </c>
      <c r="E263" s="1">
        <v>42460</v>
      </c>
      <c r="F263" s="1">
        <v>42489</v>
      </c>
      <c r="G263" t="s">
        <v>420</v>
      </c>
      <c r="H263" s="81">
        <v>106538</v>
      </c>
      <c r="I263" t="s">
        <v>6</v>
      </c>
      <c r="J263" s="3">
        <v>6418.91</v>
      </c>
    </row>
    <row r="264" spans="1:10" x14ac:dyDescent="0.25">
      <c r="A264" t="s">
        <v>68</v>
      </c>
      <c r="B264" t="s">
        <v>5</v>
      </c>
      <c r="C264" s="82" t="s">
        <v>419</v>
      </c>
      <c r="D264">
        <v>201605</v>
      </c>
      <c r="E264" s="1">
        <v>42489</v>
      </c>
      <c r="F264" s="1">
        <v>42521</v>
      </c>
      <c r="G264" t="s">
        <v>420</v>
      </c>
      <c r="H264" s="81">
        <v>94526</v>
      </c>
      <c r="I264" t="s">
        <v>6</v>
      </c>
      <c r="J264" s="3">
        <v>5879.43</v>
      </c>
    </row>
    <row r="265" spans="1:10" x14ac:dyDescent="0.25">
      <c r="A265" t="s">
        <v>68</v>
      </c>
      <c r="B265" t="s">
        <v>5</v>
      </c>
      <c r="C265" s="82" t="s">
        <v>419</v>
      </c>
      <c r="D265">
        <v>201606</v>
      </c>
      <c r="E265" s="1">
        <v>42521</v>
      </c>
      <c r="F265" s="1">
        <v>42550</v>
      </c>
      <c r="G265" t="s">
        <v>420</v>
      </c>
      <c r="H265" s="81">
        <v>71223</v>
      </c>
      <c r="I265" t="s">
        <v>6</v>
      </c>
      <c r="J265" s="3">
        <v>4275.66</v>
      </c>
    </row>
    <row r="266" spans="1:10" x14ac:dyDescent="0.25">
      <c r="A266" t="s">
        <v>302</v>
      </c>
      <c r="B266" t="s">
        <v>5</v>
      </c>
      <c r="C266" s="82" t="s">
        <v>303</v>
      </c>
      <c r="D266">
        <v>201507</v>
      </c>
      <c r="E266" s="1">
        <v>42185</v>
      </c>
      <c r="F266" s="1">
        <v>42216</v>
      </c>
      <c r="G266" t="s">
        <v>304</v>
      </c>
      <c r="H266" s="81">
        <v>7255</v>
      </c>
      <c r="I266" t="s">
        <v>6</v>
      </c>
      <c r="J266" s="3">
        <v>425.56</v>
      </c>
    </row>
    <row r="267" spans="1:10" x14ac:dyDescent="0.25">
      <c r="A267" t="s">
        <v>302</v>
      </c>
      <c r="B267" t="s">
        <v>5</v>
      </c>
      <c r="C267" s="82" t="s">
        <v>303</v>
      </c>
      <c r="D267">
        <v>201508</v>
      </c>
      <c r="E267" s="1">
        <v>42216</v>
      </c>
      <c r="F267" s="1">
        <v>42243</v>
      </c>
      <c r="G267" t="s">
        <v>304</v>
      </c>
      <c r="H267" s="81">
        <v>7118</v>
      </c>
      <c r="I267" t="s">
        <v>6</v>
      </c>
      <c r="J267" s="3">
        <v>431.63</v>
      </c>
    </row>
    <row r="268" spans="1:10" x14ac:dyDescent="0.25">
      <c r="A268" t="s">
        <v>302</v>
      </c>
      <c r="B268" t="s">
        <v>5</v>
      </c>
      <c r="C268" s="82" t="s">
        <v>303</v>
      </c>
      <c r="D268">
        <v>201509</v>
      </c>
      <c r="E268" s="1">
        <v>42243</v>
      </c>
      <c r="F268" s="1">
        <v>42276</v>
      </c>
      <c r="G268" t="s">
        <v>304</v>
      </c>
      <c r="H268" s="81">
        <v>9348</v>
      </c>
      <c r="I268" t="s">
        <v>6</v>
      </c>
      <c r="J268" s="3">
        <v>546.9</v>
      </c>
    </row>
    <row r="269" spans="1:10" x14ac:dyDescent="0.25">
      <c r="A269" t="s">
        <v>302</v>
      </c>
      <c r="B269" t="s">
        <v>5</v>
      </c>
      <c r="C269" s="82" t="s">
        <v>303</v>
      </c>
      <c r="D269">
        <v>201510</v>
      </c>
      <c r="E269" s="1">
        <v>42276</v>
      </c>
      <c r="F269" s="1">
        <v>42305</v>
      </c>
      <c r="G269" t="s">
        <v>304</v>
      </c>
      <c r="H269" s="81">
        <v>5577</v>
      </c>
      <c r="I269" t="s">
        <v>6</v>
      </c>
      <c r="J269" s="3">
        <v>333.48</v>
      </c>
    </row>
    <row r="270" spans="1:10" x14ac:dyDescent="0.25">
      <c r="A270" t="s">
        <v>302</v>
      </c>
      <c r="B270" t="s">
        <v>5</v>
      </c>
      <c r="C270" s="82" t="s">
        <v>303</v>
      </c>
      <c r="D270">
        <v>201511</v>
      </c>
      <c r="E270" s="1">
        <v>42305</v>
      </c>
      <c r="F270" s="1">
        <v>42339</v>
      </c>
      <c r="G270" t="s">
        <v>304</v>
      </c>
      <c r="H270" s="81">
        <v>10259</v>
      </c>
      <c r="I270" t="s">
        <v>6</v>
      </c>
      <c r="J270" s="3">
        <v>620.52</v>
      </c>
    </row>
    <row r="271" spans="1:10" x14ac:dyDescent="0.25">
      <c r="A271" t="s">
        <v>302</v>
      </c>
      <c r="B271" t="s">
        <v>5</v>
      </c>
      <c r="C271" s="82" t="s">
        <v>303</v>
      </c>
      <c r="D271">
        <v>201512</v>
      </c>
      <c r="E271" s="1">
        <v>42339</v>
      </c>
      <c r="F271" s="1">
        <v>42369</v>
      </c>
      <c r="G271" t="s">
        <v>304</v>
      </c>
      <c r="H271" s="81">
        <v>6333</v>
      </c>
      <c r="I271" t="s">
        <v>6</v>
      </c>
      <c r="J271" s="3">
        <v>400.07</v>
      </c>
    </row>
    <row r="272" spans="1:10" x14ac:dyDescent="0.25">
      <c r="A272" t="s">
        <v>302</v>
      </c>
      <c r="B272" t="s">
        <v>5</v>
      </c>
      <c r="C272" s="82" t="s">
        <v>303</v>
      </c>
      <c r="D272">
        <v>201601</v>
      </c>
      <c r="E272" s="1">
        <v>42369</v>
      </c>
      <c r="F272" s="1">
        <v>42401</v>
      </c>
      <c r="G272" t="s">
        <v>304</v>
      </c>
      <c r="H272" s="81">
        <v>7127</v>
      </c>
      <c r="I272" t="s">
        <v>6</v>
      </c>
      <c r="J272" s="3">
        <v>445.84</v>
      </c>
    </row>
    <row r="273" spans="1:10" x14ac:dyDescent="0.25">
      <c r="A273" t="s">
        <v>302</v>
      </c>
      <c r="B273" t="s">
        <v>5</v>
      </c>
      <c r="C273" s="82" t="s">
        <v>303</v>
      </c>
      <c r="D273">
        <v>201602</v>
      </c>
      <c r="E273" s="1">
        <v>42401</v>
      </c>
      <c r="F273" s="1">
        <v>42430</v>
      </c>
      <c r="G273" t="s">
        <v>304</v>
      </c>
      <c r="H273" s="81">
        <v>7117</v>
      </c>
      <c r="I273" t="s">
        <v>6</v>
      </c>
      <c r="J273" s="3">
        <v>434.34</v>
      </c>
    </row>
    <row r="274" spans="1:10" x14ac:dyDescent="0.25">
      <c r="A274" t="s">
        <v>302</v>
      </c>
      <c r="B274" t="s">
        <v>5</v>
      </c>
      <c r="C274" s="82" t="s">
        <v>303</v>
      </c>
      <c r="D274">
        <v>201603</v>
      </c>
      <c r="E274" s="1">
        <v>42430</v>
      </c>
      <c r="F274" s="1">
        <v>42460</v>
      </c>
      <c r="G274" t="s">
        <v>304</v>
      </c>
      <c r="H274" s="81">
        <v>6482</v>
      </c>
      <c r="I274" t="s">
        <v>6</v>
      </c>
      <c r="J274" s="3">
        <v>416.13</v>
      </c>
    </row>
    <row r="275" spans="1:10" x14ac:dyDescent="0.25">
      <c r="A275" t="s">
        <v>302</v>
      </c>
      <c r="B275" t="s">
        <v>5</v>
      </c>
      <c r="C275" s="82" t="s">
        <v>303</v>
      </c>
      <c r="D275">
        <v>201604</v>
      </c>
      <c r="E275" s="1">
        <v>42460</v>
      </c>
      <c r="F275" s="1">
        <v>42489</v>
      </c>
      <c r="G275" t="s">
        <v>304</v>
      </c>
      <c r="H275" s="81">
        <v>7325</v>
      </c>
      <c r="I275" t="s">
        <v>6</v>
      </c>
      <c r="J275" s="3">
        <v>441.33</v>
      </c>
    </row>
    <row r="276" spans="1:10" x14ac:dyDescent="0.25">
      <c r="A276" t="s">
        <v>302</v>
      </c>
      <c r="B276" t="s">
        <v>5</v>
      </c>
      <c r="C276" s="82" t="s">
        <v>303</v>
      </c>
      <c r="D276">
        <v>201605</v>
      </c>
      <c r="E276" s="1">
        <v>42489</v>
      </c>
      <c r="F276" s="1">
        <v>42521</v>
      </c>
      <c r="G276" t="s">
        <v>304</v>
      </c>
      <c r="H276" s="81">
        <v>5068</v>
      </c>
      <c r="I276" t="s">
        <v>6</v>
      </c>
      <c r="J276" s="3">
        <v>315.22000000000003</v>
      </c>
    </row>
    <row r="277" spans="1:10" x14ac:dyDescent="0.25">
      <c r="A277" t="s">
        <v>302</v>
      </c>
      <c r="B277" t="s">
        <v>5</v>
      </c>
      <c r="C277" s="82" t="s">
        <v>303</v>
      </c>
      <c r="D277">
        <v>201606</v>
      </c>
      <c r="E277" s="1">
        <v>42521</v>
      </c>
      <c r="F277" s="1">
        <v>42550</v>
      </c>
      <c r="G277" t="s">
        <v>304</v>
      </c>
      <c r="H277" s="81">
        <v>5466</v>
      </c>
      <c r="I277" t="s">
        <v>6</v>
      </c>
      <c r="J277" s="3">
        <v>328.14</v>
      </c>
    </row>
    <row r="278" spans="1:10" x14ac:dyDescent="0.25">
      <c r="A278" t="s">
        <v>305</v>
      </c>
      <c r="B278" t="s">
        <v>5</v>
      </c>
      <c r="C278" s="82" t="s">
        <v>306</v>
      </c>
      <c r="D278">
        <v>201507</v>
      </c>
      <c r="E278" s="1">
        <v>42185</v>
      </c>
      <c r="F278" s="1">
        <v>42216</v>
      </c>
      <c r="G278" t="s">
        <v>307</v>
      </c>
      <c r="H278" s="81">
        <v>7671</v>
      </c>
      <c r="I278" t="s">
        <v>6</v>
      </c>
      <c r="J278" s="3">
        <v>449.97</v>
      </c>
    </row>
    <row r="279" spans="1:10" x14ac:dyDescent="0.25">
      <c r="A279" t="s">
        <v>305</v>
      </c>
      <c r="B279" t="s">
        <v>5</v>
      </c>
      <c r="C279" s="82" t="s">
        <v>306</v>
      </c>
      <c r="D279">
        <v>201508</v>
      </c>
      <c r="E279" s="1">
        <v>42216</v>
      </c>
      <c r="F279" s="1">
        <v>42243</v>
      </c>
      <c r="G279" t="s">
        <v>307</v>
      </c>
      <c r="H279" s="81">
        <v>7883</v>
      </c>
      <c r="I279" t="s">
        <v>6</v>
      </c>
      <c r="J279" s="3">
        <v>478.02</v>
      </c>
    </row>
    <row r="280" spans="1:10" x14ac:dyDescent="0.25">
      <c r="A280" t="s">
        <v>305</v>
      </c>
      <c r="B280" t="s">
        <v>5</v>
      </c>
      <c r="C280" s="82" t="s">
        <v>306</v>
      </c>
      <c r="D280">
        <v>201509</v>
      </c>
      <c r="E280" s="1">
        <v>42243</v>
      </c>
      <c r="F280" s="1">
        <v>42276</v>
      </c>
      <c r="G280" t="s">
        <v>307</v>
      </c>
      <c r="H280" s="81">
        <v>11240</v>
      </c>
      <c r="I280" t="s">
        <v>6</v>
      </c>
      <c r="J280" s="3">
        <v>657.59</v>
      </c>
    </row>
    <row r="281" spans="1:10" x14ac:dyDescent="0.25">
      <c r="A281" t="s">
        <v>305</v>
      </c>
      <c r="B281" t="s">
        <v>5</v>
      </c>
      <c r="C281" s="82" t="s">
        <v>306</v>
      </c>
      <c r="D281">
        <v>201510</v>
      </c>
      <c r="E281" s="1">
        <v>42276</v>
      </c>
      <c r="F281" s="1">
        <v>42305</v>
      </c>
      <c r="G281" t="s">
        <v>307</v>
      </c>
      <c r="H281" s="81">
        <v>7623</v>
      </c>
      <c r="I281" t="s">
        <v>6</v>
      </c>
      <c r="J281" s="3">
        <v>455.82</v>
      </c>
    </row>
    <row r="282" spans="1:10" x14ac:dyDescent="0.25">
      <c r="A282" t="s">
        <v>305</v>
      </c>
      <c r="B282" t="s">
        <v>5</v>
      </c>
      <c r="C282" s="82" t="s">
        <v>306</v>
      </c>
      <c r="D282">
        <v>201511</v>
      </c>
      <c r="E282" s="1">
        <v>42305</v>
      </c>
      <c r="F282" s="1">
        <v>42339</v>
      </c>
      <c r="G282" t="s">
        <v>307</v>
      </c>
      <c r="H282" s="81">
        <v>12292</v>
      </c>
      <c r="I282" t="s">
        <v>6</v>
      </c>
      <c r="J282" s="3">
        <v>743.48</v>
      </c>
    </row>
    <row r="283" spans="1:10" x14ac:dyDescent="0.25">
      <c r="A283" t="s">
        <v>305</v>
      </c>
      <c r="B283" t="s">
        <v>5</v>
      </c>
      <c r="C283" s="82" t="s">
        <v>306</v>
      </c>
      <c r="D283">
        <v>201512</v>
      </c>
      <c r="E283" s="1">
        <v>42339</v>
      </c>
      <c r="F283" s="1">
        <v>42369</v>
      </c>
      <c r="G283" t="s">
        <v>307</v>
      </c>
      <c r="H283" s="81">
        <v>7293</v>
      </c>
      <c r="I283" t="s">
        <v>6</v>
      </c>
      <c r="J283" s="3">
        <v>460.72</v>
      </c>
    </row>
    <row r="284" spans="1:10" x14ac:dyDescent="0.25">
      <c r="A284" t="s">
        <v>305</v>
      </c>
      <c r="B284" t="s">
        <v>5</v>
      </c>
      <c r="C284" s="82" t="s">
        <v>306</v>
      </c>
      <c r="D284">
        <v>201601</v>
      </c>
      <c r="E284" s="1">
        <v>42369</v>
      </c>
      <c r="F284" s="1">
        <v>42401</v>
      </c>
      <c r="G284" t="s">
        <v>307</v>
      </c>
      <c r="H284" s="81">
        <v>7976</v>
      </c>
      <c r="I284" t="s">
        <v>6</v>
      </c>
      <c r="J284" s="3">
        <v>498.95</v>
      </c>
    </row>
    <row r="285" spans="1:10" x14ac:dyDescent="0.25">
      <c r="A285" t="s">
        <v>305</v>
      </c>
      <c r="B285" t="s">
        <v>5</v>
      </c>
      <c r="C285" s="82" t="s">
        <v>306</v>
      </c>
      <c r="D285">
        <v>201602</v>
      </c>
      <c r="E285" s="1">
        <v>42401</v>
      </c>
      <c r="F285" s="1">
        <v>42430</v>
      </c>
      <c r="G285" t="s">
        <v>307</v>
      </c>
      <c r="H285" s="81">
        <v>9506</v>
      </c>
      <c r="I285" t="s">
        <v>6</v>
      </c>
      <c r="J285" s="3">
        <v>580.14</v>
      </c>
    </row>
    <row r="286" spans="1:10" x14ac:dyDescent="0.25">
      <c r="A286" t="s">
        <v>305</v>
      </c>
      <c r="B286" t="s">
        <v>5</v>
      </c>
      <c r="C286" s="82" t="s">
        <v>306</v>
      </c>
      <c r="D286">
        <v>201603</v>
      </c>
      <c r="E286" s="1">
        <v>42430</v>
      </c>
      <c r="F286" s="1">
        <v>42460</v>
      </c>
      <c r="G286" t="s">
        <v>307</v>
      </c>
      <c r="H286" s="81">
        <v>8418</v>
      </c>
      <c r="I286" t="s">
        <v>6</v>
      </c>
      <c r="J286" s="3">
        <v>540.41999999999996</v>
      </c>
    </row>
    <row r="287" spans="1:10" x14ac:dyDescent="0.25">
      <c r="A287" t="s">
        <v>305</v>
      </c>
      <c r="B287" t="s">
        <v>5</v>
      </c>
      <c r="C287" s="82" t="s">
        <v>306</v>
      </c>
      <c r="D287">
        <v>201604</v>
      </c>
      <c r="E287" s="1">
        <v>42460</v>
      </c>
      <c r="F287" s="1">
        <v>42489</v>
      </c>
      <c r="G287" t="s">
        <v>307</v>
      </c>
      <c r="H287" s="81">
        <v>8874</v>
      </c>
      <c r="I287" t="s">
        <v>6</v>
      </c>
      <c r="J287" s="3">
        <v>534.66</v>
      </c>
    </row>
    <row r="288" spans="1:10" x14ac:dyDescent="0.25">
      <c r="A288" t="s">
        <v>305</v>
      </c>
      <c r="B288" t="s">
        <v>5</v>
      </c>
      <c r="C288" s="82" t="s">
        <v>306</v>
      </c>
      <c r="D288">
        <v>201605</v>
      </c>
      <c r="E288" s="1">
        <v>42489</v>
      </c>
      <c r="F288" s="1">
        <v>42521</v>
      </c>
      <c r="G288" t="s">
        <v>307</v>
      </c>
      <c r="H288" s="81">
        <v>5596</v>
      </c>
      <c r="I288" t="s">
        <v>6</v>
      </c>
      <c r="J288" s="3">
        <v>348.07</v>
      </c>
    </row>
    <row r="289" spans="1:10" x14ac:dyDescent="0.25">
      <c r="A289" t="s">
        <v>305</v>
      </c>
      <c r="B289" t="s">
        <v>5</v>
      </c>
      <c r="C289" s="82" t="s">
        <v>306</v>
      </c>
      <c r="D289">
        <v>201606</v>
      </c>
      <c r="E289" s="1">
        <v>42521</v>
      </c>
      <c r="F289" s="1">
        <v>42550</v>
      </c>
      <c r="G289" t="s">
        <v>307</v>
      </c>
      <c r="H289" s="81">
        <v>5461</v>
      </c>
      <c r="I289" t="s">
        <v>6</v>
      </c>
      <c r="J289" s="3">
        <v>327.84</v>
      </c>
    </row>
    <row r="290" spans="1:10" x14ac:dyDescent="0.25">
      <c r="A290" t="s">
        <v>308</v>
      </c>
      <c r="B290" t="s">
        <v>5</v>
      </c>
      <c r="C290" s="82" t="s">
        <v>309</v>
      </c>
      <c r="D290">
        <v>201507</v>
      </c>
      <c r="E290" s="1">
        <v>42185</v>
      </c>
      <c r="F290" s="1">
        <v>42216</v>
      </c>
      <c r="G290" t="s">
        <v>310</v>
      </c>
      <c r="H290" s="81">
        <v>7132</v>
      </c>
      <c r="I290" t="s">
        <v>6</v>
      </c>
      <c r="J290" s="3">
        <v>418.35</v>
      </c>
    </row>
    <row r="291" spans="1:10" x14ac:dyDescent="0.25">
      <c r="A291" t="s">
        <v>308</v>
      </c>
      <c r="B291" t="s">
        <v>5</v>
      </c>
      <c r="C291" s="82" t="s">
        <v>309</v>
      </c>
      <c r="D291">
        <v>201508</v>
      </c>
      <c r="E291" s="1">
        <v>42216</v>
      </c>
      <c r="F291" s="1">
        <v>42243</v>
      </c>
      <c r="G291" t="s">
        <v>310</v>
      </c>
      <c r="H291" s="81">
        <v>6593</v>
      </c>
      <c r="I291" t="s">
        <v>6</v>
      </c>
      <c r="J291" s="3">
        <v>399.79</v>
      </c>
    </row>
    <row r="292" spans="1:10" x14ac:dyDescent="0.25">
      <c r="A292" t="s">
        <v>308</v>
      </c>
      <c r="B292" t="s">
        <v>5</v>
      </c>
      <c r="C292" s="82" t="s">
        <v>309</v>
      </c>
      <c r="D292">
        <v>201509</v>
      </c>
      <c r="E292" s="1">
        <v>42243</v>
      </c>
      <c r="F292" s="1">
        <v>42276</v>
      </c>
      <c r="G292" t="s">
        <v>310</v>
      </c>
      <c r="H292" s="81">
        <v>8232</v>
      </c>
      <c r="I292" t="s">
        <v>6</v>
      </c>
      <c r="J292" s="3">
        <v>481.61</v>
      </c>
    </row>
    <row r="293" spans="1:10" x14ac:dyDescent="0.25">
      <c r="A293" t="s">
        <v>308</v>
      </c>
      <c r="B293" t="s">
        <v>5</v>
      </c>
      <c r="C293" s="82" t="s">
        <v>309</v>
      </c>
      <c r="D293">
        <v>201510</v>
      </c>
      <c r="E293" s="1">
        <v>42276</v>
      </c>
      <c r="F293" s="1">
        <v>42305</v>
      </c>
      <c r="G293" t="s">
        <v>310</v>
      </c>
      <c r="H293" s="81">
        <v>4798</v>
      </c>
      <c r="I293" t="s">
        <v>6</v>
      </c>
      <c r="J293" s="3">
        <v>286.89999999999998</v>
      </c>
    </row>
    <row r="294" spans="1:10" x14ac:dyDescent="0.25">
      <c r="A294" t="s">
        <v>308</v>
      </c>
      <c r="B294" t="s">
        <v>5</v>
      </c>
      <c r="C294" s="82" t="s">
        <v>309</v>
      </c>
      <c r="D294">
        <v>201511</v>
      </c>
      <c r="E294" s="1">
        <v>42305</v>
      </c>
      <c r="F294" s="1">
        <v>42339</v>
      </c>
      <c r="G294" t="s">
        <v>310</v>
      </c>
      <c r="H294" s="81">
        <v>9962</v>
      </c>
      <c r="I294" t="s">
        <v>6</v>
      </c>
      <c r="J294" s="3">
        <v>602.54999999999995</v>
      </c>
    </row>
    <row r="295" spans="1:10" x14ac:dyDescent="0.25">
      <c r="A295" t="s">
        <v>308</v>
      </c>
      <c r="B295" t="s">
        <v>5</v>
      </c>
      <c r="C295" s="82" t="s">
        <v>309</v>
      </c>
      <c r="D295">
        <v>201512</v>
      </c>
      <c r="E295" s="1">
        <v>42339</v>
      </c>
      <c r="F295" s="1">
        <v>42369</v>
      </c>
      <c r="G295" t="s">
        <v>310</v>
      </c>
      <c r="H295" s="81">
        <v>5664</v>
      </c>
      <c r="I295" t="s">
        <v>6</v>
      </c>
      <c r="J295" s="3">
        <v>357.81</v>
      </c>
    </row>
    <row r="296" spans="1:10" x14ac:dyDescent="0.25">
      <c r="A296" t="s">
        <v>308</v>
      </c>
      <c r="B296" t="s">
        <v>5</v>
      </c>
      <c r="C296" s="82" t="s">
        <v>309</v>
      </c>
      <c r="D296">
        <v>201601</v>
      </c>
      <c r="E296" s="1">
        <v>42369</v>
      </c>
      <c r="F296" s="1">
        <v>42401</v>
      </c>
      <c r="G296" t="s">
        <v>310</v>
      </c>
      <c r="H296" s="81">
        <v>5813</v>
      </c>
      <c r="I296" t="s">
        <v>6</v>
      </c>
      <c r="J296" s="3">
        <v>363.64</v>
      </c>
    </row>
    <row r="297" spans="1:10" x14ac:dyDescent="0.25">
      <c r="A297" t="s">
        <v>308</v>
      </c>
      <c r="B297" t="s">
        <v>5</v>
      </c>
      <c r="C297" s="82" t="s">
        <v>309</v>
      </c>
      <c r="D297">
        <v>201602</v>
      </c>
      <c r="E297" s="1">
        <v>42401</v>
      </c>
      <c r="F297" s="1">
        <v>42430</v>
      </c>
      <c r="G297" t="s">
        <v>310</v>
      </c>
      <c r="H297" s="81">
        <v>6016</v>
      </c>
      <c r="I297" t="s">
        <v>6</v>
      </c>
      <c r="J297" s="3">
        <v>367.15</v>
      </c>
    </row>
    <row r="298" spans="1:10" x14ac:dyDescent="0.25">
      <c r="A298" t="s">
        <v>308</v>
      </c>
      <c r="B298" t="s">
        <v>5</v>
      </c>
      <c r="C298" s="82" t="s">
        <v>309</v>
      </c>
      <c r="D298">
        <v>201603</v>
      </c>
      <c r="E298" s="1">
        <v>42430</v>
      </c>
      <c r="F298" s="1">
        <v>42460</v>
      </c>
      <c r="G298" t="s">
        <v>310</v>
      </c>
      <c r="H298" s="81">
        <v>5897</v>
      </c>
      <c r="I298" t="s">
        <v>6</v>
      </c>
      <c r="J298" s="3">
        <v>378.58</v>
      </c>
    </row>
    <row r="299" spans="1:10" x14ac:dyDescent="0.25">
      <c r="A299" t="s">
        <v>308</v>
      </c>
      <c r="B299" t="s">
        <v>5</v>
      </c>
      <c r="C299" s="82" t="s">
        <v>309</v>
      </c>
      <c r="D299">
        <v>201604</v>
      </c>
      <c r="E299" s="1">
        <v>42460</v>
      </c>
      <c r="F299" s="1">
        <v>42489</v>
      </c>
      <c r="G299" t="s">
        <v>310</v>
      </c>
      <c r="H299" s="81">
        <v>6214</v>
      </c>
      <c r="I299" t="s">
        <v>6</v>
      </c>
      <c r="J299" s="3">
        <v>374.39</v>
      </c>
    </row>
    <row r="300" spans="1:10" x14ac:dyDescent="0.25">
      <c r="A300" t="s">
        <v>308</v>
      </c>
      <c r="B300" t="s">
        <v>5</v>
      </c>
      <c r="C300" s="82" t="s">
        <v>309</v>
      </c>
      <c r="D300">
        <v>201605</v>
      </c>
      <c r="E300" s="1">
        <v>42489</v>
      </c>
      <c r="F300" s="1">
        <v>42521</v>
      </c>
      <c r="G300" t="s">
        <v>310</v>
      </c>
      <c r="H300" s="81">
        <v>4254</v>
      </c>
      <c r="I300" t="s">
        <v>6</v>
      </c>
      <c r="J300" s="3">
        <v>264.58999999999997</v>
      </c>
    </row>
    <row r="301" spans="1:10" x14ac:dyDescent="0.25">
      <c r="A301" t="s">
        <v>308</v>
      </c>
      <c r="B301" t="s">
        <v>5</v>
      </c>
      <c r="C301" s="82" t="s">
        <v>309</v>
      </c>
      <c r="D301">
        <v>201606</v>
      </c>
      <c r="E301" s="1">
        <v>42521</v>
      </c>
      <c r="F301" s="1">
        <v>42550</v>
      </c>
      <c r="G301" t="s">
        <v>310</v>
      </c>
      <c r="H301" s="81">
        <v>4767</v>
      </c>
      <c r="I301" t="s">
        <v>6</v>
      </c>
      <c r="J301" s="3">
        <v>286.17</v>
      </c>
    </row>
    <row r="302" spans="1:10" x14ac:dyDescent="0.25">
      <c r="A302" t="s">
        <v>311</v>
      </c>
      <c r="B302" t="s">
        <v>5</v>
      </c>
      <c r="C302" s="82" t="s">
        <v>312</v>
      </c>
      <c r="D302">
        <v>201507</v>
      </c>
      <c r="E302" s="1">
        <v>42185</v>
      </c>
      <c r="F302" s="1">
        <v>42216</v>
      </c>
      <c r="G302" t="s">
        <v>313</v>
      </c>
      <c r="H302" s="81">
        <v>7048</v>
      </c>
      <c r="I302" t="s">
        <v>6</v>
      </c>
      <c r="J302" s="3">
        <v>413.42</v>
      </c>
    </row>
    <row r="303" spans="1:10" x14ac:dyDescent="0.25">
      <c r="A303" t="s">
        <v>311</v>
      </c>
      <c r="B303" t="s">
        <v>5</v>
      </c>
      <c r="C303" s="82" t="s">
        <v>312</v>
      </c>
      <c r="D303">
        <v>201508</v>
      </c>
      <c r="E303" s="1">
        <v>42216</v>
      </c>
      <c r="F303" s="1">
        <v>42243</v>
      </c>
      <c r="G303" t="s">
        <v>313</v>
      </c>
      <c r="H303" s="81">
        <v>6626</v>
      </c>
      <c r="I303" t="s">
        <v>6</v>
      </c>
      <c r="J303" s="3">
        <v>401.8</v>
      </c>
    </row>
    <row r="304" spans="1:10" x14ac:dyDescent="0.25">
      <c r="A304" t="s">
        <v>311</v>
      </c>
      <c r="B304" t="s">
        <v>5</v>
      </c>
      <c r="C304" s="82" t="s">
        <v>312</v>
      </c>
      <c r="D304">
        <v>201509</v>
      </c>
      <c r="E304" s="1">
        <v>42243</v>
      </c>
      <c r="F304" s="1">
        <v>42276</v>
      </c>
      <c r="G304" t="s">
        <v>313</v>
      </c>
      <c r="H304" s="81">
        <v>11367</v>
      </c>
      <c r="I304" t="s">
        <v>6</v>
      </c>
      <c r="J304" s="3">
        <v>665.02</v>
      </c>
    </row>
    <row r="305" spans="1:10" x14ac:dyDescent="0.25">
      <c r="A305" t="s">
        <v>311</v>
      </c>
      <c r="B305" t="s">
        <v>5</v>
      </c>
      <c r="C305" s="82" t="s">
        <v>312</v>
      </c>
      <c r="D305">
        <v>201510</v>
      </c>
      <c r="E305" s="1">
        <v>42276</v>
      </c>
      <c r="F305" s="1">
        <v>42305</v>
      </c>
      <c r="G305" t="s">
        <v>313</v>
      </c>
      <c r="H305" s="81">
        <v>7710</v>
      </c>
      <c r="I305" t="s">
        <v>6</v>
      </c>
      <c r="J305" s="3">
        <v>461.02</v>
      </c>
    </row>
    <row r="306" spans="1:10" x14ac:dyDescent="0.25">
      <c r="A306" t="s">
        <v>311</v>
      </c>
      <c r="B306" t="s">
        <v>5</v>
      </c>
      <c r="C306" s="82" t="s">
        <v>312</v>
      </c>
      <c r="D306">
        <v>201511</v>
      </c>
      <c r="E306" s="1">
        <v>42305</v>
      </c>
      <c r="F306" s="1">
        <v>42339</v>
      </c>
      <c r="G306" t="s">
        <v>313</v>
      </c>
      <c r="H306" s="81">
        <v>12516</v>
      </c>
      <c r="I306" t="s">
        <v>6</v>
      </c>
      <c r="J306" s="3">
        <v>757.03</v>
      </c>
    </row>
    <row r="307" spans="1:10" x14ac:dyDescent="0.25">
      <c r="A307" t="s">
        <v>311</v>
      </c>
      <c r="B307" t="s">
        <v>5</v>
      </c>
      <c r="C307" s="82" t="s">
        <v>312</v>
      </c>
      <c r="D307">
        <v>201512</v>
      </c>
      <c r="E307" s="1">
        <v>42339</v>
      </c>
      <c r="F307" s="1">
        <v>42369</v>
      </c>
      <c r="G307" t="s">
        <v>313</v>
      </c>
      <c r="H307" s="81">
        <v>7415</v>
      </c>
      <c r="I307" t="s">
        <v>6</v>
      </c>
      <c r="J307" s="3">
        <v>468.42</v>
      </c>
    </row>
    <row r="308" spans="1:10" x14ac:dyDescent="0.25">
      <c r="A308" t="s">
        <v>311</v>
      </c>
      <c r="B308" t="s">
        <v>5</v>
      </c>
      <c r="C308" s="82" t="s">
        <v>312</v>
      </c>
      <c r="D308">
        <v>201601</v>
      </c>
      <c r="E308" s="1">
        <v>42369</v>
      </c>
      <c r="F308" s="1">
        <v>42401</v>
      </c>
      <c r="G308" t="s">
        <v>313</v>
      </c>
      <c r="H308" s="81">
        <v>7540</v>
      </c>
      <c r="I308" t="s">
        <v>6</v>
      </c>
      <c r="J308" s="3">
        <v>471.68</v>
      </c>
    </row>
    <row r="309" spans="1:10" x14ac:dyDescent="0.25">
      <c r="A309" t="s">
        <v>311</v>
      </c>
      <c r="B309" t="s">
        <v>5</v>
      </c>
      <c r="C309" s="82" t="s">
        <v>312</v>
      </c>
      <c r="D309">
        <v>201602</v>
      </c>
      <c r="E309" s="1">
        <v>42401</v>
      </c>
      <c r="F309" s="1">
        <v>42430</v>
      </c>
      <c r="G309" t="s">
        <v>313</v>
      </c>
      <c r="H309" s="81">
        <v>8829</v>
      </c>
      <c r="I309" t="s">
        <v>6</v>
      </c>
      <c r="J309" s="3">
        <v>538.82000000000005</v>
      </c>
    </row>
    <row r="310" spans="1:10" x14ac:dyDescent="0.25">
      <c r="A310" t="s">
        <v>311</v>
      </c>
      <c r="B310" t="s">
        <v>5</v>
      </c>
      <c r="C310" s="82" t="s">
        <v>312</v>
      </c>
      <c r="D310">
        <v>201603</v>
      </c>
      <c r="E310" s="1">
        <v>42430</v>
      </c>
      <c r="F310" s="1">
        <v>42460</v>
      </c>
      <c r="G310" t="s">
        <v>313</v>
      </c>
      <c r="H310" s="81">
        <v>8018</v>
      </c>
      <c r="I310" t="s">
        <v>6</v>
      </c>
      <c r="J310" s="3">
        <v>514.74</v>
      </c>
    </row>
    <row r="311" spans="1:10" x14ac:dyDescent="0.25">
      <c r="A311" t="s">
        <v>311</v>
      </c>
      <c r="B311" t="s">
        <v>5</v>
      </c>
      <c r="C311" s="82" t="s">
        <v>312</v>
      </c>
      <c r="D311">
        <v>201604</v>
      </c>
      <c r="E311" s="1">
        <v>42460</v>
      </c>
      <c r="F311" s="1">
        <v>42489</v>
      </c>
      <c r="G311" t="s">
        <v>313</v>
      </c>
      <c r="H311" s="81">
        <v>8401</v>
      </c>
      <c r="I311" t="s">
        <v>6</v>
      </c>
      <c r="J311" s="3">
        <v>506.16</v>
      </c>
    </row>
    <row r="312" spans="1:10" x14ac:dyDescent="0.25">
      <c r="A312" t="s">
        <v>311</v>
      </c>
      <c r="B312" t="s">
        <v>5</v>
      </c>
      <c r="C312" s="82" t="s">
        <v>312</v>
      </c>
      <c r="D312">
        <v>201605</v>
      </c>
      <c r="E312" s="1">
        <v>42489</v>
      </c>
      <c r="F312" s="1">
        <v>42521</v>
      </c>
      <c r="G312" t="s">
        <v>313</v>
      </c>
      <c r="H312" s="81">
        <v>6036</v>
      </c>
      <c r="I312" t="s">
        <v>6</v>
      </c>
      <c r="J312" s="3">
        <v>375.43</v>
      </c>
    </row>
    <row r="313" spans="1:10" x14ac:dyDescent="0.25">
      <c r="A313" t="s">
        <v>311</v>
      </c>
      <c r="B313" t="s">
        <v>5</v>
      </c>
      <c r="C313" s="82" t="s">
        <v>312</v>
      </c>
      <c r="D313">
        <v>201606</v>
      </c>
      <c r="E313" s="1">
        <v>42521</v>
      </c>
      <c r="F313" s="1">
        <v>42550</v>
      </c>
      <c r="G313" t="s">
        <v>313</v>
      </c>
      <c r="H313" s="81">
        <v>6293</v>
      </c>
      <c r="I313" t="s">
        <v>6</v>
      </c>
      <c r="J313" s="3">
        <v>377.78</v>
      </c>
    </row>
    <row r="314" spans="1:10" x14ac:dyDescent="0.25">
      <c r="A314" t="s">
        <v>314</v>
      </c>
      <c r="B314" t="s">
        <v>5</v>
      </c>
      <c r="C314" s="82" t="s">
        <v>315</v>
      </c>
      <c r="D314">
        <v>201507</v>
      </c>
      <c r="E314" s="1">
        <v>42185</v>
      </c>
      <c r="F314" s="1">
        <v>42216</v>
      </c>
      <c r="G314" t="s">
        <v>316</v>
      </c>
      <c r="H314" s="81">
        <v>5200</v>
      </c>
      <c r="I314" t="s">
        <v>6</v>
      </c>
      <c r="J314" s="3">
        <v>305.02</v>
      </c>
    </row>
    <row r="315" spans="1:10" x14ac:dyDescent="0.25">
      <c r="A315" t="s">
        <v>314</v>
      </c>
      <c r="B315" t="s">
        <v>5</v>
      </c>
      <c r="C315" s="82" t="s">
        <v>315</v>
      </c>
      <c r="D315">
        <v>201508</v>
      </c>
      <c r="E315" s="1">
        <v>42216</v>
      </c>
      <c r="F315" s="1">
        <v>42243</v>
      </c>
      <c r="G315" t="s">
        <v>316</v>
      </c>
      <c r="H315" s="81">
        <v>4878</v>
      </c>
      <c r="I315" t="s">
        <v>6</v>
      </c>
      <c r="J315" s="3">
        <v>295.8</v>
      </c>
    </row>
    <row r="316" spans="1:10" x14ac:dyDescent="0.25">
      <c r="A316" t="s">
        <v>314</v>
      </c>
      <c r="B316" t="s">
        <v>5</v>
      </c>
      <c r="C316" s="82" t="s">
        <v>315</v>
      </c>
      <c r="D316">
        <v>201509</v>
      </c>
      <c r="E316" s="1">
        <v>42243</v>
      </c>
      <c r="F316" s="1">
        <v>42276</v>
      </c>
      <c r="G316" t="s">
        <v>316</v>
      </c>
      <c r="H316" s="81">
        <v>6959</v>
      </c>
      <c r="I316" t="s">
        <v>6</v>
      </c>
      <c r="J316" s="3">
        <v>407.14</v>
      </c>
    </row>
    <row r="317" spans="1:10" x14ac:dyDescent="0.25">
      <c r="A317" t="s">
        <v>314</v>
      </c>
      <c r="B317" t="s">
        <v>5</v>
      </c>
      <c r="C317" s="82" t="s">
        <v>315</v>
      </c>
      <c r="D317">
        <v>201510</v>
      </c>
      <c r="E317" s="1">
        <v>42276</v>
      </c>
      <c r="F317" s="1">
        <v>42305</v>
      </c>
      <c r="G317" t="s">
        <v>316</v>
      </c>
      <c r="H317" s="81">
        <v>5702</v>
      </c>
      <c r="I317" t="s">
        <v>6</v>
      </c>
      <c r="J317" s="3">
        <v>340.95</v>
      </c>
    </row>
    <row r="318" spans="1:10" x14ac:dyDescent="0.25">
      <c r="A318" t="s">
        <v>314</v>
      </c>
      <c r="B318" t="s">
        <v>5</v>
      </c>
      <c r="C318" s="82" t="s">
        <v>315</v>
      </c>
      <c r="D318">
        <v>201511</v>
      </c>
      <c r="E318" s="1">
        <v>42305</v>
      </c>
      <c r="F318" s="1">
        <v>42339</v>
      </c>
      <c r="G318" t="s">
        <v>316</v>
      </c>
      <c r="H318" s="81">
        <v>7980</v>
      </c>
      <c r="I318" t="s">
        <v>6</v>
      </c>
      <c r="J318" s="3">
        <v>482.67</v>
      </c>
    </row>
    <row r="319" spans="1:10" x14ac:dyDescent="0.25">
      <c r="A319" t="s">
        <v>314</v>
      </c>
      <c r="B319" t="s">
        <v>5</v>
      </c>
      <c r="C319" s="82" t="s">
        <v>315</v>
      </c>
      <c r="D319">
        <v>201512</v>
      </c>
      <c r="E319" s="1">
        <v>42339</v>
      </c>
      <c r="F319" s="1">
        <v>42369</v>
      </c>
      <c r="G319" t="s">
        <v>316</v>
      </c>
      <c r="H319" s="81">
        <v>4144</v>
      </c>
      <c r="I319" t="s">
        <v>6</v>
      </c>
      <c r="J319" s="3">
        <v>261.79000000000002</v>
      </c>
    </row>
    <row r="320" spans="1:10" x14ac:dyDescent="0.25">
      <c r="A320" t="s">
        <v>314</v>
      </c>
      <c r="B320" t="s">
        <v>5</v>
      </c>
      <c r="C320" s="82" t="s">
        <v>315</v>
      </c>
      <c r="D320">
        <v>201601</v>
      </c>
      <c r="E320" s="1">
        <v>42369</v>
      </c>
      <c r="F320" s="1">
        <v>42401</v>
      </c>
      <c r="G320" t="s">
        <v>316</v>
      </c>
      <c r="H320" s="81">
        <v>4460</v>
      </c>
      <c r="I320" t="s">
        <v>6</v>
      </c>
      <c r="J320" s="3">
        <v>279</v>
      </c>
    </row>
    <row r="321" spans="1:10" x14ac:dyDescent="0.25">
      <c r="A321" t="s">
        <v>314</v>
      </c>
      <c r="B321" t="s">
        <v>5</v>
      </c>
      <c r="C321" s="82" t="s">
        <v>315</v>
      </c>
      <c r="D321">
        <v>201602</v>
      </c>
      <c r="E321" s="1">
        <v>42401</v>
      </c>
      <c r="F321" s="1">
        <v>42430</v>
      </c>
      <c r="G321" t="s">
        <v>316</v>
      </c>
      <c r="H321" s="81">
        <v>4780</v>
      </c>
      <c r="I321" t="s">
        <v>6</v>
      </c>
      <c r="J321" s="3">
        <v>291.72000000000003</v>
      </c>
    </row>
    <row r="322" spans="1:10" x14ac:dyDescent="0.25">
      <c r="A322" t="s">
        <v>314</v>
      </c>
      <c r="B322" t="s">
        <v>5</v>
      </c>
      <c r="C322" s="82" t="s">
        <v>315</v>
      </c>
      <c r="D322">
        <v>201603</v>
      </c>
      <c r="E322" s="1">
        <v>42430</v>
      </c>
      <c r="F322" s="1">
        <v>42460</v>
      </c>
      <c r="G322" t="s">
        <v>316</v>
      </c>
      <c r="H322" s="81">
        <v>4166</v>
      </c>
      <c r="I322" t="s">
        <v>6</v>
      </c>
      <c r="J322" s="3">
        <v>267.45</v>
      </c>
    </row>
    <row r="323" spans="1:10" x14ac:dyDescent="0.25">
      <c r="A323" t="s">
        <v>314</v>
      </c>
      <c r="B323" t="s">
        <v>5</v>
      </c>
      <c r="C323" s="82" t="s">
        <v>315</v>
      </c>
      <c r="D323">
        <v>201604</v>
      </c>
      <c r="E323" s="1">
        <v>42460</v>
      </c>
      <c r="F323" s="1">
        <v>42489</v>
      </c>
      <c r="G323" t="s">
        <v>316</v>
      </c>
      <c r="H323" s="81">
        <v>4795</v>
      </c>
      <c r="I323" t="s">
        <v>6</v>
      </c>
      <c r="J323" s="3">
        <v>288.89999999999998</v>
      </c>
    </row>
    <row r="324" spans="1:10" x14ac:dyDescent="0.25">
      <c r="A324" t="s">
        <v>314</v>
      </c>
      <c r="B324" t="s">
        <v>5</v>
      </c>
      <c r="C324" s="82" t="s">
        <v>315</v>
      </c>
      <c r="D324">
        <v>201605</v>
      </c>
      <c r="E324" s="1">
        <v>42489</v>
      </c>
      <c r="F324" s="1">
        <v>42521</v>
      </c>
      <c r="G324" t="s">
        <v>316</v>
      </c>
      <c r="H324" s="81">
        <v>3568</v>
      </c>
      <c r="I324" t="s">
        <v>6</v>
      </c>
      <c r="J324" s="3">
        <v>221.93</v>
      </c>
    </row>
    <row r="325" spans="1:10" x14ac:dyDescent="0.25">
      <c r="A325" t="s">
        <v>314</v>
      </c>
      <c r="B325" t="s">
        <v>5</v>
      </c>
      <c r="C325" s="82" t="s">
        <v>315</v>
      </c>
      <c r="D325">
        <v>201606</v>
      </c>
      <c r="E325" s="1">
        <v>42521</v>
      </c>
      <c r="F325" s="1">
        <v>42550</v>
      </c>
      <c r="G325" t="s">
        <v>316</v>
      </c>
      <c r="H325" s="81">
        <v>4459</v>
      </c>
      <c r="I325" t="s">
        <v>6</v>
      </c>
      <c r="J325" s="3">
        <v>267.68</v>
      </c>
    </row>
    <row r="326" spans="1:10" x14ac:dyDescent="0.25">
      <c r="A326" t="s">
        <v>317</v>
      </c>
      <c r="B326" t="s">
        <v>5</v>
      </c>
      <c r="C326" s="82" t="s">
        <v>318</v>
      </c>
      <c r="D326">
        <v>201507</v>
      </c>
      <c r="E326" s="1">
        <v>42185</v>
      </c>
      <c r="F326" s="1">
        <v>42216</v>
      </c>
      <c r="G326" t="s">
        <v>319</v>
      </c>
      <c r="H326" s="81">
        <v>5489</v>
      </c>
      <c r="I326" t="s">
        <v>6</v>
      </c>
      <c r="J326" s="3">
        <v>321.97000000000003</v>
      </c>
    </row>
    <row r="327" spans="1:10" x14ac:dyDescent="0.25">
      <c r="A327" t="s">
        <v>317</v>
      </c>
      <c r="B327" t="s">
        <v>5</v>
      </c>
      <c r="C327" s="82" t="s">
        <v>318</v>
      </c>
      <c r="D327">
        <v>201508</v>
      </c>
      <c r="E327" s="1">
        <v>42216</v>
      </c>
      <c r="F327" s="1">
        <v>42243</v>
      </c>
      <c r="G327" t="s">
        <v>319</v>
      </c>
      <c r="H327" s="81">
        <v>4723</v>
      </c>
      <c r="I327" t="s">
        <v>6</v>
      </c>
      <c r="J327" s="3">
        <v>286.39999999999998</v>
      </c>
    </row>
    <row r="328" spans="1:10" x14ac:dyDescent="0.25">
      <c r="A328" t="s">
        <v>317</v>
      </c>
      <c r="B328" t="s">
        <v>5</v>
      </c>
      <c r="C328" s="82" t="s">
        <v>318</v>
      </c>
      <c r="D328">
        <v>201509</v>
      </c>
      <c r="E328" s="1">
        <v>42243</v>
      </c>
      <c r="F328" s="1">
        <v>42276</v>
      </c>
      <c r="G328" t="s">
        <v>319</v>
      </c>
      <c r="H328" s="81">
        <v>6428</v>
      </c>
      <c r="I328" t="s">
        <v>6</v>
      </c>
      <c r="J328" s="3">
        <v>376.07</v>
      </c>
    </row>
    <row r="329" spans="1:10" x14ac:dyDescent="0.25">
      <c r="A329" t="s">
        <v>317</v>
      </c>
      <c r="B329" t="s">
        <v>5</v>
      </c>
      <c r="C329" s="82" t="s">
        <v>318</v>
      </c>
      <c r="D329">
        <v>201510</v>
      </c>
      <c r="E329" s="1">
        <v>42276</v>
      </c>
      <c r="F329" s="1">
        <v>42305</v>
      </c>
      <c r="G329" t="s">
        <v>319</v>
      </c>
      <c r="H329" s="81">
        <v>5107</v>
      </c>
      <c r="I329" t="s">
        <v>6</v>
      </c>
      <c r="J329" s="3">
        <v>305.37</v>
      </c>
    </row>
    <row r="330" spans="1:10" x14ac:dyDescent="0.25">
      <c r="A330" t="s">
        <v>317</v>
      </c>
      <c r="B330" t="s">
        <v>5</v>
      </c>
      <c r="C330" s="82" t="s">
        <v>318</v>
      </c>
      <c r="D330">
        <v>201511</v>
      </c>
      <c r="E330" s="1">
        <v>42305</v>
      </c>
      <c r="F330" s="1">
        <v>42339</v>
      </c>
      <c r="G330" t="s">
        <v>319</v>
      </c>
      <c r="H330" s="81">
        <v>7340</v>
      </c>
      <c r="I330" t="s">
        <v>6</v>
      </c>
      <c r="J330" s="3">
        <v>443.96</v>
      </c>
    </row>
    <row r="331" spans="1:10" x14ac:dyDescent="0.25">
      <c r="A331" t="s">
        <v>317</v>
      </c>
      <c r="B331" t="s">
        <v>5</v>
      </c>
      <c r="C331" s="82" t="s">
        <v>318</v>
      </c>
      <c r="D331">
        <v>201512</v>
      </c>
      <c r="E331" s="1">
        <v>42339</v>
      </c>
      <c r="F331" s="1">
        <v>42369</v>
      </c>
      <c r="G331" t="s">
        <v>319</v>
      </c>
      <c r="H331" s="81">
        <v>3965</v>
      </c>
      <c r="I331" t="s">
        <v>6</v>
      </c>
      <c r="J331" s="3">
        <v>250.48</v>
      </c>
    </row>
    <row r="332" spans="1:10" x14ac:dyDescent="0.25">
      <c r="A332" t="s">
        <v>317</v>
      </c>
      <c r="B332" t="s">
        <v>5</v>
      </c>
      <c r="C332" s="82" t="s">
        <v>318</v>
      </c>
      <c r="D332">
        <v>201601</v>
      </c>
      <c r="E332" s="1">
        <v>42369</v>
      </c>
      <c r="F332" s="1">
        <v>42401</v>
      </c>
      <c r="G332" t="s">
        <v>319</v>
      </c>
      <c r="H332" s="81">
        <v>4369</v>
      </c>
      <c r="I332" t="s">
        <v>6</v>
      </c>
      <c r="J332" s="3">
        <v>273.31</v>
      </c>
    </row>
    <row r="333" spans="1:10" x14ac:dyDescent="0.25">
      <c r="A333" t="s">
        <v>317</v>
      </c>
      <c r="B333" t="s">
        <v>5</v>
      </c>
      <c r="C333" s="82" t="s">
        <v>318</v>
      </c>
      <c r="D333">
        <v>201602</v>
      </c>
      <c r="E333" s="1">
        <v>42401</v>
      </c>
      <c r="F333" s="1">
        <v>42430</v>
      </c>
      <c r="G333" t="s">
        <v>319</v>
      </c>
      <c r="H333" s="81">
        <v>5086</v>
      </c>
      <c r="I333" t="s">
        <v>6</v>
      </c>
      <c r="J333" s="3">
        <v>310.39</v>
      </c>
    </row>
    <row r="334" spans="1:10" x14ac:dyDescent="0.25">
      <c r="A334" t="s">
        <v>317</v>
      </c>
      <c r="B334" t="s">
        <v>5</v>
      </c>
      <c r="C334" s="82" t="s">
        <v>318</v>
      </c>
      <c r="D334">
        <v>201603</v>
      </c>
      <c r="E334" s="1">
        <v>42430</v>
      </c>
      <c r="F334" s="1">
        <v>42460</v>
      </c>
      <c r="G334" t="s">
        <v>319</v>
      </c>
      <c r="H334" s="81">
        <v>4186</v>
      </c>
      <c r="I334" t="s">
        <v>6</v>
      </c>
      <c r="J334" s="3">
        <v>268.74</v>
      </c>
    </row>
    <row r="335" spans="1:10" x14ac:dyDescent="0.25">
      <c r="A335" t="s">
        <v>317</v>
      </c>
      <c r="B335" t="s">
        <v>5</v>
      </c>
      <c r="C335" s="82" t="s">
        <v>318</v>
      </c>
      <c r="D335">
        <v>201604</v>
      </c>
      <c r="E335" s="1">
        <v>42460</v>
      </c>
      <c r="F335" s="1">
        <v>42489</v>
      </c>
      <c r="G335" t="s">
        <v>319</v>
      </c>
      <c r="H335" s="81">
        <v>4590</v>
      </c>
      <c r="I335" t="s">
        <v>6</v>
      </c>
      <c r="J335" s="3">
        <v>276.55</v>
      </c>
    </row>
    <row r="336" spans="1:10" x14ac:dyDescent="0.25">
      <c r="A336" t="s">
        <v>317</v>
      </c>
      <c r="B336" t="s">
        <v>5</v>
      </c>
      <c r="C336" s="82" t="s">
        <v>318</v>
      </c>
      <c r="D336">
        <v>201605</v>
      </c>
      <c r="E336" s="1">
        <v>42489</v>
      </c>
      <c r="F336" s="1">
        <v>42521</v>
      </c>
      <c r="G336" t="s">
        <v>319</v>
      </c>
      <c r="H336" s="81">
        <v>3748</v>
      </c>
      <c r="I336" t="s">
        <v>6</v>
      </c>
      <c r="J336" s="3">
        <v>233.12</v>
      </c>
    </row>
    <row r="337" spans="1:10" x14ac:dyDescent="0.25">
      <c r="A337" t="s">
        <v>317</v>
      </c>
      <c r="B337" t="s">
        <v>5</v>
      </c>
      <c r="C337" s="82" t="s">
        <v>318</v>
      </c>
      <c r="D337">
        <v>201606</v>
      </c>
      <c r="E337" s="1">
        <v>42521</v>
      </c>
      <c r="F337" s="1">
        <v>42550</v>
      </c>
      <c r="G337" t="s">
        <v>319</v>
      </c>
      <c r="H337" s="81">
        <v>3451</v>
      </c>
      <c r="I337" t="s">
        <v>6</v>
      </c>
      <c r="J337" s="3">
        <v>207.17</v>
      </c>
    </row>
    <row r="338" spans="1:10" x14ac:dyDescent="0.25">
      <c r="A338" t="s">
        <v>317</v>
      </c>
      <c r="B338" t="s">
        <v>5</v>
      </c>
      <c r="C338" s="82" t="s">
        <v>320</v>
      </c>
      <c r="D338">
        <v>201507</v>
      </c>
      <c r="E338" s="1">
        <v>42185</v>
      </c>
      <c r="F338" s="1">
        <v>42216</v>
      </c>
      <c r="G338" t="s">
        <v>321</v>
      </c>
      <c r="H338" s="81">
        <v>427</v>
      </c>
      <c r="I338" t="s">
        <v>6</v>
      </c>
      <c r="J338" s="3">
        <v>25.05</v>
      </c>
    </row>
    <row r="339" spans="1:10" x14ac:dyDescent="0.25">
      <c r="A339" t="s">
        <v>317</v>
      </c>
      <c r="B339" t="s">
        <v>5</v>
      </c>
      <c r="C339" s="82" t="s">
        <v>320</v>
      </c>
      <c r="D339">
        <v>201508</v>
      </c>
      <c r="E339" s="1">
        <v>42216</v>
      </c>
      <c r="F339" s="1">
        <v>42243</v>
      </c>
      <c r="G339" t="s">
        <v>321</v>
      </c>
      <c r="H339" s="81">
        <v>391</v>
      </c>
      <c r="I339" t="s">
        <v>6</v>
      </c>
      <c r="J339" s="3">
        <v>23.71</v>
      </c>
    </row>
    <row r="340" spans="1:10" x14ac:dyDescent="0.25">
      <c r="A340" t="s">
        <v>317</v>
      </c>
      <c r="B340" t="s">
        <v>5</v>
      </c>
      <c r="C340" s="82" t="s">
        <v>320</v>
      </c>
      <c r="D340">
        <v>201509</v>
      </c>
      <c r="E340" s="1">
        <v>42243</v>
      </c>
      <c r="F340" s="1">
        <v>42276</v>
      </c>
      <c r="G340" t="s">
        <v>321</v>
      </c>
      <c r="H340" s="81">
        <v>713</v>
      </c>
      <c r="I340" t="s">
        <v>6</v>
      </c>
      <c r="J340" s="3">
        <v>41.71</v>
      </c>
    </row>
    <row r="341" spans="1:10" x14ac:dyDescent="0.25">
      <c r="A341" t="s">
        <v>317</v>
      </c>
      <c r="B341" t="s">
        <v>5</v>
      </c>
      <c r="C341" s="82" t="s">
        <v>320</v>
      </c>
      <c r="D341">
        <v>201510</v>
      </c>
      <c r="E341" s="1">
        <v>42276</v>
      </c>
      <c r="F341" s="1">
        <v>42305</v>
      </c>
      <c r="G341" t="s">
        <v>321</v>
      </c>
      <c r="H341" s="81">
        <v>2964</v>
      </c>
      <c r="I341" t="s">
        <v>6</v>
      </c>
      <c r="J341" s="3">
        <v>177.23</v>
      </c>
    </row>
    <row r="342" spans="1:10" x14ac:dyDescent="0.25">
      <c r="A342" t="s">
        <v>317</v>
      </c>
      <c r="B342" t="s">
        <v>5</v>
      </c>
      <c r="C342" s="82" t="s">
        <v>320</v>
      </c>
      <c r="D342">
        <v>201511</v>
      </c>
      <c r="E342" s="1">
        <v>42305</v>
      </c>
      <c r="F342" s="1">
        <v>42339</v>
      </c>
      <c r="G342" t="s">
        <v>321</v>
      </c>
      <c r="H342" s="81">
        <v>6462</v>
      </c>
      <c r="I342" t="s">
        <v>6</v>
      </c>
      <c r="J342" s="3">
        <v>390.85</v>
      </c>
    </row>
    <row r="343" spans="1:10" x14ac:dyDescent="0.25">
      <c r="A343" t="s">
        <v>317</v>
      </c>
      <c r="B343" t="s">
        <v>5</v>
      </c>
      <c r="C343" s="82" t="s">
        <v>320</v>
      </c>
      <c r="D343">
        <v>201512</v>
      </c>
      <c r="E343" s="1">
        <v>42339</v>
      </c>
      <c r="F343" s="1">
        <v>42369</v>
      </c>
      <c r="G343" t="s">
        <v>321</v>
      </c>
      <c r="H343" s="81">
        <v>5713</v>
      </c>
      <c r="I343" t="s">
        <v>6</v>
      </c>
      <c r="J343" s="3">
        <v>360.9</v>
      </c>
    </row>
    <row r="344" spans="1:10" x14ac:dyDescent="0.25">
      <c r="A344" t="s">
        <v>317</v>
      </c>
      <c r="B344" t="s">
        <v>5</v>
      </c>
      <c r="C344" s="82" t="s">
        <v>320</v>
      </c>
      <c r="D344">
        <v>201601</v>
      </c>
      <c r="E344" s="1">
        <v>42369</v>
      </c>
      <c r="F344" s="1">
        <v>42401</v>
      </c>
      <c r="G344" t="s">
        <v>321</v>
      </c>
      <c r="H344" s="81">
        <v>6094</v>
      </c>
      <c r="I344" t="s">
        <v>6</v>
      </c>
      <c r="J344" s="3">
        <v>381.22</v>
      </c>
    </row>
    <row r="345" spans="1:10" x14ac:dyDescent="0.25">
      <c r="A345" t="s">
        <v>317</v>
      </c>
      <c r="B345" t="s">
        <v>5</v>
      </c>
      <c r="C345" s="82" t="s">
        <v>320</v>
      </c>
      <c r="D345">
        <v>201602</v>
      </c>
      <c r="E345" s="1">
        <v>42401</v>
      </c>
      <c r="F345" s="1">
        <v>42430</v>
      </c>
      <c r="G345" t="s">
        <v>321</v>
      </c>
      <c r="H345" s="81">
        <v>5569</v>
      </c>
      <c r="I345" t="s">
        <v>6</v>
      </c>
      <c r="J345" s="3">
        <v>339.87</v>
      </c>
    </row>
    <row r="346" spans="1:10" x14ac:dyDescent="0.25">
      <c r="A346" t="s">
        <v>317</v>
      </c>
      <c r="B346" t="s">
        <v>5</v>
      </c>
      <c r="C346" s="82" t="s">
        <v>320</v>
      </c>
      <c r="D346">
        <v>201603</v>
      </c>
      <c r="E346" s="1">
        <v>42430</v>
      </c>
      <c r="F346" s="1">
        <v>42460</v>
      </c>
      <c r="G346" t="s">
        <v>321</v>
      </c>
      <c r="H346" s="81">
        <v>5888</v>
      </c>
      <c r="I346" t="s">
        <v>6</v>
      </c>
      <c r="J346" s="3">
        <v>378</v>
      </c>
    </row>
    <row r="347" spans="1:10" x14ac:dyDescent="0.25">
      <c r="A347" t="s">
        <v>317</v>
      </c>
      <c r="B347" t="s">
        <v>5</v>
      </c>
      <c r="C347" s="82" t="s">
        <v>320</v>
      </c>
      <c r="D347">
        <v>201604</v>
      </c>
      <c r="E347" s="1">
        <v>42460</v>
      </c>
      <c r="F347" s="1">
        <v>42489</v>
      </c>
      <c r="G347" t="s">
        <v>321</v>
      </c>
      <c r="H347" s="81">
        <v>2911</v>
      </c>
      <c r="I347" t="s">
        <v>6</v>
      </c>
      <c r="J347" s="3">
        <v>175.39</v>
      </c>
    </row>
    <row r="348" spans="1:10" x14ac:dyDescent="0.25">
      <c r="A348" t="s">
        <v>317</v>
      </c>
      <c r="B348" t="s">
        <v>5</v>
      </c>
      <c r="C348" s="82" t="s">
        <v>320</v>
      </c>
      <c r="D348">
        <v>201605</v>
      </c>
      <c r="E348" s="1">
        <v>42489</v>
      </c>
      <c r="F348" s="1">
        <v>42521</v>
      </c>
      <c r="G348" t="s">
        <v>321</v>
      </c>
      <c r="H348" s="81">
        <v>910</v>
      </c>
      <c r="I348" t="s">
        <v>6</v>
      </c>
      <c r="J348" s="3">
        <v>56.6</v>
      </c>
    </row>
    <row r="349" spans="1:10" x14ac:dyDescent="0.25">
      <c r="A349" t="s">
        <v>317</v>
      </c>
      <c r="B349" t="s">
        <v>5</v>
      </c>
      <c r="C349" s="82" t="s">
        <v>320</v>
      </c>
      <c r="D349">
        <v>201606</v>
      </c>
      <c r="E349" s="1">
        <v>42521</v>
      </c>
      <c r="F349" s="1">
        <v>42550</v>
      </c>
      <c r="G349" t="s">
        <v>321</v>
      </c>
      <c r="H349" s="81">
        <v>298</v>
      </c>
      <c r="I349" t="s">
        <v>6</v>
      </c>
      <c r="J349" s="3">
        <v>17.89</v>
      </c>
    </row>
    <row r="350" spans="1:10" x14ac:dyDescent="0.25">
      <c r="A350" t="s">
        <v>322</v>
      </c>
      <c r="B350" t="s">
        <v>5</v>
      </c>
      <c r="C350" s="82" t="s">
        <v>323</v>
      </c>
      <c r="D350">
        <v>201507</v>
      </c>
      <c r="E350" s="1">
        <v>42185</v>
      </c>
      <c r="F350" s="1">
        <v>42216</v>
      </c>
      <c r="G350" t="s">
        <v>324</v>
      </c>
      <c r="H350" s="81">
        <v>6394</v>
      </c>
      <c r="I350" t="s">
        <v>6</v>
      </c>
      <c r="J350" s="3">
        <v>375.06</v>
      </c>
    </row>
    <row r="351" spans="1:10" x14ac:dyDescent="0.25">
      <c r="A351" t="s">
        <v>322</v>
      </c>
      <c r="B351" t="s">
        <v>5</v>
      </c>
      <c r="C351" s="82" t="s">
        <v>323</v>
      </c>
      <c r="D351">
        <v>201508</v>
      </c>
      <c r="E351" s="1">
        <v>42216</v>
      </c>
      <c r="F351" s="1">
        <v>42243</v>
      </c>
      <c r="G351" t="s">
        <v>324</v>
      </c>
      <c r="H351" s="81">
        <v>5755</v>
      </c>
      <c r="I351" t="s">
        <v>6</v>
      </c>
      <c r="J351" s="3">
        <v>348.98</v>
      </c>
    </row>
    <row r="352" spans="1:10" x14ac:dyDescent="0.25">
      <c r="A352" t="s">
        <v>322</v>
      </c>
      <c r="B352" t="s">
        <v>5</v>
      </c>
      <c r="C352" s="82" t="s">
        <v>323</v>
      </c>
      <c r="D352">
        <v>201509</v>
      </c>
      <c r="E352" s="1">
        <v>42243</v>
      </c>
      <c r="F352" s="1">
        <v>42276</v>
      </c>
      <c r="G352" t="s">
        <v>324</v>
      </c>
      <c r="H352" s="81">
        <v>7336</v>
      </c>
      <c r="I352" t="s">
        <v>6</v>
      </c>
      <c r="J352" s="3">
        <v>429.19</v>
      </c>
    </row>
    <row r="353" spans="1:10" x14ac:dyDescent="0.25">
      <c r="A353" t="s">
        <v>322</v>
      </c>
      <c r="B353" t="s">
        <v>5</v>
      </c>
      <c r="C353" s="82" t="s">
        <v>323</v>
      </c>
      <c r="D353">
        <v>201510</v>
      </c>
      <c r="E353" s="1">
        <v>42276</v>
      </c>
      <c r="F353" s="1">
        <v>42305</v>
      </c>
      <c r="G353" t="s">
        <v>324</v>
      </c>
      <c r="H353" s="81">
        <v>5669</v>
      </c>
      <c r="I353" t="s">
        <v>6</v>
      </c>
      <c r="J353" s="3">
        <v>338.98</v>
      </c>
    </row>
    <row r="354" spans="1:10" x14ac:dyDescent="0.25">
      <c r="A354" t="s">
        <v>322</v>
      </c>
      <c r="B354" t="s">
        <v>5</v>
      </c>
      <c r="C354" s="82" t="s">
        <v>323</v>
      </c>
      <c r="D354">
        <v>201511</v>
      </c>
      <c r="E354" s="1">
        <v>42305</v>
      </c>
      <c r="F354" s="1">
        <v>42339</v>
      </c>
      <c r="G354" t="s">
        <v>324</v>
      </c>
      <c r="H354" s="81">
        <v>8146</v>
      </c>
      <c r="I354" t="s">
        <v>6</v>
      </c>
      <c r="J354" s="3">
        <v>492.71</v>
      </c>
    </row>
    <row r="355" spans="1:10" x14ac:dyDescent="0.25">
      <c r="A355" t="s">
        <v>322</v>
      </c>
      <c r="B355" t="s">
        <v>5</v>
      </c>
      <c r="C355" s="82" t="s">
        <v>323</v>
      </c>
      <c r="D355">
        <v>201512</v>
      </c>
      <c r="E355" s="1">
        <v>42339</v>
      </c>
      <c r="F355" s="1">
        <v>42369</v>
      </c>
      <c r="G355" t="s">
        <v>324</v>
      </c>
      <c r="H355" s="81">
        <v>4820</v>
      </c>
      <c r="I355" t="s">
        <v>6</v>
      </c>
      <c r="J355" s="3">
        <v>304.49</v>
      </c>
    </row>
    <row r="356" spans="1:10" x14ac:dyDescent="0.25">
      <c r="A356" t="s">
        <v>322</v>
      </c>
      <c r="B356" t="s">
        <v>5</v>
      </c>
      <c r="C356" s="82" t="s">
        <v>323</v>
      </c>
      <c r="D356">
        <v>201601</v>
      </c>
      <c r="E356" s="1">
        <v>42369</v>
      </c>
      <c r="F356" s="1">
        <v>42401</v>
      </c>
      <c r="G356" t="s">
        <v>324</v>
      </c>
      <c r="H356" s="81">
        <v>5283</v>
      </c>
      <c r="I356" t="s">
        <v>6</v>
      </c>
      <c r="J356" s="3">
        <v>330.49</v>
      </c>
    </row>
    <row r="357" spans="1:10" x14ac:dyDescent="0.25">
      <c r="A357" t="s">
        <v>322</v>
      </c>
      <c r="B357" t="s">
        <v>5</v>
      </c>
      <c r="C357" s="82" t="s">
        <v>323</v>
      </c>
      <c r="D357">
        <v>201602</v>
      </c>
      <c r="E357" s="1">
        <v>42401</v>
      </c>
      <c r="F357" s="1">
        <v>42430</v>
      </c>
      <c r="G357" t="s">
        <v>324</v>
      </c>
      <c r="H357" s="81">
        <v>5626</v>
      </c>
      <c r="I357" t="s">
        <v>6</v>
      </c>
      <c r="J357" s="3">
        <v>343.35</v>
      </c>
    </row>
    <row r="358" spans="1:10" x14ac:dyDescent="0.25">
      <c r="A358" t="s">
        <v>322</v>
      </c>
      <c r="B358" t="s">
        <v>5</v>
      </c>
      <c r="C358" s="82" t="s">
        <v>323</v>
      </c>
      <c r="D358">
        <v>201603</v>
      </c>
      <c r="E358" s="1">
        <v>42430</v>
      </c>
      <c r="F358" s="1">
        <v>42460</v>
      </c>
      <c r="G358" t="s">
        <v>324</v>
      </c>
      <c r="H358" s="81">
        <v>5035</v>
      </c>
      <c r="I358" t="s">
        <v>6</v>
      </c>
      <c r="J358" s="3">
        <v>323.24</v>
      </c>
    </row>
    <row r="359" spans="1:10" x14ac:dyDescent="0.25">
      <c r="A359" t="s">
        <v>322</v>
      </c>
      <c r="B359" t="s">
        <v>5</v>
      </c>
      <c r="C359" s="82" t="s">
        <v>323</v>
      </c>
      <c r="D359">
        <v>201604</v>
      </c>
      <c r="E359" s="1">
        <v>42460</v>
      </c>
      <c r="F359" s="1">
        <v>42489</v>
      </c>
      <c r="G359" t="s">
        <v>324</v>
      </c>
      <c r="H359" s="81">
        <v>5169</v>
      </c>
      <c r="I359" t="s">
        <v>6</v>
      </c>
      <c r="J359" s="3">
        <v>311.43</v>
      </c>
    </row>
    <row r="360" spans="1:10" x14ac:dyDescent="0.25">
      <c r="A360" t="s">
        <v>322</v>
      </c>
      <c r="B360" t="s">
        <v>5</v>
      </c>
      <c r="C360" s="82" t="s">
        <v>323</v>
      </c>
      <c r="D360">
        <v>201605</v>
      </c>
      <c r="E360" s="1">
        <v>42489</v>
      </c>
      <c r="F360" s="1">
        <v>42521</v>
      </c>
      <c r="G360" t="s">
        <v>324</v>
      </c>
      <c r="H360" s="81">
        <v>3640</v>
      </c>
      <c r="I360" t="s">
        <v>6</v>
      </c>
      <c r="J360" s="3">
        <v>226.4</v>
      </c>
    </row>
    <row r="361" spans="1:10" x14ac:dyDescent="0.25">
      <c r="A361" t="s">
        <v>322</v>
      </c>
      <c r="B361" t="s">
        <v>5</v>
      </c>
      <c r="C361" s="82" t="s">
        <v>323</v>
      </c>
      <c r="D361">
        <v>201606</v>
      </c>
      <c r="E361" s="1">
        <v>42521</v>
      </c>
      <c r="F361" s="1">
        <v>42550</v>
      </c>
      <c r="G361" t="s">
        <v>324</v>
      </c>
      <c r="H361" s="81">
        <v>3238</v>
      </c>
      <c r="I361" t="s">
        <v>6</v>
      </c>
      <c r="J361" s="3">
        <v>194.38</v>
      </c>
    </row>
    <row r="362" spans="1:10" x14ac:dyDescent="0.25">
      <c r="A362" t="s">
        <v>325</v>
      </c>
      <c r="B362" t="s">
        <v>5</v>
      </c>
      <c r="C362" s="82" t="s">
        <v>326</v>
      </c>
      <c r="D362">
        <v>201507</v>
      </c>
      <c r="E362" s="1">
        <v>42185</v>
      </c>
      <c r="F362" s="1">
        <v>42216</v>
      </c>
      <c r="G362" t="s">
        <v>327</v>
      </c>
      <c r="H362" s="81">
        <v>6622</v>
      </c>
      <c r="I362" t="s">
        <v>6</v>
      </c>
      <c r="J362" s="3">
        <v>388.43</v>
      </c>
    </row>
    <row r="363" spans="1:10" x14ac:dyDescent="0.25">
      <c r="A363" t="s">
        <v>325</v>
      </c>
      <c r="B363" t="s">
        <v>5</v>
      </c>
      <c r="C363" s="82" t="s">
        <v>326</v>
      </c>
      <c r="D363">
        <v>201508</v>
      </c>
      <c r="E363" s="1">
        <v>42216</v>
      </c>
      <c r="F363" s="1">
        <v>42243</v>
      </c>
      <c r="G363" t="s">
        <v>327</v>
      </c>
      <c r="H363" s="81">
        <v>6419</v>
      </c>
      <c r="I363" t="s">
        <v>6</v>
      </c>
      <c r="J363" s="3">
        <v>389.24</v>
      </c>
    </row>
    <row r="364" spans="1:10" x14ac:dyDescent="0.25">
      <c r="A364" t="s">
        <v>325</v>
      </c>
      <c r="B364" t="s">
        <v>5</v>
      </c>
      <c r="C364" s="82" t="s">
        <v>326</v>
      </c>
      <c r="D364">
        <v>201509</v>
      </c>
      <c r="E364" s="1">
        <v>42243</v>
      </c>
      <c r="F364" s="1">
        <v>42276</v>
      </c>
      <c r="G364" t="s">
        <v>327</v>
      </c>
      <c r="H364" s="81">
        <v>11953</v>
      </c>
      <c r="I364" t="s">
        <v>6</v>
      </c>
      <c r="J364" s="3">
        <v>699.31</v>
      </c>
    </row>
    <row r="365" spans="1:10" x14ac:dyDescent="0.25">
      <c r="A365" t="s">
        <v>325</v>
      </c>
      <c r="B365" t="s">
        <v>5</v>
      </c>
      <c r="C365" s="82" t="s">
        <v>326</v>
      </c>
      <c r="D365">
        <v>201510</v>
      </c>
      <c r="E365" s="1">
        <v>42276</v>
      </c>
      <c r="F365" s="1">
        <v>42305</v>
      </c>
      <c r="G365" t="s">
        <v>327</v>
      </c>
      <c r="H365" s="81">
        <v>7794</v>
      </c>
      <c r="I365" t="s">
        <v>6</v>
      </c>
      <c r="J365" s="3">
        <v>466.04</v>
      </c>
    </row>
    <row r="366" spans="1:10" x14ac:dyDescent="0.25">
      <c r="A366" t="s">
        <v>325</v>
      </c>
      <c r="B366" t="s">
        <v>5</v>
      </c>
      <c r="C366" s="82" t="s">
        <v>326</v>
      </c>
      <c r="D366">
        <v>201511</v>
      </c>
      <c r="E366" s="1">
        <v>42305</v>
      </c>
      <c r="F366" s="1">
        <v>42339</v>
      </c>
      <c r="G366" t="s">
        <v>327</v>
      </c>
      <c r="H366" s="81">
        <v>12230</v>
      </c>
      <c r="I366" t="s">
        <v>6</v>
      </c>
      <c r="J366" s="3">
        <v>739.73</v>
      </c>
    </row>
    <row r="367" spans="1:10" x14ac:dyDescent="0.25">
      <c r="A367" t="s">
        <v>325</v>
      </c>
      <c r="B367" t="s">
        <v>5</v>
      </c>
      <c r="C367" s="82" t="s">
        <v>326</v>
      </c>
      <c r="D367">
        <v>201512</v>
      </c>
      <c r="E367" s="1">
        <v>42339</v>
      </c>
      <c r="F367" s="1">
        <v>42369</v>
      </c>
      <c r="G367" t="s">
        <v>327</v>
      </c>
      <c r="H367" s="81">
        <v>7386</v>
      </c>
      <c r="I367" t="s">
        <v>6</v>
      </c>
      <c r="J367" s="3">
        <v>466.59</v>
      </c>
    </row>
    <row r="368" spans="1:10" x14ac:dyDescent="0.25">
      <c r="A368" t="s">
        <v>325</v>
      </c>
      <c r="B368" t="s">
        <v>5</v>
      </c>
      <c r="C368" s="82" t="s">
        <v>326</v>
      </c>
      <c r="D368">
        <v>201601</v>
      </c>
      <c r="E368" s="1">
        <v>42369</v>
      </c>
      <c r="F368" s="1">
        <v>42401</v>
      </c>
      <c r="G368" t="s">
        <v>327</v>
      </c>
      <c r="H368" s="81">
        <v>7615</v>
      </c>
      <c r="I368" t="s">
        <v>6</v>
      </c>
      <c r="J368" s="3">
        <v>476.37</v>
      </c>
    </row>
    <row r="369" spans="1:10" x14ac:dyDescent="0.25">
      <c r="A369" t="s">
        <v>325</v>
      </c>
      <c r="B369" t="s">
        <v>5</v>
      </c>
      <c r="C369" s="82" t="s">
        <v>326</v>
      </c>
      <c r="D369">
        <v>201602</v>
      </c>
      <c r="E369" s="1">
        <v>42401</v>
      </c>
      <c r="F369" s="1">
        <v>42430</v>
      </c>
      <c r="G369" t="s">
        <v>327</v>
      </c>
      <c r="H369" s="81">
        <v>9059</v>
      </c>
      <c r="I369" t="s">
        <v>6</v>
      </c>
      <c r="J369" s="3">
        <v>552.86</v>
      </c>
    </row>
    <row r="370" spans="1:10" x14ac:dyDescent="0.25">
      <c r="A370" t="s">
        <v>325</v>
      </c>
      <c r="B370" t="s">
        <v>5</v>
      </c>
      <c r="C370" s="82" t="s">
        <v>326</v>
      </c>
      <c r="D370">
        <v>201603</v>
      </c>
      <c r="E370" s="1">
        <v>42430</v>
      </c>
      <c r="F370" s="1">
        <v>42460</v>
      </c>
      <c r="G370" t="s">
        <v>327</v>
      </c>
      <c r="H370" s="81">
        <v>8358</v>
      </c>
      <c r="I370" t="s">
        <v>6</v>
      </c>
      <c r="J370" s="3">
        <v>536.57000000000005</v>
      </c>
    </row>
    <row r="371" spans="1:10" x14ac:dyDescent="0.25">
      <c r="A371" t="s">
        <v>325</v>
      </c>
      <c r="B371" t="s">
        <v>5</v>
      </c>
      <c r="C371" s="82" t="s">
        <v>326</v>
      </c>
      <c r="D371">
        <v>201604</v>
      </c>
      <c r="E371" s="1">
        <v>42460</v>
      </c>
      <c r="F371" s="1">
        <v>42489</v>
      </c>
      <c r="G371" t="s">
        <v>327</v>
      </c>
      <c r="H371" s="81">
        <v>8878</v>
      </c>
      <c r="I371" t="s">
        <v>6</v>
      </c>
      <c r="J371" s="3">
        <v>534.9</v>
      </c>
    </row>
    <row r="372" spans="1:10" x14ac:dyDescent="0.25">
      <c r="A372" t="s">
        <v>325</v>
      </c>
      <c r="B372" t="s">
        <v>5</v>
      </c>
      <c r="C372" s="82" t="s">
        <v>326</v>
      </c>
      <c r="D372">
        <v>201605</v>
      </c>
      <c r="E372" s="1">
        <v>42489</v>
      </c>
      <c r="F372" s="1">
        <v>42521</v>
      </c>
      <c r="G372" t="s">
        <v>327</v>
      </c>
      <c r="H372" s="81">
        <v>6021</v>
      </c>
      <c r="I372" t="s">
        <v>6</v>
      </c>
      <c r="J372" s="3">
        <v>374.5</v>
      </c>
    </row>
    <row r="373" spans="1:10" x14ac:dyDescent="0.25">
      <c r="A373" t="s">
        <v>325</v>
      </c>
      <c r="B373" t="s">
        <v>5</v>
      </c>
      <c r="C373" s="82" t="s">
        <v>326</v>
      </c>
      <c r="D373">
        <v>201606</v>
      </c>
      <c r="E373" s="1">
        <v>42521</v>
      </c>
      <c r="F373" s="1">
        <v>42550</v>
      </c>
      <c r="G373" t="s">
        <v>327</v>
      </c>
      <c r="H373" s="81">
        <v>3566</v>
      </c>
      <c r="I373" t="s">
        <v>6</v>
      </c>
      <c r="J373" s="3">
        <v>214.07</v>
      </c>
    </row>
    <row r="374" spans="1:10" x14ac:dyDescent="0.25">
      <c r="A374" t="s">
        <v>328</v>
      </c>
      <c r="B374" t="s">
        <v>5</v>
      </c>
      <c r="C374" s="82" t="s">
        <v>329</v>
      </c>
      <c r="D374">
        <v>201507</v>
      </c>
      <c r="E374" s="1">
        <v>42185</v>
      </c>
      <c r="F374" s="1">
        <v>42216</v>
      </c>
      <c r="G374" t="s">
        <v>330</v>
      </c>
      <c r="H374" s="81">
        <v>4788</v>
      </c>
      <c r="I374" t="s">
        <v>6</v>
      </c>
      <c r="J374" s="3">
        <v>280.85000000000002</v>
      </c>
    </row>
    <row r="375" spans="1:10" x14ac:dyDescent="0.25">
      <c r="A375" t="s">
        <v>328</v>
      </c>
      <c r="B375" t="s">
        <v>5</v>
      </c>
      <c r="C375" s="82" t="s">
        <v>329</v>
      </c>
      <c r="D375">
        <v>201508</v>
      </c>
      <c r="E375" s="1">
        <v>42216</v>
      </c>
      <c r="F375" s="1">
        <v>42243</v>
      </c>
      <c r="G375" t="s">
        <v>330</v>
      </c>
      <c r="H375" s="81">
        <v>2614</v>
      </c>
      <c r="I375" t="s">
        <v>6</v>
      </c>
      <c r="J375" s="3">
        <v>158.51</v>
      </c>
    </row>
    <row r="376" spans="1:10" x14ac:dyDescent="0.25">
      <c r="A376" t="s">
        <v>328</v>
      </c>
      <c r="B376" t="s">
        <v>5</v>
      </c>
      <c r="C376" s="82" t="s">
        <v>329</v>
      </c>
      <c r="D376">
        <v>201509</v>
      </c>
      <c r="E376" s="1">
        <v>42243</v>
      </c>
      <c r="F376" s="1">
        <v>42276</v>
      </c>
      <c r="G376" t="s">
        <v>330</v>
      </c>
      <c r="H376" s="81">
        <v>6895</v>
      </c>
      <c r="I376" t="s">
        <v>6</v>
      </c>
      <c r="J376" s="3">
        <v>403.39</v>
      </c>
    </row>
    <row r="377" spans="1:10" x14ac:dyDescent="0.25">
      <c r="A377" t="s">
        <v>328</v>
      </c>
      <c r="B377" t="s">
        <v>5</v>
      </c>
      <c r="C377" s="82" t="s">
        <v>329</v>
      </c>
      <c r="D377">
        <v>201510</v>
      </c>
      <c r="E377" s="1">
        <v>42276</v>
      </c>
      <c r="F377" s="1">
        <v>42305</v>
      </c>
      <c r="G377" t="s">
        <v>330</v>
      </c>
      <c r="H377" s="81">
        <v>5275</v>
      </c>
      <c r="I377" t="s">
        <v>6</v>
      </c>
      <c r="J377" s="3">
        <v>315.42</v>
      </c>
    </row>
    <row r="378" spans="1:10" x14ac:dyDescent="0.25">
      <c r="A378" t="s">
        <v>328</v>
      </c>
      <c r="B378" t="s">
        <v>5</v>
      </c>
      <c r="C378" s="82" t="s">
        <v>329</v>
      </c>
      <c r="D378">
        <v>201511</v>
      </c>
      <c r="E378" s="1">
        <v>42305</v>
      </c>
      <c r="F378" s="1">
        <v>42339</v>
      </c>
      <c r="G378" t="s">
        <v>330</v>
      </c>
      <c r="H378" s="81">
        <v>7349</v>
      </c>
      <c r="I378" t="s">
        <v>6</v>
      </c>
      <c r="J378" s="3">
        <v>444.5</v>
      </c>
    </row>
    <row r="379" spans="1:10" x14ac:dyDescent="0.25">
      <c r="A379" t="s">
        <v>328</v>
      </c>
      <c r="B379" t="s">
        <v>5</v>
      </c>
      <c r="C379" s="82" t="s">
        <v>329</v>
      </c>
      <c r="D379">
        <v>201512</v>
      </c>
      <c r="E379" s="1">
        <v>42339</v>
      </c>
      <c r="F379" s="1">
        <v>42369</v>
      </c>
      <c r="G379" t="s">
        <v>330</v>
      </c>
      <c r="H379" s="81">
        <v>3767</v>
      </c>
      <c r="I379" t="s">
        <v>6</v>
      </c>
      <c r="J379" s="3">
        <v>237.97</v>
      </c>
    </row>
    <row r="380" spans="1:10" x14ac:dyDescent="0.25">
      <c r="A380" t="s">
        <v>328</v>
      </c>
      <c r="B380" t="s">
        <v>5</v>
      </c>
      <c r="C380" s="82" t="s">
        <v>329</v>
      </c>
      <c r="D380">
        <v>201601</v>
      </c>
      <c r="E380" s="1">
        <v>42369</v>
      </c>
      <c r="F380" s="1">
        <v>42401</v>
      </c>
      <c r="G380" t="s">
        <v>330</v>
      </c>
      <c r="H380" s="81">
        <v>4097</v>
      </c>
      <c r="I380" t="s">
        <v>6</v>
      </c>
      <c r="J380" s="3">
        <v>256.3</v>
      </c>
    </row>
    <row r="381" spans="1:10" x14ac:dyDescent="0.25">
      <c r="A381" t="s">
        <v>328</v>
      </c>
      <c r="B381" t="s">
        <v>5</v>
      </c>
      <c r="C381" s="82" t="s">
        <v>329</v>
      </c>
      <c r="D381">
        <v>201602</v>
      </c>
      <c r="E381" s="1">
        <v>42401</v>
      </c>
      <c r="F381" s="1">
        <v>42430</v>
      </c>
      <c r="G381" t="s">
        <v>330</v>
      </c>
      <c r="H381" s="81">
        <v>4539</v>
      </c>
      <c r="I381" t="s">
        <v>6</v>
      </c>
      <c r="J381" s="3">
        <v>277.01</v>
      </c>
    </row>
    <row r="382" spans="1:10" x14ac:dyDescent="0.25">
      <c r="A382" t="s">
        <v>328</v>
      </c>
      <c r="B382" t="s">
        <v>5</v>
      </c>
      <c r="C382" s="82" t="s">
        <v>329</v>
      </c>
      <c r="D382">
        <v>201603</v>
      </c>
      <c r="E382" s="1">
        <v>42430</v>
      </c>
      <c r="F382" s="1">
        <v>42460</v>
      </c>
      <c r="G382" t="s">
        <v>330</v>
      </c>
      <c r="H382" s="81">
        <v>3990</v>
      </c>
      <c r="I382" t="s">
        <v>6</v>
      </c>
      <c r="J382" s="3">
        <v>256.14999999999998</v>
      </c>
    </row>
    <row r="383" spans="1:10" x14ac:dyDescent="0.25">
      <c r="A383" t="s">
        <v>328</v>
      </c>
      <c r="B383" t="s">
        <v>5</v>
      </c>
      <c r="C383" s="82" t="s">
        <v>329</v>
      </c>
      <c r="D383">
        <v>201604</v>
      </c>
      <c r="E383" s="1">
        <v>42460</v>
      </c>
      <c r="F383" s="1">
        <v>42489</v>
      </c>
      <c r="G383" t="s">
        <v>330</v>
      </c>
      <c r="H383" s="81">
        <v>4433</v>
      </c>
      <c r="I383" t="s">
        <v>6</v>
      </c>
      <c r="J383" s="3">
        <v>267.08999999999997</v>
      </c>
    </row>
    <row r="384" spans="1:10" x14ac:dyDescent="0.25">
      <c r="A384" t="s">
        <v>328</v>
      </c>
      <c r="B384" t="s">
        <v>5</v>
      </c>
      <c r="C384" s="82" t="s">
        <v>329</v>
      </c>
      <c r="D384">
        <v>201605</v>
      </c>
      <c r="E384" s="1">
        <v>42489</v>
      </c>
      <c r="F384" s="1">
        <v>42521</v>
      </c>
      <c r="G384" t="s">
        <v>330</v>
      </c>
      <c r="H384" s="81">
        <v>3421</v>
      </c>
      <c r="I384" t="s">
        <v>6</v>
      </c>
      <c r="J384" s="3">
        <v>212.78</v>
      </c>
    </row>
    <row r="385" spans="1:10" x14ac:dyDescent="0.25">
      <c r="A385" t="s">
        <v>328</v>
      </c>
      <c r="B385" t="s">
        <v>5</v>
      </c>
      <c r="C385" s="82" t="s">
        <v>329</v>
      </c>
      <c r="D385">
        <v>201606</v>
      </c>
      <c r="E385" s="1">
        <v>42521</v>
      </c>
      <c r="F385" s="1">
        <v>42550</v>
      </c>
      <c r="G385" t="s">
        <v>330</v>
      </c>
      <c r="H385" s="81">
        <v>2900</v>
      </c>
      <c r="I385" t="s">
        <v>6</v>
      </c>
      <c r="J385" s="3">
        <v>174.09</v>
      </c>
    </row>
    <row r="386" spans="1:10" x14ac:dyDescent="0.25">
      <c r="A386" t="s">
        <v>252</v>
      </c>
      <c r="B386" t="s">
        <v>5</v>
      </c>
      <c r="C386" s="82">
        <v>4513563215</v>
      </c>
      <c r="D386">
        <v>201507</v>
      </c>
      <c r="E386" s="1">
        <v>42185</v>
      </c>
      <c r="F386" s="1">
        <v>42216</v>
      </c>
      <c r="G386" t="s">
        <v>253</v>
      </c>
      <c r="H386" s="81">
        <v>718</v>
      </c>
      <c r="I386" t="s">
        <v>6</v>
      </c>
      <c r="J386" s="3">
        <v>74.459999999999994</v>
      </c>
    </row>
    <row r="387" spans="1:10" x14ac:dyDescent="0.25">
      <c r="A387" t="s">
        <v>252</v>
      </c>
      <c r="B387" t="s">
        <v>5</v>
      </c>
      <c r="C387" s="82">
        <v>4513563215</v>
      </c>
      <c r="D387">
        <v>201508</v>
      </c>
      <c r="E387" s="1">
        <v>42216</v>
      </c>
      <c r="F387" s="1">
        <v>42243</v>
      </c>
      <c r="G387" t="s">
        <v>253</v>
      </c>
      <c r="H387" s="81">
        <v>468</v>
      </c>
      <c r="I387" t="s">
        <v>6</v>
      </c>
      <c r="J387" s="3">
        <v>52.06</v>
      </c>
    </row>
    <row r="388" spans="1:10" x14ac:dyDescent="0.25">
      <c r="A388" t="s">
        <v>252</v>
      </c>
      <c r="B388" t="s">
        <v>5</v>
      </c>
      <c r="C388" s="82">
        <v>4513563215</v>
      </c>
      <c r="D388">
        <v>201509</v>
      </c>
      <c r="E388" s="1">
        <v>42243</v>
      </c>
      <c r="F388" s="1">
        <v>42275</v>
      </c>
      <c r="G388" t="s">
        <v>253</v>
      </c>
      <c r="H388" s="81">
        <v>1086</v>
      </c>
      <c r="I388" t="s">
        <v>6</v>
      </c>
      <c r="J388" s="3">
        <v>106.63</v>
      </c>
    </row>
    <row r="389" spans="1:10" x14ac:dyDescent="0.25">
      <c r="A389" t="s">
        <v>252</v>
      </c>
      <c r="B389" t="s">
        <v>5</v>
      </c>
      <c r="C389" s="82">
        <v>4513563215</v>
      </c>
      <c r="D389">
        <v>201510</v>
      </c>
      <c r="E389" s="1">
        <v>42275</v>
      </c>
      <c r="F389" s="1">
        <v>42305</v>
      </c>
      <c r="G389" t="s">
        <v>253</v>
      </c>
      <c r="H389" s="81">
        <v>1023</v>
      </c>
      <c r="I389" t="s">
        <v>6</v>
      </c>
      <c r="J389" s="3">
        <v>100.93</v>
      </c>
    </row>
    <row r="390" spans="1:10" x14ac:dyDescent="0.25">
      <c r="A390" t="s">
        <v>252</v>
      </c>
      <c r="B390" t="s">
        <v>5</v>
      </c>
      <c r="C390" s="82">
        <v>4513563215</v>
      </c>
      <c r="D390">
        <v>201511</v>
      </c>
      <c r="E390" s="1">
        <v>42305</v>
      </c>
      <c r="F390" s="1">
        <v>42339</v>
      </c>
      <c r="G390" t="s">
        <v>253</v>
      </c>
      <c r="H390" s="81">
        <v>1479</v>
      </c>
      <c r="I390" t="s">
        <v>6</v>
      </c>
      <c r="J390" s="3">
        <v>141.41</v>
      </c>
    </row>
    <row r="391" spans="1:10" x14ac:dyDescent="0.25">
      <c r="A391" t="s">
        <v>252</v>
      </c>
      <c r="B391" t="s">
        <v>5</v>
      </c>
      <c r="C391" s="82">
        <v>4513563215</v>
      </c>
      <c r="D391">
        <v>201512</v>
      </c>
      <c r="E391" s="1">
        <v>42339</v>
      </c>
      <c r="F391" s="1">
        <v>42369</v>
      </c>
      <c r="G391" t="s">
        <v>253</v>
      </c>
      <c r="H391" s="81">
        <v>1018</v>
      </c>
      <c r="I391" t="s">
        <v>6</v>
      </c>
      <c r="J391" s="3">
        <v>100.49</v>
      </c>
    </row>
    <row r="392" spans="1:10" x14ac:dyDescent="0.25">
      <c r="A392" t="s">
        <v>252</v>
      </c>
      <c r="B392" t="s">
        <v>5</v>
      </c>
      <c r="C392" s="82">
        <v>4513563215</v>
      </c>
      <c r="D392">
        <v>201601</v>
      </c>
      <c r="E392" s="1">
        <v>42369</v>
      </c>
      <c r="F392" s="1">
        <v>42402</v>
      </c>
      <c r="G392" t="s">
        <v>253</v>
      </c>
      <c r="H392" s="81">
        <v>1863</v>
      </c>
      <c r="I392" t="s">
        <v>6</v>
      </c>
      <c r="J392" s="3">
        <v>175.25</v>
      </c>
    </row>
    <row r="393" spans="1:10" x14ac:dyDescent="0.25">
      <c r="A393" t="s">
        <v>252</v>
      </c>
      <c r="B393" t="s">
        <v>5</v>
      </c>
      <c r="C393" s="82">
        <v>4513563215</v>
      </c>
      <c r="D393">
        <v>201602</v>
      </c>
      <c r="E393" s="1">
        <v>42402</v>
      </c>
      <c r="F393" s="1">
        <v>42429</v>
      </c>
      <c r="G393" t="s">
        <v>253</v>
      </c>
      <c r="H393" s="81">
        <v>1462</v>
      </c>
      <c r="I393" t="s">
        <v>6</v>
      </c>
      <c r="J393" s="3">
        <v>139.69999999999999</v>
      </c>
    </row>
    <row r="394" spans="1:10" x14ac:dyDescent="0.25">
      <c r="A394" t="s">
        <v>252</v>
      </c>
      <c r="B394" t="s">
        <v>5</v>
      </c>
      <c r="C394" s="82">
        <v>4513563215</v>
      </c>
      <c r="D394">
        <v>201603</v>
      </c>
      <c r="E394" s="1">
        <v>42429</v>
      </c>
      <c r="F394" s="1">
        <v>42460</v>
      </c>
      <c r="G394" t="s">
        <v>253</v>
      </c>
      <c r="H394" s="81">
        <v>1060</v>
      </c>
      <c r="I394" t="s">
        <v>6</v>
      </c>
      <c r="J394" s="3">
        <v>104.07</v>
      </c>
    </row>
    <row r="395" spans="1:10" x14ac:dyDescent="0.25">
      <c r="A395" t="s">
        <v>252</v>
      </c>
      <c r="B395" t="s">
        <v>5</v>
      </c>
      <c r="C395" s="82">
        <v>4513563215</v>
      </c>
      <c r="D395">
        <v>201604</v>
      </c>
      <c r="E395" s="1">
        <v>42460</v>
      </c>
      <c r="F395" s="1">
        <v>42489</v>
      </c>
      <c r="G395" t="s">
        <v>253</v>
      </c>
      <c r="H395" s="81">
        <v>867</v>
      </c>
      <c r="I395" t="s">
        <v>6</v>
      </c>
      <c r="J395" s="3">
        <v>87.25</v>
      </c>
    </row>
    <row r="396" spans="1:10" x14ac:dyDescent="0.25">
      <c r="A396" t="s">
        <v>252</v>
      </c>
      <c r="B396" t="s">
        <v>5</v>
      </c>
      <c r="C396" s="82">
        <v>4513563215</v>
      </c>
      <c r="D396">
        <v>201605</v>
      </c>
      <c r="E396" s="1">
        <v>42489</v>
      </c>
      <c r="F396" s="1">
        <v>42521</v>
      </c>
      <c r="G396" t="s">
        <v>253</v>
      </c>
      <c r="H396" s="81">
        <v>590</v>
      </c>
      <c r="I396" t="s">
        <v>6</v>
      </c>
      <c r="J396" s="3">
        <v>63</v>
      </c>
    </row>
    <row r="397" spans="1:10" x14ac:dyDescent="0.25">
      <c r="A397" t="s">
        <v>252</v>
      </c>
      <c r="B397" t="s">
        <v>5</v>
      </c>
      <c r="C397" s="82">
        <v>4513563215</v>
      </c>
      <c r="D397">
        <v>201606</v>
      </c>
      <c r="E397" s="1">
        <v>42521</v>
      </c>
      <c r="F397" s="1">
        <v>42549</v>
      </c>
      <c r="G397" t="s">
        <v>253</v>
      </c>
      <c r="H397" s="81">
        <v>449</v>
      </c>
      <c r="I397" t="s">
        <v>6</v>
      </c>
      <c r="J397" s="3">
        <v>50.38</v>
      </c>
    </row>
    <row r="398" spans="1:10" x14ac:dyDescent="0.25">
      <c r="A398" t="s">
        <v>252</v>
      </c>
      <c r="B398" t="s">
        <v>5</v>
      </c>
      <c r="C398" s="82">
        <v>4522652504</v>
      </c>
      <c r="D398">
        <v>201507</v>
      </c>
      <c r="E398" s="1">
        <v>42185</v>
      </c>
      <c r="F398" s="1">
        <v>42216</v>
      </c>
      <c r="G398" t="s">
        <v>258</v>
      </c>
      <c r="H398" s="81">
        <v>358</v>
      </c>
      <c r="I398" t="s">
        <v>6</v>
      </c>
      <c r="J398" s="3">
        <v>42.2</v>
      </c>
    </row>
    <row r="399" spans="1:10" x14ac:dyDescent="0.25">
      <c r="A399" t="s">
        <v>252</v>
      </c>
      <c r="B399" t="s">
        <v>5</v>
      </c>
      <c r="C399" s="82">
        <v>4522652504</v>
      </c>
      <c r="D399">
        <v>201508</v>
      </c>
      <c r="E399" s="1">
        <v>42216</v>
      </c>
      <c r="F399" s="1">
        <v>42243</v>
      </c>
      <c r="G399" t="s">
        <v>258</v>
      </c>
      <c r="H399" s="81">
        <v>324</v>
      </c>
      <c r="I399" t="s">
        <v>6</v>
      </c>
      <c r="J399" s="3">
        <v>39.159999999999997</v>
      </c>
    </row>
    <row r="400" spans="1:10" x14ac:dyDescent="0.25">
      <c r="A400" t="s">
        <v>252</v>
      </c>
      <c r="B400" t="s">
        <v>5</v>
      </c>
      <c r="C400" s="82">
        <v>4522652504</v>
      </c>
      <c r="D400">
        <v>201509</v>
      </c>
      <c r="E400" s="1">
        <v>42243</v>
      </c>
      <c r="F400" s="1">
        <v>42275</v>
      </c>
      <c r="G400" t="s">
        <v>258</v>
      </c>
      <c r="H400" s="81">
        <v>921</v>
      </c>
      <c r="I400" t="s">
        <v>6</v>
      </c>
      <c r="J400" s="3">
        <v>92</v>
      </c>
    </row>
    <row r="401" spans="1:10" x14ac:dyDescent="0.25">
      <c r="A401" t="s">
        <v>252</v>
      </c>
      <c r="B401" t="s">
        <v>5</v>
      </c>
      <c r="C401" s="82">
        <v>4522652504</v>
      </c>
      <c r="D401">
        <v>201510</v>
      </c>
      <c r="E401" s="1">
        <v>42275</v>
      </c>
      <c r="F401" s="1">
        <v>42305</v>
      </c>
      <c r="G401" t="s">
        <v>258</v>
      </c>
      <c r="H401" s="81">
        <v>827</v>
      </c>
      <c r="I401" t="s">
        <v>6</v>
      </c>
      <c r="J401" s="3">
        <v>83.52</v>
      </c>
    </row>
    <row r="402" spans="1:10" x14ac:dyDescent="0.25">
      <c r="A402" t="s">
        <v>252</v>
      </c>
      <c r="B402" t="s">
        <v>5</v>
      </c>
      <c r="C402" s="82">
        <v>4522652504</v>
      </c>
      <c r="D402">
        <v>201511</v>
      </c>
      <c r="E402" s="1">
        <v>42305</v>
      </c>
      <c r="F402" s="1">
        <v>42339</v>
      </c>
      <c r="G402" t="s">
        <v>258</v>
      </c>
      <c r="H402" s="81">
        <v>1279</v>
      </c>
      <c r="I402" t="s">
        <v>6</v>
      </c>
      <c r="J402" s="3">
        <v>123.67</v>
      </c>
    </row>
    <row r="403" spans="1:10" x14ac:dyDescent="0.25">
      <c r="A403" t="s">
        <v>252</v>
      </c>
      <c r="B403" t="s">
        <v>5</v>
      </c>
      <c r="C403" s="82">
        <v>4522652504</v>
      </c>
      <c r="D403">
        <v>201512</v>
      </c>
      <c r="E403" s="1">
        <v>42339</v>
      </c>
      <c r="F403" s="1">
        <v>42369</v>
      </c>
      <c r="G403" t="s">
        <v>258</v>
      </c>
      <c r="H403" s="81">
        <v>1013</v>
      </c>
      <c r="I403" t="s">
        <v>6</v>
      </c>
      <c r="J403" s="3">
        <v>100.05</v>
      </c>
    </row>
    <row r="404" spans="1:10" x14ac:dyDescent="0.25">
      <c r="A404" t="s">
        <v>252</v>
      </c>
      <c r="B404" t="s">
        <v>5</v>
      </c>
      <c r="C404" s="82">
        <v>4522652504</v>
      </c>
      <c r="D404">
        <v>201601</v>
      </c>
      <c r="E404" s="1">
        <v>42369</v>
      </c>
      <c r="F404" s="1">
        <v>42402</v>
      </c>
      <c r="G404" t="s">
        <v>258</v>
      </c>
      <c r="H404" s="81">
        <v>1661</v>
      </c>
      <c r="I404" t="s">
        <v>6</v>
      </c>
      <c r="J404" s="3">
        <v>157.34</v>
      </c>
    </row>
    <row r="405" spans="1:10" x14ac:dyDescent="0.25">
      <c r="A405" t="s">
        <v>252</v>
      </c>
      <c r="B405" t="s">
        <v>5</v>
      </c>
      <c r="C405" s="82">
        <v>4522652504</v>
      </c>
      <c r="D405">
        <v>201602</v>
      </c>
      <c r="E405" s="1">
        <v>42402</v>
      </c>
      <c r="F405" s="1">
        <v>42429</v>
      </c>
      <c r="G405" t="s">
        <v>258</v>
      </c>
      <c r="H405" s="81">
        <v>1438</v>
      </c>
      <c r="I405" t="s">
        <v>6</v>
      </c>
      <c r="J405" s="3">
        <v>137.58000000000001</v>
      </c>
    </row>
    <row r="406" spans="1:10" x14ac:dyDescent="0.25">
      <c r="A406" t="s">
        <v>252</v>
      </c>
      <c r="B406" t="s">
        <v>5</v>
      </c>
      <c r="C406" s="82">
        <v>4522652504</v>
      </c>
      <c r="D406">
        <v>201603</v>
      </c>
      <c r="E406" s="1">
        <v>42429</v>
      </c>
      <c r="F406" s="1">
        <v>42460</v>
      </c>
      <c r="G406" t="s">
        <v>258</v>
      </c>
      <c r="H406" s="81">
        <v>1032</v>
      </c>
      <c r="I406" t="s">
        <v>6</v>
      </c>
      <c r="J406" s="3">
        <v>101.59</v>
      </c>
    </row>
    <row r="407" spans="1:10" x14ac:dyDescent="0.25">
      <c r="A407" t="s">
        <v>252</v>
      </c>
      <c r="B407" t="s">
        <v>5</v>
      </c>
      <c r="C407" s="82">
        <v>4522652504</v>
      </c>
      <c r="D407">
        <v>201604</v>
      </c>
      <c r="E407" s="1">
        <v>42460</v>
      </c>
      <c r="F407" s="1">
        <v>42489</v>
      </c>
      <c r="G407" t="s">
        <v>258</v>
      </c>
      <c r="H407" s="81">
        <v>840</v>
      </c>
      <c r="I407" t="s">
        <v>6</v>
      </c>
      <c r="J407" s="3">
        <v>84.85</v>
      </c>
    </row>
    <row r="408" spans="1:10" x14ac:dyDescent="0.25">
      <c r="A408" t="s">
        <v>252</v>
      </c>
      <c r="B408" t="s">
        <v>5</v>
      </c>
      <c r="C408" s="82">
        <v>4522652504</v>
      </c>
      <c r="D408">
        <v>201605</v>
      </c>
      <c r="E408" s="1">
        <v>42489</v>
      </c>
      <c r="F408" s="1">
        <v>42521</v>
      </c>
      <c r="G408" t="s">
        <v>258</v>
      </c>
      <c r="H408" s="81">
        <v>700</v>
      </c>
      <c r="I408" t="s">
        <v>6</v>
      </c>
      <c r="J408" s="3">
        <v>72.87</v>
      </c>
    </row>
    <row r="409" spans="1:10" x14ac:dyDescent="0.25">
      <c r="A409" t="s">
        <v>252</v>
      </c>
      <c r="B409" t="s">
        <v>5</v>
      </c>
      <c r="C409" s="82">
        <v>4522652504</v>
      </c>
      <c r="D409">
        <v>201606</v>
      </c>
      <c r="E409" s="1">
        <v>42521</v>
      </c>
      <c r="F409" s="1">
        <v>42549</v>
      </c>
      <c r="G409" t="s">
        <v>258</v>
      </c>
      <c r="H409" s="81">
        <v>158</v>
      </c>
      <c r="I409" t="s">
        <v>6</v>
      </c>
      <c r="J409" s="3">
        <v>24.3</v>
      </c>
    </row>
    <row r="410" spans="1:10" x14ac:dyDescent="0.25">
      <c r="A410" t="s">
        <v>252</v>
      </c>
      <c r="B410" t="s">
        <v>5</v>
      </c>
      <c r="C410" s="82">
        <v>4537784094</v>
      </c>
      <c r="D410">
        <v>201507</v>
      </c>
      <c r="E410" s="1">
        <v>42179</v>
      </c>
      <c r="F410" s="1">
        <v>42212</v>
      </c>
      <c r="G410" t="s">
        <v>261</v>
      </c>
      <c r="H410" s="81">
        <v>804</v>
      </c>
      <c r="I410" t="s">
        <v>6</v>
      </c>
      <c r="J410" s="3">
        <v>82.19</v>
      </c>
    </row>
    <row r="411" spans="1:10" x14ac:dyDescent="0.25">
      <c r="A411" t="s">
        <v>252</v>
      </c>
      <c r="B411" t="s">
        <v>5</v>
      </c>
      <c r="C411" s="82">
        <v>4537784094</v>
      </c>
      <c r="D411">
        <v>201508</v>
      </c>
      <c r="E411" s="1">
        <v>42212</v>
      </c>
      <c r="F411" s="1">
        <v>42240</v>
      </c>
      <c r="G411" t="s">
        <v>261</v>
      </c>
      <c r="H411" s="81">
        <v>538</v>
      </c>
      <c r="I411" t="s">
        <v>6</v>
      </c>
      <c r="J411" s="3">
        <v>58.35</v>
      </c>
    </row>
    <row r="412" spans="1:10" x14ac:dyDescent="0.25">
      <c r="A412" t="s">
        <v>252</v>
      </c>
      <c r="B412" t="s">
        <v>5</v>
      </c>
      <c r="C412" s="82">
        <v>4537784094</v>
      </c>
      <c r="D412">
        <v>201509</v>
      </c>
      <c r="E412" s="1">
        <v>42240</v>
      </c>
      <c r="F412" s="1">
        <v>42271</v>
      </c>
      <c r="G412" t="s">
        <v>261</v>
      </c>
      <c r="H412" s="81">
        <v>1158</v>
      </c>
      <c r="I412" t="s">
        <v>6</v>
      </c>
      <c r="J412" s="3">
        <v>113.13</v>
      </c>
    </row>
    <row r="413" spans="1:10" x14ac:dyDescent="0.25">
      <c r="A413" t="s">
        <v>252</v>
      </c>
      <c r="B413" t="s">
        <v>5</v>
      </c>
      <c r="C413" s="82">
        <v>4537784094</v>
      </c>
      <c r="D413">
        <v>201510</v>
      </c>
      <c r="E413" s="1">
        <v>42271</v>
      </c>
      <c r="F413" s="1">
        <v>42299</v>
      </c>
      <c r="G413" t="s">
        <v>261</v>
      </c>
      <c r="H413" s="81">
        <v>799</v>
      </c>
      <c r="I413" t="s">
        <v>6</v>
      </c>
      <c r="J413" s="3">
        <v>81.05</v>
      </c>
    </row>
    <row r="414" spans="1:10" x14ac:dyDescent="0.25">
      <c r="A414" t="s">
        <v>252</v>
      </c>
      <c r="B414" t="s">
        <v>5</v>
      </c>
      <c r="C414" s="82">
        <v>4537784094</v>
      </c>
      <c r="D414">
        <v>201511</v>
      </c>
      <c r="E414" s="1">
        <v>42299</v>
      </c>
      <c r="F414" s="1">
        <v>42332</v>
      </c>
      <c r="G414" t="s">
        <v>261</v>
      </c>
      <c r="H414" s="81">
        <v>914</v>
      </c>
      <c r="I414" t="s">
        <v>6</v>
      </c>
      <c r="J414" s="3">
        <v>91.25</v>
      </c>
    </row>
    <row r="415" spans="1:10" x14ac:dyDescent="0.25">
      <c r="A415" t="s">
        <v>252</v>
      </c>
      <c r="B415" t="s">
        <v>5</v>
      </c>
      <c r="C415" s="82">
        <v>4537784094</v>
      </c>
      <c r="D415">
        <v>201512</v>
      </c>
      <c r="E415" s="1">
        <v>42332</v>
      </c>
      <c r="F415" s="1">
        <v>42361</v>
      </c>
      <c r="G415" t="s">
        <v>261</v>
      </c>
      <c r="H415" s="81">
        <v>724</v>
      </c>
      <c r="I415" t="s">
        <v>6</v>
      </c>
      <c r="J415" s="3">
        <v>74.39</v>
      </c>
    </row>
    <row r="416" spans="1:10" x14ac:dyDescent="0.25">
      <c r="A416" t="s">
        <v>252</v>
      </c>
      <c r="B416" t="s">
        <v>5</v>
      </c>
      <c r="C416" s="82">
        <v>4537784094</v>
      </c>
      <c r="D416">
        <v>201601</v>
      </c>
      <c r="E416" s="1">
        <v>42361</v>
      </c>
      <c r="F416" s="1">
        <v>42395</v>
      </c>
      <c r="G416" t="s">
        <v>261</v>
      </c>
      <c r="H416" s="81">
        <v>928</v>
      </c>
      <c r="I416" t="s">
        <v>6</v>
      </c>
      <c r="J416" s="3">
        <v>92.4</v>
      </c>
    </row>
    <row r="417" spans="1:10" x14ac:dyDescent="0.25">
      <c r="A417" t="s">
        <v>252</v>
      </c>
      <c r="B417" t="s">
        <v>5</v>
      </c>
      <c r="C417" s="82">
        <v>4537784094</v>
      </c>
      <c r="D417">
        <v>201602</v>
      </c>
      <c r="E417" s="1">
        <v>42395</v>
      </c>
      <c r="F417" s="1">
        <v>42424</v>
      </c>
      <c r="G417" t="s">
        <v>261</v>
      </c>
      <c r="H417" s="81">
        <v>927</v>
      </c>
      <c r="I417" t="s">
        <v>6</v>
      </c>
      <c r="J417" s="3">
        <v>92.29</v>
      </c>
    </row>
    <row r="418" spans="1:10" x14ac:dyDescent="0.25">
      <c r="A418" t="s">
        <v>252</v>
      </c>
      <c r="B418" t="s">
        <v>5</v>
      </c>
      <c r="C418" s="82">
        <v>4537784094</v>
      </c>
      <c r="D418">
        <v>201603</v>
      </c>
      <c r="E418" s="1">
        <v>42424</v>
      </c>
      <c r="F418" s="1">
        <v>42453</v>
      </c>
      <c r="G418" t="s">
        <v>261</v>
      </c>
      <c r="H418" s="81">
        <v>722</v>
      </c>
      <c r="I418" t="s">
        <v>6</v>
      </c>
      <c r="J418" s="3">
        <v>74.13</v>
      </c>
    </row>
    <row r="419" spans="1:10" x14ac:dyDescent="0.25">
      <c r="A419" t="s">
        <v>252</v>
      </c>
      <c r="B419" t="s">
        <v>5</v>
      </c>
      <c r="C419" s="82">
        <v>4537784094</v>
      </c>
      <c r="D419">
        <v>201604</v>
      </c>
      <c r="E419" s="1">
        <v>42453</v>
      </c>
      <c r="F419" s="1">
        <v>42487</v>
      </c>
      <c r="G419" t="s">
        <v>261</v>
      </c>
      <c r="H419" s="81">
        <v>907</v>
      </c>
      <c r="I419" t="s">
        <v>6</v>
      </c>
      <c r="J419" s="3">
        <v>90.75</v>
      </c>
    </row>
    <row r="420" spans="1:10" x14ac:dyDescent="0.25">
      <c r="A420" t="s">
        <v>252</v>
      </c>
      <c r="B420" t="s">
        <v>5</v>
      </c>
      <c r="C420" s="82">
        <v>4537784094</v>
      </c>
      <c r="D420">
        <v>201605</v>
      </c>
      <c r="E420" s="1">
        <v>42487</v>
      </c>
      <c r="F420" s="1">
        <v>42514</v>
      </c>
      <c r="G420" t="s">
        <v>261</v>
      </c>
      <c r="H420" s="81">
        <v>433</v>
      </c>
      <c r="I420" t="s">
        <v>6</v>
      </c>
      <c r="J420" s="3">
        <v>48.93</v>
      </c>
    </row>
    <row r="421" spans="1:10" x14ac:dyDescent="0.25">
      <c r="A421" t="s">
        <v>252</v>
      </c>
      <c r="B421" t="s">
        <v>5</v>
      </c>
      <c r="C421" s="82">
        <v>4537784094</v>
      </c>
      <c r="D421">
        <v>201606</v>
      </c>
      <c r="E421" s="1">
        <v>42514</v>
      </c>
      <c r="F421" s="1">
        <v>42544</v>
      </c>
      <c r="G421" t="s">
        <v>261</v>
      </c>
      <c r="H421" s="81">
        <v>232</v>
      </c>
      <c r="I421" t="s">
        <v>6</v>
      </c>
      <c r="J421" s="3">
        <v>30.92</v>
      </c>
    </row>
    <row r="422" spans="1:10" x14ac:dyDescent="0.25">
      <c r="A422" t="s">
        <v>252</v>
      </c>
      <c r="B422" t="s">
        <v>5</v>
      </c>
      <c r="C422" s="82">
        <v>4545307227</v>
      </c>
      <c r="D422">
        <v>201507</v>
      </c>
      <c r="E422" s="1">
        <v>42179</v>
      </c>
      <c r="F422" s="1">
        <v>42212</v>
      </c>
      <c r="G422" t="s">
        <v>264</v>
      </c>
      <c r="H422" s="81">
        <v>412</v>
      </c>
      <c r="I422" t="s">
        <v>6</v>
      </c>
      <c r="J422" s="3">
        <v>47.06</v>
      </c>
    </row>
    <row r="423" spans="1:10" x14ac:dyDescent="0.25">
      <c r="A423" t="s">
        <v>252</v>
      </c>
      <c r="B423" t="s">
        <v>5</v>
      </c>
      <c r="C423" s="82">
        <v>4545307227</v>
      </c>
      <c r="D423">
        <v>201508</v>
      </c>
      <c r="E423" s="1">
        <v>42212</v>
      </c>
      <c r="F423" s="1">
        <v>42240</v>
      </c>
      <c r="G423" t="s">
        <v>264</v>
      </c>
      <c r="H423" s="81">
        <v>318</v>
      </c>
      <c r="I423" t="s">
        <v>6</v>
      </c>
      <c r="J423" s="3">
        <v>38.61</v>
      </c>
    </row>
    <row r="424" spans="1:10" x14ac:dyDescent="0.25">
      <c r="A424" t="s">
        <v>252</v>
      </c>
      <c r="B424" t="s">
        <v>5</v>
      </c>
      <c r="C424" s="82">
        <v>4545307227</v>
      </c>
      <c r="D424">
        <v>201509</v>
      </c>
      <c r="E424" s="1">
        <v>42240</v>
      </c>
      <c r="F424" s="1">
        <v>42271</v>
      </c>
      <c r="G424" t="s">
        <v>264</v>
      </c>
      <c r="H424" s="81">
        <v>1024</v>
      </c>
      <c r="I424" t="s">
        <v>6</v>
      </c>
      <c r="J424" s="3">
        <v>101.24</v>
      </c>
    </row>
    <row r="425" spans="1:10" x14ac:dyDescent="0.25">
      <c r="A425" t="s">
        <v>252</v>
      </c>
      <c r="B425" t="s">
        <v>5</v>
      </c>
      <c r="C425" s="82">
        <v>4545307227</v>
      </c>
      <c r="D425">
        <v>201510</v>
      </c>
      <c r="E425" s="1">
        <v>42271</v>
      </c>
      <c r="F425" s="1">
        <v>42299</v>
      </c>
      <c r="G425" t="s">
        <v>264</v>
      </c>
      <c r="H425" s="81">
        <v>889</v>
      </c>
      <c r="I425" t="s">
        <v>6</v>
      </c>
      <c r="J425" s="3">
        <v>89.03</v>
      </c>
    </row>
    <row r="426" spans="1:10" x14ac:dyDescent="0.25">
      <c r="A426" t="s">
        <v>252</v>
      </c>
      <c r="B426" t="s">
        <v>5</v>
      </c>
      <c r="C426" s="82">
        <v>4545307227</v>
      </c>
      <c r="D426">
        <v>201511</v>
      </c>
      <c r="E426" s="1">
        <v>42299</v>
      </c>
      <c r="F426" s="1">
        <v>42332</v>
      </c>
      <c r="G426" t="s">
        <v>264</v>
      </c>
      <c r="H426" s="81">
        <v>1234</v>
      </c>
      <c r="I426" t="s">
        <v>6</v>
      </c>
      <c r="J426" s="3">
        <v>119.68</v>
      </c>
    </row>
    <row r="427" spans="1:10" x14ac:dyDescent="0.25">
      <c r="A427" t="s">
        <v>252</v>
      </c>
      <c r="B427" t="s">
        <v>5</v>
      </c>
      <c r="C427" s="82">
        <v>4545307227</v>
      </c>
      <c r="D427">
        <v>201512</v>
      </c>
      <c r="E427" s="1">
        <v>42332</v>
      </c>
      <c r="F427" s="1">
        <v>42361</v>
      </c>
      <c r="G427" t="s">
        <v>264</v>
      </c>
      <c r="H427" s="81">
        <v>1025</v>
      </c>
      <c r="I427" t="s">
        <v>6</v>
      </c>
      <c r="J427" s="3">
        <v>101.1</v>
      </c>
    </row>
    <row r="428" spans="1:10" x14ac:dyDescent="0.25">
      <c r="A428" t="s">
        <v>252</v>
      </c>
      <c r="B428" t="s">
        <v>5</v>
      </c>
      <c r="C428" s="82">
        <v>4545307227</v>
      </c>
      <c r="D428">
        <v>201601</v>
      </c>
      <c r="E428" s="1">
        <v>42361</v>
      </c>
      <c r="F428" s="1">
        <v>42395</v>
      </c>
      <c r="G428" t="s">
        <v>264</v>
      </c>
      <c r="H428" s="81">
        <v>1113</v>
      </c>
      <c r="I428" t="s">
        <v>6</v>
      </c>
      <c r="J428" s="3">
        <v>108.81</v>
      </c>
    </row>
    <row r="429" spans="1:10" x14ac:dyDescent="0.25">
      <c r="A429" t="s">
        <v>252</v>
      </c>
      <c r="B429" t="s">
        <v>5</v>
      </c>
      <c r="C429" s="82">
        <v>4545307227</v>
      </c>
      <c r="D429">
        <v>201602</v>
      </c>
      <c r="E429" s="1">
        <v>42395</v>
      </c>
      <c r="F429" s="1">
        <v>42424</v>
      </c>
      <c r="G429" t="s">
        <v>264</v>
      </c>
      <c r="H429" s="81">
        <v>1364</v>
      </c>
      <c r="I429" t="s">
        <v>6</v>
      </c>
      <c r="J429" s="3">
        <v>131.04</v>
      </c>
    </row>
    <row r="430" spans="1:10" x14ac:dyDescent="0.25">
      <c r="A430" t="s">
        <v>252</v>
      </c>
      <c r="B430" t="s">
        <v>5</v>
      </c>
      <c r="C430" s="82">
        <v>4545307227</v>
      </c>
      <c r="D430">
        <v>201603</v>
      </c>
      <c r="E430" s="1">
        <v>42424</v>
      </c>
      <c r="F430" s="1">
        <v>42453</v>
      </c>
      <c r="G430" t="s">
        <v>264</v>
      </c>
      <c r="H430" s="81">
        <v>1100</v>
      </c>
      <c r="I430" t="s">
        <v>6</v>
      </c>
      <c r="J430" s="3">
        <v>107.62</v>
      </c>
    </row>
    <row r="431" spans="1:10" x14ac:dyDescent="0.25">
      <c r="A431" t="s">
        <v>252</v>
      </c>
      <c r="B431" t="s">
        <v>5</v>
      </c>
      <c r="C431" s="82">
        <v>4545307227</v>
      </c>
      <c r="D431">
        <v>201604</v>
      </c>
      <c r="E431" s="1">
        <v>42453</v>
      </c>
      <c r="F431" s="1">
        <v>42487</v>
      </c>
      <c r="G431" t="s">
        <v>264</v>
      </c>
      <c r="H431" s="81">
        <v>1095</v>
      </c>
      <c r="I431" t="s">
        <v>6</v>
      </c>
      <c r="J431" s="3">
        <v>107.44</v>
      </c>
    </row>
    <row r="432" spans="1:10" x14ac:dyDescent="0.25">
      <c r="A432" t="s">
        <v>252</v>
      </c>
      <c r="B432" t="s">
        <v>5</v>
      </c>
      <c r="C432" s="82">
        <v>4545307227</v>
      </c>
      <c r="D432">
        <v>201605</v>
      </c>
      <c r="E432" s="1">
        <v>42487</v>
      </c>
      <c r="F432" s="1">
        <v>42514</v>
      </c>
      <c r="G432" t="s">
        <v>264</v>
      </c>
      <c r="H432" s="81">
        <v>558</v>
      </c>
      <c r="I432" t="s">
        <v>6</v>
      </c>
      <c r="J432" s="3">
        <v>60.09</v>
      </c>
    </row>
    <row r="433" spans="1:10" x14ac:dyDescent="0.25">
      <c r="A433" t="s">
        <v>252</v>
      </c>
      <c r="B433" t="s">
        <v>5</v>
      </c>
      <c r="C433" s="82">
        <v>4545307227</v>
      </c>
      <c r="D433">
        <v>201606</v>
      </c>
      <c r="E433" s="1">
        <v>42514</v>
      </c>
      <c r="F433" s="1">
        <v>42544</v>
      </c>
      <c r="G433" t="s">
        <v>264</v>
      </c>
      <c r="H433" s="81">
        <v>162</v>
      </c>
      <c r="I433" t="s">
        <v>6</v>
      </c>
      <c r="J433" s="3">
        <v>24.65</v>
      </c>
    </row>
    <row r="434" spans="1:10" x14ac:dyDescent="0.25">
      <c r="A434" t="s">
        <v>252</v>
      </c>
      <c r="B434" t="s">
        <v>5</v>
      </c>
      <c r="C434" s="82">
        <v>4552705008</v>
      </c>
      <c r="D434">
        <v>201507</v>
      </c>
      <c r="E434" s="1">
        <v>42185</v>
      </c>
      <c r="F434" s="1">
        <v>42216</v>
      </c>
      <c r="G434" t="s">
        <v>267</v>
      </c>
      <c r="H434" s="81">
        <v>385</v>
      </c>
      <c r="I434" t="s">
        <v>6</v>
      </c>
      <c r="J434" s="3">
        <v>44.65</v>
      </c>
    </row>
    <row r="435" spans="1:10" x14ac:dyDescent="0.25">
      <c r="A435" t="s">
        <v>252</v>
      </c>
      <c r="B435" t="s">
        <v>5</v>
      </c>
      <c r="C435" s="82">
        <v>4552705008</v>
      </c>
      <c r="D435">
        <v>201508</v>
      </c>
      <c r="E435" s="1">
        <v>42216</v>
      </c>
      <c r="F435" s="1">
        <v>42243</v>
      </c>
      <c r="G435" t="s">
        <v>267</v>
      </c>
      <c r="H435" s="81">
        <v>430</v>
      </c>
      <c r="I435" t="s">
        <v>6</v>
      </c>
      <c r="J435" s="3">
        <v>48.67</v>
      </c>
    </row>
    <row r="436" spans="1:10" x14ac:dyDescent="0.25">
      <c r="A436" t="s">
        <v>252</v>
      </c>
      <c r="B436" t="s">
        <v>5</v>
      </c>
      <c r="C436" s="82">
        <v>4552705008</v>
      </c>
      <c r="D436">
        <v>201509</v>
      </c>
      <c r="E436" s="1">
        <v>42243</v>
      </c>
      <c r="F436" s="1">
        <v>42275</v>
      </c>
      <c r="G436" t="s">
        <v>267</v>
      </c>
      <c r="H436" s="81">
        <v>1016</v>
      </c>
      <c r="I436" t="s">
        <v>6</v>
      </c>
      <c r="J436" s="3">
        <v>100.4</v>
      </c>
    </row>
    <row r="437" spans="1:10" x14ac:dyDescent="0.25">
      <c r="A437" t="s">
        <v>252</v>
      </c>
      <c r="B437" t="s">
        <v>5</v>
      </c>
      <c r="C437" s="82">
        <v>4552705008</v>
      </c>
      <c r="D437">
        <v>201510</v>
      </c>
      <c r="E437" s="1">
        <v>42275</v>
      </c>
      <c r="F437" s="1">
        <v>42305</v>
      </c>
      <c r="G437" t="s">
        <v>267</v>
      </c>
      <c r="H437" s="81">
        <v>809</v>
      </c>
      <c r="I437" t="s">
        <v>6</v>
      </c>
      <c r="J437" s="3">
        <v>81.94</v>
      </c>
    </row>
    <row r="438" spans="1:10" x14ac:dyDescent="0.25">
      <c r="A438" t="s">
        <v>252</v>
      </c>
      <c r="B438" t="s">
        <v>5</v>
      </c>
      <c r="C438" s="82">
        <v>4552705008</v>
      </c>
      <c r="D438">
        <v>201511</v>
      </c>
      <c r="E438" s="1">
        <v>42305</v>
      </c>
      <c r="F438" s="1">
        <v>42339</v>
      </c>
      <c r="G438" t="s">
        <v>267</v>
      </c>
      <c r="H438" s="81">
        <v>1124</v>
      </c>
      <c r="I438" t="s">
        <v>6</v>
      </c>
      <c r="J438" s="3">
        <v>109.88</v>
      </c>
    </row>
    <row r="439" spans="1:10" x14ac:dyDescent="0.25">
      <c r="A439" t="s">
        <v>252</v>
      </c>
      <c r="B439" t="s">
        <v>5</v>
      </c>
      <c r="C439" s="82">
        <v>4552705008</v>
      </c>
      <c r="D439">
        <v>201512</v>
      </c>
      <c r="E439" s="1">
        <v>42339</v>
      </c>
      <c r="F439" s="1">
        <v>42369</v>
      </c>
      <c r="G439" t="s">
        <v>267</v>
      </c>
      <c r="H439" s="81">
        <v>829</v>
      </c>
      <c r="I439" t="s">
        <v>6</v>
      </c>
      <c r="J439" s="3">
        <v>83.72</v>
      </c>
    </row>
    <row r="440" spans="1:10" x14ac:dyDescent="0.25">
      <c r="A440" t="s">
        <v>252</v>
      </c>
      <c r="B440" t="s">
        <v>5</v>
      </c>
      <c r="C440" s="82">
        <v>4552705008</v>
      </c>
      <c r="D440">
        <v>201601</v>
      </c>
      <c r="E440" s="1">
        <v>42369</v>
      </c>
      <c r="F440" s="1">
        <v>42402</v>
      </c>
      <c r="G440" t="s">
        <v>267</v>
      </c>
      <c r="H440" s="81">
        <v>1554</v>
      </c>
      <c r="I440" t="s">
        <v>6</v>
      </c>
      <c r="J440" s="3">
        <v>147.87</v>
      </c>
    </row>
    <row r="441" spans="1:10" x14ac:dyDescent="0.25">
      <c r="A441" t="s">
        <v>252</v>
      </c>
      <c r="B441" t="s">
        <v>5</v>
      </c>
      <c r="C441" s="82">
        <v>4552705008</v>
      </c>
      <c r="D441">
        <v>201602</v>
      </c>
      <c r="E441" s="1">
        <v>42402</v>
      </c>
      <c r="F441" s="1">
        <v>42429</v>
      </c>
      <c r="G441" t="s">
        <v>267</v>
      </c>
      <c r="H441" s="81">
        <v>15.99</v>
      </c>
      <c r="I441" t="s">
        <v>6</v>
      </c>
      <c r="J441" s="3">
        <v>151.85</v>
      </c>
    </row>
    <row r="442" spans="1:10" x14ac:dyDescent="0.25">
      <c r="A442" t="s">
        <v>252</v>
      </c>
      <c r="B442" t="s">
        <v>5</v>
      </c>
      <c r="C442" s="82">
        <v>4552705008</v>
      </c>
      <c r="D442">
        <v>201603</v>
      </c>
      <c r="E442" s="1">
        <v>42429</v>
      </c>
      <c r="F442" s="1">
        <v>42460</v>
      </c>
      <c r="G442" t="s">
        <v>267</v>
      </c>
      <c r="H442" s="81">
        <v>918</v>
      </c>
      <c r="I442" t="s">
        <v>6</v>
      </c>
      <c r="J442" s="3">
        <v>91.49</v>
      </c>
    </row>
    <row r="443" spans="1:10" x14ac:dyDescent="0.25">
      <c r="A443" t="s">
        <v>252</v>
      </c>
      <c r="B443" t="s">
        <v>5</v>
      </c>
      <c r="C443" s="82">
        <v>4552705008</v>
      </c>
      <c r="D443">
        <v>201604</v>
      </c>
      <c r="E443" s="1">
        <v>42460</v>
      </c>
      <c r="F443" s="1">
        <v>42489</v>
      </c>
      <c r="G443" t="s">
        <v>267</v>
      </c>
      <c r="H443" s="81">
        <v>818</v>
      </c>
      <c r="I443" t="s">
        <v>6</v>
      </c>
      <c r="J443" s="3">
        <v>82.9</v>
      </c>
    </row>
    <row r="444" spans="1:10" x14ac:dyDescent="0.25">
      <c r="A444" t="s">
        <v>252</v>
      </c>
      <c r="B444" t="s">
        <v>5</v>
      </c>
      <c r="C444" s="82">
        <v>4552705008</v>
      </c>
      <c r="D444">
        <v>201605</v>
      </c>
      <c r="E444" s="1">
        <v>42489</v>
      </c>
      <c r="F444" s="1">
        <v>42521</v>
      </c>
      <c r="G444" t="s">
        <v>267</v>
      </c>
      <c r="H444" s="81">
        <v>440</v>
      </c>
      <c r="I444" t="s">
        <v>6</v>
      </c>
      <c r="J444" s="3">
        <v>49.57</v>
      </c>
    </row>
    <row r="445" spans="1:10" x14ac:dyDescent="0.25">
      <c r="A445" t="s">
        <v>252</v>
      </c>
      <c r="B445" t="s">
        <v>5</v>
      </c>
      <c r="C445" s="82">
        <v>4552705008</v>
      </c>
      <c r="D445">
        <v>201606</v>
      </c>
      <c r="E445" s="1">
        <v>42521</v>
      </c>
      <c r="F445" s="1">
        <v>42549</v>
      </c>
      <c r="G445" t="s">
        <v>267</v>
      </c>
      <c r="H445" s="81">
        <v>108</v>
      </c>
      <c r="I445" t="s">
        <v>6</v>
      </c>
      <c r="J445" s="3">
        <v>19.809999999999999</v>
      </c>
    </row>
    <row r="446" spans="1:10" x14ac:dyDescent="0.25">
      <c r="A446" t="s">
        <v>252</v>
      </c>
      <c r="B446" t="s">
        <v>5</v>
      </c>
      <c r="C446" s="82">
        <v>4568693826</v>
      </c>
      <c r="D446">
        <v>201507</v>
      </c>
      <c r="E446" s="1">
        <v>42185</v>
      </c>
      <c r="F446" s="1">
        <v>42216</v>
      </c>
      <c r="G446" t="s">
        <v>270</v>
      </c>
      <c r="H446" s="81">
        <v>530</v>
      </c>
      <c r="I446" t="s">
        <v>6</v>
      </c>
      <c r="J446" s="3">
        <v>57.63</v>
      </c>
    </row>
    <row r="447" spans="1:10" x14ac:dyDescent="0.25">
      <c r="A447" t="s">
        <v>252</v>
      </c>
      <c r="B447" t="s">
        <v>5</v>
      </c>
      <c r="C447" s="82">
        <v>4568693826</v>
      </c>
      <c r="D447">
        <v>201508</v>
      </c>
      <c r="E447" s="1">
        <v>42216</v>
      </c>
      <c r="F447" s="1">
        <v>42243</v>
      </c>
      <c r="G447" t="s">
        <v>270</v>
      </c>
      <c r="H447" s="81">
        <v>381</v>
      </c>
      <c r="I447" t="s">
        <v>6</v>
      </c>
      <c r="J447" s="3">
        <v>44.27</v>
      </c>
    </row>
    <row r="448" spans="1:10" x14ac:dyDescent="0.25">
      <c r="A448" t="s">
        <v>252</v>
      </c>
      <c r="B448" t="s">
        <v>5</v>
      </c>
      <c r="C448" s="82">
        <v>4568693826</v>
      </c>
      <c r="D448">
        <v>201509</v>
      </c>
      <c r="E448" s="1">
        <v>42243</v>
      </c>
      <c r="F448" s="1">
        <v>42276</v>
      </c>
      <c r="G448" t="s">
        <v>270</v>
      </c>
      <c r="H448" s="81">
        <v>1260</v>
      </c>
      <c r="I448" t="s">
        <v>6</v>
      </c>
      <c r="J448" s="3">
        <v>122.09</v>
      </c>
    </row>
    <row r="449" spans="1:10" x14ac:dyDescent="0.25">
      <c r="A449" t="s">
        <v>252</v>
      </c>
      <c r="B449" t="s">
        <v>5</v>
      </c>
      <c r="C449" s="82">
        <v>4568693826</v>
      </c>
      <c r="D449">
        <v>201510</v>
      </c>
      <c r="E449" s="1">
        <v>42276</v>
      </c>
      <c r="F449" s="1">
        <v>42305</v>
      </c>
      <c r="G449" t="s">
        <v>270</v>
      </c>
      <c r="H449" s="81">
        <v>667</v>
      </c>
      <c r="I449" t="s">
        <v>6</v>
      </c>
      <c r="J449" s="3">
        <v>69.34</v>
      </c>
    </row>
    <row r="450" spans="1:10" x14ac:dyDescent="0.25">
      <c r="A450" t="s">
        <v>252</v>
      </c>
      <c r="B450" t="s">
        <v>5</v>
      </c>
      <c r="C450" s="82">
        <v>4568693826</v>
      </c>
      <c r="D450">
        <v>201511</v>
      </c>
      <c r="E450" s="1">
        <v>42305</v>
      </c>
      <c r="F450" s="1">
        <v>42339</v>
      </c>
      <c r="G450" t="s">
        <v>270</v>
      </c>
      <c r="H450" s="81">
        <v>687</v>
      </c>
      <c r="I450" t="s">
        <v>6</v>
      </c>
      <c r="J450" s="3">
        <v>71.11</v>
      </c>
    </row>
    <row r="451" spans="1:10" x14ac:dyDescent="0.25">
      <c r="A451" t="s">
        <v>252</v>
      </c>
      <c r="B451" t="s">
        <v>5</v>
      </c>
      <c r="C451" s="82">
        <v>4568693826</v>
      </c>
      <c r="D451">
        <v>201512</v>
      </c>
      <c r="E451" s="1">
        <v>42339</v>
      </c>
      <c r="F451" s="1">
        <v>42369</v>
      </c>
      <c r="G451" t="s">
        <v>270</v>
      </c>
      <c r="H451" s="81">
        <v>967</v>
      </c>
      <c r="I451" t="s">
        <v>6</v>
      </c>
      <c r="J451" s="3">
        <v>95.97</v>
      </c>
    </row>
    <row r="452" spans="1:10" x14ac:dyDescent="0.25">
      <c r="A452" t="s">
        <v>252</v>
      </c>
      <c r="B452" t="s">
        <v>5</v>
      </c>
      <c r="C452" s="82">
        <v>4568693826</v>
      </c>
      <c r="D452">
        <v>201601</v>
      </c>
      <c r="E452" s="1">
        <v>42369</v>
      </c>
      <c r="F452" s="1">
        <v>42402</v>
      </c>
      <c r="G452" t="s">
        <v>270</v>
      </c>
      <c r="H452" s="81">
        <v>2213</v>
      </c>
      <c r="I452" t="s">
        <v>6</v>
      </c>
      <c r="J452" s="3">
        <v>206.24</v>
      </c>
    </row>
    <row r="453" spans="1:10" x14ac:dyDescent="0.25">
      <c r="A453" t="s">
        <v>252</v>
      </c>
      <c r="B453" t="s">
        <v>5</v>
      </c>
      <c r="C453" s="82">
        <v>4568693826</v>
      </c>
      <c r="D453">
        <v>201602</v>
      </c>
      <c r="E453" s="1">
        <v>42402</v>
      </c>
      <c r="F453" s="1">
        <v>42429</v>
      </c>
      <c r="G453" t="s">
        <v>270</v>
      </c>
      <c r="H453" s="81">
        <v>1766</v>
      </c>
      <c r="I453" t="s">
        <v>6</v>
      </c>
      <c r="J453" s="3">
        <v>166.63</v>
      </c>
    </row>
    <row r="454" spans="1:10" x14ac:dyDescent="0.25">
      <c r="A454" t="s">
        <v>252</v>
      </c>
      <c r="B454" t="s">
        <v>5</v>
      </c>
      <c r="C454" s="82">
        <v>4568693826</v>
      </c>
      <c r="D454">
        <v>201603</v>
      </c>
      <c r="E454" s="1">
        <v>42429</v>
      </c>
      <c r="F454" s="1">
        <v>42460</v>
      </c>
      <c r="G454" t="s">
        <v>270</v>
      </c>
      <c r="H454" s="81">
        <v>1175</v>
      </c>
      <c r="I454" t="s">
        <v>6</v>
      </c>
      <c r="J454" s="3">
        <v>114.27</v>
      </c>
    </row>
    <row r="455" spans="1:10" x14ac:dyDescent="0.25">
      <c r="A455" t="s">
        <v>252</v>
      </c>
      <c r="B455" t="s">
        <v>5</v>
      </c>
      <c r="C455" s="82">
        <v>4568693826</v>
      </c>
      <c r="D455">
        <v>201604</v>
      </c>
      <c r="E455" s="1">
        <v>42460</v>
      </c>
      <c r="F455" s="1">
        <v>42489</v>
      </c>
      <c r="G455" t="s">
        <v>270</v>
      </c>
      <c r="H455" s="81">
        <v>1004</v>
      </c>
      <c r="I455" t="s">
        <v>6</v>
      </c>
      <c r="J455" s="3">
        <v>99.42</v>
      </c>
    </row>
    <row r="456" spans="1:10" x14ac:dyDescent="0.25">
      <c r="A456" t="s">
        <v>252</v>
      </c>
      <c r="B456" t="s">
        <v>5</v>
      </c>
      <c r="C456" s="82">
        <v>4568693826</v>
      </c>
      <c r="D456">
        <v>201605</v>
      </c>
      <c r="E456" s="1">
        <v>42489</v>
      </c>
      <c r="F456" s="1">
        <v>42521</v>
      </c>
      <c r="G456" t="s">
        <v>270</v>
      </c>
      <c r="H456" s="81">
        <v>389</v>
      </c>
      <c r="I456" t="s">
        <v>6</v>
      </c>
      <c r="J456" s="3">
        <v>44.97</v>
      </c>
    </row>
    <row r="457" spans="1:10" x14ac:dyDescent="0.25">
      <c r="A457" t="s">
        <v>252</v>
      </c>
      <c r="B457" t="s">
        <v>5</v>
      </c>
      <c r="C457" s="82">
        <v>4568693826</v>
      </c>
      <c r="D457">
        <v>201606</v>
      </c>
      <c r="E457" s="1">
        <v>42521</v>
      </c>
      <c r="F457" s="1">
        <v>42549</v>
      </c>
      <c r="G457" t="s">
        <v>270</v>
      </c>
      <c r="H457" s="81">
        <v>193</v>
      </c>
      <c r="I457" t="s">
        <v>6</v>
      </c>
      <c r="J457" s="3">
        <v>27.43</v>
      </c>
    </row>
    <row r="458" spans="1:10" x14ac:dyDescent="0.25">
      <c r="A458" t="s">
        <v>252</v>
      </c>
      <c r="B458" t="s">
        <v>5</v>
      </c>
      <c r="C458" s="82">
        <v>4572102327</v>
      </c>
      <c r="D458">
        <v>201507</v>
      </c>
      <c r="E458" s="1">
        <v>42179</v>
      </c>
      <c r="F458" s="1">
        <v>42212</v>
      </c>
      <c r="G458" t="s">
        <v>273</v>
      </c>
      <c r="H458" s="81">
        <v>704</v>
      </c>
      <c r="I458" t="s">
        <v>6</v>
      </c>
      <c r="J458" s="3">
        <v>73.209999999999994</v>
      </c>
    </row>
    <row r="459" spans="1:10" x14ac:dyDescent="0.25">
      <c r="A459" t="s">
        <v>252</v>
      </c>
      <c r="B459" t="s">
        <v>5</v>
      </c>
      <c r="C459" s="82">
        <v>4572102327</v>
      </c>
      <c r="D459">
        <v>201508</v>
      </c>
      <c r="E459" s="1">
        <v>42212</v>
      </c>
      <c r="F459" s="1">
        <v>42240</v>
      </c>
      <c r="G459" t="s">
        <v>273</v>
      </c>
      <c r="H459" s="81">
        <v>432</v>
      </c>
      <c r="I459" t="s">
        <v>6</v>
      </c>
      <c r="J459" s="3">
        <v>48.86</v>
      </c>
    </row>
    <row r="460" spans="1:10" x14ac:dyDescent="0.25">
      <c r="A460" t="s">
        <v>252</v>
      </c>
      <c r="B460" t="s">
        <v>5</v>
      </c>
      <c r="C460" s="82">
        <v>4572102327</v>
      </c>
      <c r="D460">
        <v>201509</v>
      </c>
      <c r="E460" s="1">
        <v>42240</v>
      </c>
      <c r="F460" s="1">
        <v>42271</v>
      </c>
      <c r="G460" t="s">
        <v>273</v>
      </c>
      <c r="H460" s="81">
        <v>936</v>
      </c>
      <c r="I460" t="s">
        <v>6</v>
      </c>
      <c r="J460" s="3">
        <v>93.37</v>
      </c>
    </row>
    <row r="461" spans="1:10" x14ac:dyDescent="0.25">
      <c r="A461" t="s">
        <v>252</v>
      </c>
      <c r="B461" t="s">
        <v>5</v>
      </c>
      <c r="C461" s="82">
        <v>4572102327</v>
      </c>
      <c r="D461">
        <v>201510</v>
      </c>
      <c r="E461" s="1">
        <v>42271</v>
      </c>
      <c r="F461" s="1">
        <v>42299</v>
      </c>
      <c r="G461" t="s">
        <v>273</v>
      </c>
      <c r="H461" s="81">
        <v>521</v>
      </c>
      <c r="I461" t="s">
        <v>6</v>
      </c>
      <c r="J461" s="3">
        <v>56.37</v>
      </c>
    </row>
    <row r="462" spans="1:10" x14ac:dyDescent="0.25">
      <c r="A462" t="s">
        <v>252</v>
      </c>
      <c r="B462" t="s">
        <v>5</v>
      </c>
      <c r="C462" s="82">
        <v>4572102327</v>
      </c>
      <c r="D462">
        <v>201511</v>
      </c>
      <c r="E462" s="1">
        <v>42299</v>
      </c>
      <c r="F462" s="1">
        <v>42332</v>
      </c>
      <c r="G462" t="s">
        <v>273</v>
      </c>
      <c r="H462" s="81">
        <v>784</v>
      </c>
      <c r="I462" t="s">
        <v>6</v>
      </c>
      <c r="J462" s="3">
        <v>79.72</v>
      </c>
    </row>
    <row r="463" spans="1:10" x14ac:dyDescent="0.25">
      <c r="A463" t="s">
        <v>252</v>
      </c>
      <c r="B463" t="s">
        <v>5</v>
      </c>
      <c r="C463" s="82">
        <v>4572102327</v>
      </c>
      <c r="D463">
        <v>201512</v>
      </c>
      <c r="E463" s="1">
        <v>42332</v>
      </c>
      <c r="F463" s="1">
        <v>42361</v>
      </c>
      <c r="G463" t="s">
        <v>273</v>
      </c>
      <c r="H463" s="81">
        <v>835</v>
      </c>
      <c r="I463" t="s">
        <v>6</v>
      </c>
      <c r="J463" s="3">
        <v>84.26</v>
      </c>
    </row>
    <row r="464" spans="1:10" x14ac:dyDescent="0.25">
      <c r="A464" t="s">
        <v>252</v>
      </c>
      <c r="B464" t="s">
        <v>5</v>
      </c>
      <c r="C464" s="82">
        <v>4572102327</v>
      </c>
      <c r="D464">
        <v>201601</v>
      </c>
      <c r="E464" s="1">
        <v>42361</v>
      </c>
      <c r="F464" s="1">
        <v>42395</v>
      </c>
      <c r="G464" t="s">
        <v>273</v>
      </c>
      <c r="H464" s="81">
        <v>1285</v>
      </c>
      <c r="I464" t="s">
        <v>6</v>
      </c>
      <c r="J464" s="3">
        <v>124.05</v>
      </c>
    </row>
    <row r="465" spans="1:10" x14ac:dyDescent="0.25">
      <c r="A465" t="s">
        <v>252</v>
      </c>
      <c r="B465" t="s">
        <v>5</v>
      </c>
      <c r="C465" s="82">
        <v>4572102327</v>
      </c>
      <c r="D465">
        <v>201602</v>
      </c>
      <c r="E465" s="1">
        <v>42395</v>
      </c>
      <c r="F465" s="1">
        <v>42424</v>
      </c>
      <c r="G465" t="s">
        <v>273</v>
      </c>
      <c r="H465" s="81">
        <v>1166</v>
      </c>
      <c r="I465" t="s">
        <v>6</v>
      </c>
      <c r="J465" s="3">
        <v>113.47</v>
      </c>
    </row>
    <row r="466" spans="1:10" x14ac:dyDescent="0.25">
      <c r="A466" t="s">
        <v>252</v>
      </c>
      <c r="B466" t="s">
        <v>5</v>
      </c>
      <c r="C466" s="82">
        <v>4572102327</v>
      </c>
      <c r="D466">
        <v>201603</v>
      </c>
      <c r="E466" s="1">
        <v>42424</v>
      </c>
      <c r="F466" s="1">
        <v>42453</v>
      </c>
      <c r="G466" t="s">
        <v>273</v>
      </c>
      <c r="H466" s="81">
        <v>823</v>
      </c>
      <c r="I466" t="s">
        <v>6</v>
      </c>
      <c r="J466" s="3">
        <v>83.08</v>
      </c>
    </row>
    <row r="467" spans="1:10" x14ac:dyDescent="0.25">
      <c r="A467" t="s">
        <v>252</v>
      </c>
      <c r="B467" t="s">
        <v>5</v>
      </c>
      <c r="C467" s="82">
        <v>4572102327</v>
      </c>
      <c r="D467">
        <v>201604</v>
      </c>
      <c r="E467" s="1">
        <v>42453</v>
      </c>
      <c r="F467" s="1">
        <v>42487</v>
      </c>
      <c r="G467" t="s">
        <v>273</v>
      </c>
      <c r="H467" s="81">
        <v>683</v>
      </c>
      <c r="I467" t="s">
        <v>6</v>
      </c>
      <c r="J467" s="3">
        <v>70.84</v>
      </c>
    </row>
    <row r="468" spans="1:10" x14ac:dyDescent="0.25">
      <c r="A468" t="s">
        <v>252</v>
      </c>
      <c r="B468" t="s">
        <v>5</v>
      </c>
      <c r="C468" s="82">
        <v>4572102327</v>
      </c>
      <c r="D468">
        <v>201605</v>
      </c>
      <c r="E468" s="1">
        <v>42487</v>
      </c>
      <c r="F468" s="1">
        <v>42514</v>
      </c>
      <c r="G468" t="s">
        <v>273</v>
      </c>
      <c r="H468" s="81">
        <v>469</v>
      </c>
      <c r="I468" t="s">
        <v>6</v>
      </c>
      <c r="J468" s="3">
        <v>52.15</v>
      </c>
    </row>
    <row r="469" spans="1:10" x14ac:dyDescent="0.25">
      <c r="A469" t="s">
        <v>252</v>
      </c>
      <c r="B469" t="s">
        <v>5</v>
      </c>
      <c r="C469" s="82">
        <v>4572102327</v>
      </c>
      <c r="D469">
        <v>201606</v>
      </c>
      <c r="E469" s="1">
        <v>42514</v>
      </c>
      <c r="F469" s="1">
        <v>42544</v>
      </c>
      <c r="G469" t="s">
        <v>273</v>
      </c>
      <c r="H469" s="81">
        <v>165</v>
      </c>
      <c r="I469" t="s">
        <v>6</v>
      </c>
      <c r="J469" s="3">
        <v>24.93</v>
      </c>
    </row>
    <row r="470" spans="1:10" x14ac:dyDescent="0.25">
      <c r="A470" t="s">
        <v>252</v>
      </c>
      <c r="B470" t="s">
        <v>5</v>
      </c>
      <c r="C470" s="82">
        <v>4583641792</v>
      </c>
      <c r="D470">
        <v>201507</v>
      </c>
      <c r="E470" s="1">
        <v>42179</v>
      </c>
      <c r="F470" s="1">
        <v>42212</v>
      </c>
      <c r="G470" t="s">
        <v>276</v>
      </c>
      <c r="H470" s="81">
        <v>606</v>
      </c>
      <c r="I470" t="s">
        <v>6</v>
      </c>
      <c r="J470" s="3">
        <v>64.45</v>
      </c>
    </row>
    <row r="471" spans="1:10" x14ac:dyDescent="0.25">
      <c r="A471" t="s">
        <v>252</v>
      </c>
      <c r="B471" t="s">
        <v>5</v>
      </c>
      <c r="C471" s="82">
        <v>4583641792</v>
      </c>
      <c r="D471">
        <v>201508</v>
      </c>
      <c r="E471" s="1">
        <v>42212</v>
      </c>
      <c r="F471" s="1">
        <v>42240</v>
      </c>
      <c r="G471" t="s">
        <v>276</v>
      </c>
      <c r="H471" s="81">
        <v>520</v>
      </c>
      <c r="I471" t="s">
        <v>6</v>
      </c>
      <c r="J471" s="3">
        <v>56.74</v>
      </c>
    </row>
    <row r="472" spans="1:10" x14ac:dyDescent="0.25">
      <c r="A472" t="s">
        <v>252</v>
      </c>
      <c r="B472" t="s">
        <v>5</v>
      </c>
      <c r="C472" s="82">
        <v>4583641792</v>
      </c>
      <c r="D472">
        <v>201509</v>
      </c>
      <c r="E472" s="1">
        <v>42240</v>
      </c>
      <c r="F472" s="1">
        <v>42271</v>
      </c>
      <c r="G472" t="s">
        <v>276</v>
      </c>
      <c r="H472" s="81">
        <v>894</v>
      </c>
      <c r="I472" t="s">
        <v>6</v>
      </c>
      <c r="J472" s="3">
        <v>89.65</v>
      </c>
    </row>
    <row r="473" spans="1:10" x14ac:dyDescent="0.25">
      <c r="A473" t="s">
        <v>252</v>
      </c>
      <c r="B473" t="s">
        <v>5</v>
      </c>
      <c r="C473" s="82">
        <v>4583641792</v>
      </c>
      <c r="D473">
        <v>201510</v>
      </c>
      <c r="E473" s="1">
        <v>42271</v>
      </c>
      <c r="F473" s="1">
        <v>42299</v>
      </c>
      <c r="G473" t="s">
        <v>276</v>
      </c>
      <c r="H473" s="81">
        <v>879</v>
      </c>
      <c r="I473" t="s">
        <v>6</v>
      </c>
      <c r="J473" s="3">
        <v>88.15</v>
      </c>
    </row>
    <row r="474" spans="1:10" x14ac:dyDescent="0.25">
      <c r="A474" t="s">
        <v>252</v>
      </c>
      <c r="B474" t="s">
        <v>5</v>
      </c>
      <c r="C474" s="82">
        <v>4583641792</v>
      </c>
      <c r="D474">
        <v>201511</v>
      </c>
      <c r="E474" s="1">
        <v>42299</v>
      </c>
      <c r="F474" s="1">
        <v>42332</v>
      </c>
      <c r="G474" t="s">
        <v>276</v>
      </c>
      <c r="H474" s="81">
        <v>1026</v>
      </c>
      <c r="I474" t="s">
        <v>6</v>
      </c>
      <c r="J474" s="3">
        <v>101.19</v>
      </c>
    </row>
    <row r="475" spans="1:10" x14ac:dyDescent="0.25">
      <c r="A475" t="s">
        <v>252</v>
      </c>
      <c r="B475" t="s">
        <v>5</v>
      </c>
      <c r="C475" s="82">
        <v>4583641792</v>
      </c>
      <c r="D475">
        <v>201512</v>
      </c>
      <c r="E475" s="1">
        <v>42332</v>
      </c>
      <c r="F475" s="1">
        <v>42361</v>
      </c>
      <c r="G475" t="s">
        <v>276</v>
      </c>
      <c r="H475" s="81">
        <v>691</v>
      </c>
      <c r="I475" t="s">
        <v>6</v>
      </c>
      <c r="J475" s="3">
        <v>71.48</v>
      </c>
    </row>
    <row r="476" spans="1:10" x14ac:dyDescent="0.25">
      <c r="A476" t="s">
        <v>252</v>
      </c>
      <c r="B476" t="s">
        <v>5</v>
      </c>
      <c r="C476" s="82">
        <v>4583641792</v>
      </c>
      <c r="D476">
        <v>201601</v>
      </c>
      <c r="E476" s="1">
        <v>42361</v>
      </c>
      <c r="F476" s="1">
        <v>42395</v>
      </c>
      <c r="G476" t="s">
        <v>276</v>
      </c>
      <c r="H476" s="81">
        <v>1392</v>
      </c>
      <c r="I476" t="s">
        <v>6</v>
      </c>
      <c r="J476" s="3">
        <v>133.55000000000001</v>
      </c>
    </row>
    <row r="477" spans="1:10" x14ac:dyDescent="0.25">
      <c r="A477" t="s">
        <v>252</v>
      </c>
      <c r="B477" t="s">
        <v>5</v>
      </c>
      <c r="C477" s="82">
        <v>4583641792</v>
      </c>
      <c r="D477">
        <v>201602</v>
      </c>
      <c r="E477" s="1">
        <v>42395</v>
      </c>
      <c r="F477" s="1">
        <v>42424</v>
      </c>
      <c r="G477" t="s">
        <v>276</v>
      </c>
      <c r="H477" s="81">
        <v>1220</v>
      </c>
      <c r="I477" t="s">
        <v>6</v>
      </c>
      <c r="J477" s="3">
        <v>118.27</v>
      </c>
    </row>
    <row r="478" spans="1:10" x14ac:dyDescent="0.25">
      <c r="A478" t="s">
        <v>252</v>
      </c>
      <c r="B478" t="s">
        <v>5</v>
      </c>
      <c r="C478" s="82">
        <v>4583641792</v>
      </c>
      <c r="D478">
        <v>201603</v>
      </c>
      <c r="E478" s="1">
        <v>42424</v>
      </c>
      <c r="F478" s="1">
        <v>42453</v>
      </c>
      <c r="G478" t="s">
        <v>276</v>
      </c>
      <c r="H478" s="81">
        <v>850</v>
      </c>
      <c r="I478" t="s">
        <v>6</v>
      </c>
      <c r="J478" s="3">
        <v>85.46</v>
      </c>
    </row>
    <row r="479" spans="1:10" x14ac:dyDescent="0.25">
      <c r="A479" t="s">
        <v>252</v>
      </c>
      <c r="B479" t="s">
        <v>5</v>
      </c>
      <c r="C479" s="82">
        <v>4583641792</v>
      </c>
      <c r="D479">
        <v>201604</v>
      </c>
      <c r="E479" s="1">
        <v>42453</v>
      </c>
      <c r="F479" s="1">
        <v>42487</v>
      </c>
      <c r="G479" t="s">
        <v>276</v>
      </c>
      <c r="H479" s="81">
        <v>949</v>
      </c>
      <c r="I479" t="s">
        <v>6</v>
      </c>
      <c r="J479" s="3">
        <v>94.49</v>
      </c>
    </row>
    <row r="480" spans="1:10" x14ac:dyDescent="0.25">
      <c r="A480" t="s">
        <v>252</v>
      </c>
      <c r="B480" t="s">
        <v>5</v>
      </c>
      <c r="C480" s="82">
        <v>4583641792</v>
      </c>
      <c r="D480">
        <v>201605</v>
      </c>
      <c r="E480" s="1">
        <v>42487</v>
      </c>
      <c r="F480" s="1">
        <v>42514</v>
      </c>
      <c r="G480" t="s">
        <v>276</v>
      </c>
      <c r="H480" s="81">
        <v>596</v>
      </c>
      <c r="I480" t="s">
        <v>6</v>
      </c>
      <c r="J480" s="3">
        <v>63.51</v>
      </c>
    </row>
    <row r="481" spans="1:10" x14ac:dyDescent="0.25">
      <c r="A481" t="s">
        <v>252</v>
      </c>
      <c r="B481" t="s">
        <v>5</v>
      </c>
      <c r="C481" s="82">
        <v>4583641792</v>
      </c>
      <c r="D481">
        <v>201606</v>
      </c>
      <c r="E481" s="1">
        <v>42514</v>
      </c>
      <c r="F481" s="1">
        <v>42544</v>
      </c>
      <c r="G481" t="s">
        <v>276</v>
      </c>
      <c r="H481" s="81">
        <v>360</v>
      </c>
      <c r="I481" t="s">
        <v>6</v>
      </c>
      <c r="J481" s="3">
        <v>42.42</v>
      </c>
    </row>
    <row r="482" spans="1:10" x14ac:dyDescent="0.25">
      <c r="A482" t="s">
        <v>252</v>
      </c>
      <c r="B482" t="s">
        <v>5</v>
      </c>
      <c r="C482" s="82">
        <v>4592164927</v>
      </c>
      <c r="D482">
        <v>201507</v>
      </c>
      <c r="E482" s="1">
        <v>42179</v>
      </c>
      <c r="F482" s="1">
        <v>42212</v>
      </c>
      <c r="G482" t="s">
        <v>279</v>
      </c>
      <c r="H482" s="81">
        <v>551</v>
      </c>
      <c r="I482" t="s">
        <v>6</v>
      </c>
      <c r="J482" s="3">
        <v>59.51</v>
      </c>
    </row>
    <row r="483" spans="1:10" x14ac:dyDescent="0.25">
      <c r="A483" t="s">
        <v>252</v>
      </c>
      <c r="B483" t="s">
        <v>5</v>
      </c>
      <c r="C483" s="82">
        <v>4592164927</v>
      </c>
      <c r="D483">
        <v>201508</v>
      </c>
      <c r="E483" s="1">
        <v>42212</v>
      </c>
      <c r="F483" s="1">
        <v>42240</v>
      </c>
      <c r="G483" t="s">
        <v>279</v>
      </c>
      <c r="H483" s="81">
        <v>425</v>
      </c>
      <c r="I483" t="s">
        <v>6</v>
      </c>
      <c r="J483" s="3">
        <v>48.21</v>
      </c>
    </row>
    <row r="484" spans="1:10" x14ac:dyDescent="0.25">
      <c r="A484" t="s">
        <v>252</v>
      </c>
      <c r="B484" t="s">
        <v>5</v>
      </c>
      <c r="C484" s="82">
        <v>4592164927</v>
      </c>
      <c r="D484">
        <v>201509</v>
      </c>
      <c r="E484" s="1">
        <v>42240</v>
      </c>
      <c r="F484" s="1">
        <v>42271</v>
      </c>
      <c r="G484" t="s">
        <v>279</v>
      </c>
      <c r="H484" s="81">
        <v>1137</v>
      </c>
      <c r="I484" t="s">
        <v>6</v>
      </c>
      <c r="J484" s="3">
        <v>111.26</v>
      </c>
    </row>
    <row r="485" spans="1:10" x14ac:dyDescent="0.25">
      <c r="A485" t="s">
        <v>252</v>
      </c>
      <c r="B485" t="s">
        <v>5</v>
      </c>
      <c r="C485" s="82">
        <v>4592164927</v>
      </c>
      <c r="D485">
        <v>201510</v>
      </c>
      <c r="E485" s="1">
        <v>42271</v>
      </c>
      <c r="F485" s="1">
        <v>42299</v>
      </c>
      <c r="G485" t="s">
        <v>279</v>
      </c>
      <c r="H485" s="81">
        <v>874</v>
      </c>
      <c r="I485" t="s">
        <v>6</v>
      </c>
      <c r="J485" s="3">
        <v>87.71</v>
      </c>
    </row>
    <row r="486" spans="1:10" x14ac:dyDescent="0.25">
      <c r="A486" t="s">
        <v>252</v>
      </c>
      <c r="B486" t="s">
        <v>5</v>
      </c>
      <c r="C486" s="82">
        <v>4592164927</v>
      </c>
      <c r="D486">
        <v>201511</v>
      </c>
      <c r="E486" s="1">
        <v>42299</v>
      </c>
      <c r="F486" s="1">
        <v>42332</v>
      </c>
      <c r="G486" t="s">
        <v>279</v>
      </c>
      <c r="H486" s="81">
        <v>1083</v>
      </c>
      <c r="I486" t="s">
        <v>6</v>
      </c>
      <c r="J486" s="3">
        <v>106.25</v>
      </c>
    </row>
    <row r="487" spans="1:10" x14ac:dyDescent="0.25">
      <c r="A487" t="s">
        <v>252</v>
      </c>
      <c r="B487" t="s">
        <v>5</v>
      </c>
      <c r="C487" s="82">
        <v>4592164927</v>
      </c>
      <c r="D487">
        <v>201512</v>
      </c>
      <c r="E487" s="1">
        <v>42332</v>
      </c>
      <c r="F487" s="1">
        <v>42361</v>
      </c>
      <c r="G487" t="s">
        <v>279</v>
      </c>
      <c r="H487" s="81">
        <v>833</v>
      </c>
      <c r="I487" t="s">
        <v>6</v>
      </c>
      <c r="J487" s="3">
        <v>84.05</v>
      </c>
    </row>
    <row r="488" spans="1:10" x14ac:dyDescent="0.25">
      <c r="A488" t="s">
        <v>252</v>
      </c>
      <c r="B488" t="s">
        <v>5</v>
      </c>
      <c r="C488" s="82">
        <v>4592164927</v>
      </c>
      <c r="D488">
        <v>201601</v>
      </c>
      <c r="E488" s="1">
        <v>42361</v>
      </c>
      <c r="F488" s="1">
        <v>42395</v>
      </c>
      <c r="G488" t="s">
        <v>279</v>
      </c>
      <c r="H488" s="81">
        <v>755</v>
      </c>
      <c r="I488" t="s">
        <v>6</v>
      </c>
      <c r="J488" s="3">
        <v>77.05</v>
      </c>
    </row>
    <row r="489" spans="1:10" x14ac:dyDescent="0.25">
      <c r="A489" t="s">
        <v>252</v>
      </c>
      <c r="B489" t="s">
        <v>5</v>
      </c>
      <c r="C489" s="82">
        <v>4592164927</v>
      </c>
      <c r="D489">
        <v>201602</v>
      </c>
      <c r="E489" s="1">
        <v>42395</v>
      </c>
      <c r="F489" s="1">
        <v>42424</v>
      </c>
      <c r="G489" t="s">
        <v>279</v>
      </c>
      <c r="H489" s="81">
        <v>966</v>
      </c>
      <c r="I489" t="s">
        <v>6</v>
      </c>
      <c r="J489" s="3">
        <v>95.75</v>
      </c>
    </row>
    <row r="490" spans="1:10" x14ac:dyDescent="0.25">
      <c r="A490" t="s">
        <v>252</v>
      </c>
      <c r="B490" t="s">
        <v>5</v>
      </c>
      <c r="C490" s="82">
        <v>4592164927</v>
      </c>
      <c r="D490">
        <v>201603</v>
      </c>
      <c r="E490" s="1">
        <v>42424</v>
      </c>
      <c r="F490" s="1">
        <v>42453</v>
      </c>
      <c r="G490" t="s">
        <v>279</v>
      </c>
      <c r="H490" s="81">
        <v>810</v>
      </c>
      <c r="I490" t="s">
        <v>6</v>
      </c>
      <c r="J490" s="3">
        <v>81.93</v>
      </c>
    </row>
    <row r="491" spans="1:10" x14ac:dyDescent="0.25">
      <c r="A491" t="s">
        <v>252</v>
      </c>
      <c r="B491" t="s">
        <v>5</v>
      </c>
      <c r="C491" s="82">
        <v>4592164927</v>
      </c>
      <c r="D491">
        <v>201604</v>
      </c>
      <c r="E491" s="1">
        <v>42453</v>
      </c>
      <c r="F491" s="1">
        <v>42487</v>
      </c>
      <c r="G491" t="s">
        <v>279</v>
      </c>
      <c r="H491" s="81">
        <v>928</v>
      </c>
      <c r="I491" t="s">
        <v>6</v>
      </c>
      <c r="J491" s="3">
        <v>92.61</v>
      </c>
    </row>
    <row r="492" spans="1:10" x14ac:dyDescent="0.25">
      <c r="A492" t="s">
        <v>252</v>
      </c>
      <c r="B492" t="s">
        <v>5</v>
      </c>
      <c r="C492" s="82">
        <v>4592164927</v>
      </c>
      <c r="D492">
        <v>201605</v>
      </c>
      <c r="E492" s="1">
        <v>42487</v>
      </c>
      <c r="F492" s="1">
        <v>42514</v>
      </c>
      <c r="G492" t="s">
        <v>279</v>
      </c>
      <c r="H492" s="81">
        <v>581</v>
      </c>
      <c r="I492" t="s">
        <v>6</v>
      </c>
      <c r="J492" s="3">
        <v>62.15</v>
      </c>
    </row>
    <row r="493" spans="1:10" x14ac:dyDescent="0.25">
      <c r="A493" t="s">
        <v>252</v>
      </c>
      <c r="B493" t="s">
        <v>5</v>
      </c>
      <c r="C493" s="82">
        <v>4592164927</v>
      </c>
      <c r="D493">
        <v>201606</v>
      </c>
      <c r="E493" s="1">
        <v>42514</v>
      </c>
      <c r="F493" s="1">
        <v>42544</v>
      </c>
      <c r="G493" t="s">
        <v>279</v>
      </c>
      <c r="H493" s="81">
        <v>894</v>
      </c>
      <c r="I493" t="s">
        <v>6</v>
      </c>
      <c r="J493" s="3">
        <v>90.26</v>
      </c>
    </row>
    <row r="494" spans="1:10" x14ac:dyDescent="0.25">
      <c r="A494" t="s">
        <v>252</v>
      </c>
      <c r="B494" t="s">
        <v>5</v>
      </c>
      <c r="C494" s="82">
        <v>4608642585</v>
      </c>
      <c r="D494">
        <v>201507</v>
      </c>
      <c r="E494" s="1">
        <v>42179</v>
      </c>
      <c r="F494" s="1">
        <v>42212</v>
      </c>
      <c r="G494" t="s">
        <v>283</v>
      </c>
      <c r="H494" s="81">
        <v>626</v>
      </c>
      <c r="I494" t="s">
        <v>6</v>
      </c>
      <c r="J494" s="3">
        <v>66.22</v>
      </c>
    </row>
    <row r="495" spans="1:10" x14ac:dyDescent="0.25">
      <c r="A495" t="s">
        <v>252</v>
      </c>
      <c r="B495" t="s">
        <v>5</v>
      </c>
      <c r="C495" s="82">
        <v>4608642585</v>
      </c>
      <c r="D495">
        <v>201508</v>
      </c>
      <c r="E495" s="1">
        <v>42212</v>
      </c>
      <c r="F495" s="1">
        <v>42240</v>
      </c>
      <c r="G495" t="s">
        <v>283</v>
      </c>
      <c r="H495" s="81">
        <v>397</v>
      </c>
      <c r="I495" t="s">
        <v>6</v>
      </c>
      <c r="J495" s="3">
        <v>45.7</v>
      </c>
    </row>
    <row r="496" spans="1:10" x14ac:dyDescent="0.25">
      <c r="A496" t="s">
        <v>252</v>
      </c>
      <c r="B496" t="s">
        <v>5</v>
      </c>
      <c r="C496" s="82">
        <v>4608642585</v>
      </c>
      <c r="D496">
        <v>201509</v>
      </c>
      <c r="E496" s="1">
        <v>42240</v>
      </c>
      <c r="F496" s="1">
        <v>42271</v>
      </c>
      <c r="G496" t="s">
        <v>283</v>
      </c>
      <c r="H496" s="81">
        <v>798</v>
      </c>
      <c r="I496" t="s">
        <v>6</v>
      </c>
      <c r="J496" s="3">
        <v>81.12</v>
      </c>
    </row>
    <row r="497" spans="1:10" x14ac:dyDescent="0.25">
      <c r="A497" t="s">
        <v>252</v>
      </c>
      <c r="B497" t="s">
        <v>5</v>
      </c>
      <c r="C497" s="82">
        <v>4608642585</v>
      </c>
      <c r="D497">
        <v>201510</v>
      </c>
      <c r="E497" s="1">
        <v>42271</v>
      </c>
      <c r="F497" s="1">
        <v>42299</v>
      </c>
      <c r="G497" t="s">
        <v>283</v>
      </c>
      <c r="H497" s="81">
        <v>638</v>
      </c>
      <c r="I497" t="s">
        <v>6</v>
      </c>
      <c r="J497" s="3">
        <v>66.75</v>
      </c>
    </row>
    <row r="498" spans="1:10" x14ac:dyDescent="0.25">
      <c r="A498" t="s">
        <v>252</v>
      </c>
      <c r="B498" t="s">
        <v>5</v>
      </c>
      <c r="C498" s="82">
        <v>4608642585</v>
      </c>
      <c r="D498">
        <v>201511</v>
      </c>
      <c r="E498" s="1">
        <v>42299</v>
      </c>
      <c r="F498" s="1">
        <v>42332</v>
      </c>
      <c r="G498" t="s">
        <v>283</v>
      </c>
      <c r="H498" s="81">
        <v>982</v>
      </c>
      <c r="I498" t="s">
        <v>6</v>
      </c>
      <c r="J498" s="3">
        <v>97.29</v>
      </c>
    </row>
    <row r="499" spans="1:10" x14ac:dyDescent="0.25">
      <c r="A499" t="s">
        <v>252</v>
      </c>
      <c r="B499" t="s">
        <v>5</v>
      </c>
      <c r="C499" s="82">
        <v>4608642585</v>
      </c>
      <c r="D499">
        <v>201512</v>
      </c>
      <c r="E499" s="1">
        <v>42332</v>
      </c>
      <c r="F499" s="1">
        <v>42361</v>
      </c>
      <c r="G499" t="s">
        <v>283</v>
      </c>
      <c r="H499" s="81">
        <v>773</v>
      </c>
      <c r="I499" t="s">
        <v>6</v>
      </c>
      <c r="J499" s="3">
        <v>78.73</v>
      </c>
    </row>
    <row r="500" spans="1:10" x14ac:dyDescent="0.25">
      <c r="A500" t="s">
        <v>252</v>
      </c>
      <c r="B500" t="s">
        <v>5</v>
      </c>
      <c r="C500" s="82">
        <v>4608642585</v>
      </c>
      <c r="D500">
        <v>201601</v>
      </c>
      <c r="E500" s="1">
        <v>42361</v>
      </c>
      <c r="F500" s="1">
        <v>42395</v>
      </c>
      <c r="G500" t="s">
        <v>283</v>
      </c>
      <c r="H500" s="81">
        <v>1217</v>
      </c>
      <c r="I500" t="s">
        <v>6</v>
      </c>
      <c r="J500" s="3">
        <v>118.04</v>
      </c>
    </row>
    <row r="501" spans="1:10" x14ac:dyDescent="0.25">
      <c r="A501" t="s">
        <v>252</v>
      </c>
      <c r="B501" t="s">
        <v>5</v>
      </c>
      <c r="C501" s="82">
        <v>4608642585</v>
      </c>
      <c r="D501">
        <v>201602</v>
      </c>
      <c r="E501" s="1">
        <v>42395</v>
      </c>
      <c r="F501" s="1">
        <v>42424</v>
      </c>
      <c r="G501" t="s">
        <v>283</v>
      </c>
      <c r="H501" s="81">
        <v>826</v>
      </c>
      <c r="I501" t="s">
        <v>6</v>
      </c>
      <c r="J501" s="3">
        <v>83.34</v>
      </c>
    </row>
    <row r="502" spans="1:10" x14ac:dyDescent="0.25">
      <c r="A502" t="s">
        <v>252</v>
      </c>
      <c r="B502" t="s">
        <v>5</v>
      </c>
      <c r="C502" s="82">
        <v>4608642585</v>
      </c>
      <c r="D502">
        <v>201603</v>
      </c>
      <c r="E502" s="1">
        <v>42424</v>
      </c>
      <c r="F502" s="1">
        <v>42453</v>
      </c>
      <c r="G502" t="s">
        <v>283</v>
      </c>
      <c r="H502" s="81">
        <v>686</v>
      </c>
      <c r="I502" t="s">
        <v>6</v>
      </c>
      <c r="J502" s="3">
        <v>70.930000000000007</v>
      </c>
    </row>
    <row r="503" spans="1:10" x14ac:dyDescent="0.25">
      <c r="A503" t="s">
        <v>252</v>
      </c>
      <c r="B503" t="s">
        <v>5</v>
      </c>
      <c r="C503" s="82">
        <v>4608642585</v>
      </c>
      <c r="D503">
        <v>201604</v>
      </c>
      <c r="E503" s="1">
        <v>42453</v>
      </c>
      <c r="F503" s="1">
        <v>42487</v>
      </c>
      <c r="G503" t="s">
        <v>283</v>
      </c>
      <c r="H503" s="81">
        <v>755</v>
      </c>
      <c r="I503" t="s">
        <v>6</v>
      </c>
      <c r="J503" s="3">
        <v>77.23</v>
      </c>
    </row>
    <row r="504" spans="1:10" x14ac:dyDescent="0.25">
      <c r="A504" t="s">
        <v>252</v>
      </c>
      <c r="B504" t="s">
        <v>5</v>
      </c>
      <c r="C504" s="82">
        <v>4608642585</v>
      </c>
      <c r="D504">
        <v>201605</v>
      </c>
      <c r="E504" s="1">
        <v>42487</v>
      </c>
      <c r="F504" s="1">
        <v>42514</v>
      </c>
      <c r="G504" t="s">
        <v>283</v>
      </c>
      <c r="H504" s="81">
        <v>474</v>
      </c>
      <c r="I504" t="s">
        <v>6</v>
      </c>
      <c r="J504" s="3">
        <v>52.61</v>
      </c>
    </row>
    <row r="505" spans="1:10" x14ac:dyDescent="0.25">
      <c r="A505" t="s">
        <v>252</v>
      </c>
      <c r="B505" t="s">
        <v>5</v>
      </c>
      <c r="C505" s="82">
        <v>4608642585</v>
      </c>
      <c r="D505">
        <v>201606</v>
      </c>
      <c r="E505" s="1">
        <v>42514</v>
      </c>
      <c r="F505" s="1">
        <v>42544</v>
      </c>
      <c r="G505" t="s">
        <v>283</v>
      </c>
      <c r="H505" s="81">
        <v>150</v>
      </c>
      <c r="I505" t="s">
        <v>6</v>
      </c>
      <c r="J505" s="3">
        <v>23.58</v>
      </c>
    </row>
    <row r="506" spans="1:10" x14ac:dyDescent="0.25">
      <c r="A506" t="s">
        <v>252</v>
      </c>
      <c r="B506" t="s">
        <v>5</v>
      </c>
      <c r="C506" s="82">
        <v>4612822504</v>
      </c>
      <c r="D506">
        <v>201507</v>
      </c>
      <c r="E506" s="1">
        <v>42185</v>
      </c>
      <c r="F506" s="1">
        <v>42216</v>
      </c>
      <c r="G506" t="s">
        <v>286</v>
      </c>
      <c r="H506" s="81">
        <v>446</v>
      </c>
      <c r="I506" t="s">
        <v>6</v>
      </c>
      <c r="J506" s="3">
        <v>50.09</v>
      </c>
    </row>
    <row r="507" spans="1:10" x14ac:dyDescent="0.25">
      <c r="A507" t="s">
        <v>252</v>
      </c>
      <c r="B507" t="s">
        <v>5</v>
      </c>
      <c r="C507" s="82">
        <v>4612822504</v>
      </c>
      <c r="D507">
        <v>201508</v>
      </c>
      <c r="E507" s="1">
        <v>42216</v>
      </c>
      <c r="F507" s="1">
        <v>42243</v>
      </c>
      <c r="G507" t="s">
        <v>286</v>
      </c>
      <c r="H507" s="81">
        <v>210</v>
      </c>
      <c r="I507" t="s">
        <v>6</v>
      </c>
      <c r="J507" s="3">
        <v>28.95</v>
      </c>
    </row>
    <row r="508" spans="1:10" x14ac:dyDescent="0.25">
      <c r="A508" t="s">
        <v>252</v>
      </c>
      <c r="B508" t="s">
        <v>5</v>
      </c>
      <c r="C508" s="82">
        <v>4612822504</v>
      </c>
      <c r="D508">
        <v>201509</v>
      </c>
      <c r="E508" s="1">
        <v>42243</v>
      </c>
      <c r="F508" s="1">
        <v>42275</v>
      </c>
      <c r="G508" t="s">
        <v>286</v>
      </c>
      <c r="H508" s="81">
        <v>1692</v>
      </c>
      <c r="I508" t="s">
        <v>6</v>
      </c>
      <c r="J508" s="3">
        <v>160.47999999999999</v>
      </c>
    </row>
    <row r="509" spans="1:10" x14ac:dyDescent="0.25">
      <c r="A509" t="s">
        <v>252</v>
      </c>
      <c r="B509" t="s">
        <v>5</v>
      </c>
      <c r="C509" s="82">
        <v>4612822504</v>
      </c>
      <c r="D509">
        <v>201510</v>
      </c>
      <c r="E509" s="1">
        <v>42275</v>
      </c>
      <c r="F509" s="1">
        <v>42305</v>
      </c>
      <c r="G509" t="s">
        <v>286</v>
      </c>
      <c r="H509" s="81">
        <v>2482</v>
      </c>
      <c r="I509" t="s">
        <v>6</v>
      </c>
      <c r="J509" s="3">
        <v>230.42</v>
      </c>
    </row>
    <row r="510" spans="1:10" x14ac:dyDescent="0.25">
      <c r="A510" t="s">
        <v>252</v>
      </c>
      <c r="B510" t="s">
        <v>5</v>
      </c>
      <c r="C510" s="82">
        <v>4612822504</v>
      </c>
      <c r="D510">
        <v>201511</v>
      </c>
      <c r="E510" s="1">
        <v>42305</v>
      </c>
      <c r="F510" s="1">
        <v>42339</v>
      </c>
      <c r="G510" t="s">
        <v>286</v>
      </c>
      <c r="H510" s="81">
        <v>1969</v>
      </c>
      <c r="I510" t="s">
        <v>6</v>
      </c>
      <c r="J510" s="3">
        <v>184.91</v>
      </c>
    </row>
    <row r="511" spans="1:10" x14ac:dyDescent="0.25">
      <c r="A511" t="s">
        <v>252</v>
      </c>
      <c r="B511" t="s">
        <v>5</v>
      </c>
      <c r="C511" s="82">
        <v>4612822504</v>
      </c>
      <c r="D511">
        <v>201512</v>
      </c>
      <c r="E511" s="1">
        <v>42339</v>
      </c>
      <c r="F511" s="1">
        <v>42369</v>
      </c>
      <c r="G511" t="s">
        <v>286</v>
      </c>
      <c r="H511" s="81">
        <v>1915</v>
      </c>
      <c r="I511" t="s">
        <v>6</v>
      </c>
      <c r="J511" s="3">
        <v>180.1</v>
      </c>
    </row>
    <row r="512" spans="1:10" x14ac:dyDescent="0.25">
      <c r="A512" t="s">
        <v>252</v>
      </c>
      <c r="B512" t="s">
        <v>5</v>
      </c>
      <c r="C512" s="82">
        <v>4612822504</v>
      </c>
      <c r="D512">
        <v>201601</v>
      </c>
      <c r="E512" s="1">
        <v>42369</v>
      </c>
      <c r="F512" s="1">
        <v>42402</v>
      </c>
      <c r="G512" t="s">
        <v>286</v>
      </c>
      <c r="H512" s="81">
        <v>2270</v>
      </c>
      <c r="I512" t="s">
        <v>6</v>
      </c>
      <c r="J512" s="3">
        <v>211.33</v>
      </c>
    </row>
    <row r="513" spans="1:10" x14ac:dyDescent="0.25">
      <c r="A513" t="s">
        <v>252</v>
      </c>
      <c r="B513" t="s">
        <v>5</v>
      </c>
      <c r="C513" s="82">
        <v>4612822504</v>
      </c>
      <c r="D513">
        <v>201602</v>
      </c>
      <c r="E513" s="1">
        <v>42402</v>
      </c>
      <c r="F513" s="1">
        <v>42429</v>
      </c>
      <c r="G513" t="s">
        <v>286</v>
      </c>
      <c r="H513" s="81">
        <v>3345</v>
      </c>
      <c r="I513" t="s">
        <v>6</v>
      </c>
      <c r="J513" s="3">
        <v>306.58999999999997</v>
      </c>
    </row>
    <row r="514" spans="1:10" x14ac:dyDescent="0.25">
      <c r="A514" t="s">
        <v>252</v>
      </c>
      <c r="B514" t="s">
        <v>5</v>
      </c>
      <c r="C514" s="82">
        <v>4612822504</v>
      </c>
      <c r="D514">
        <v>201603</v>
      </c>
      <c r="E514" s="1">
        <v>42429</v>
      </c>
      <c r="F514" s="1">
        <v>42460</v>
      </c>
      <c r="G514" t="s">
        <v>286</v>
      </c>
      <c r="H514" s="81">
        <v>4712</v>
      </c>
      <c r="I514" t="s">
        <v>6</v>
      </c>
      <c r="J514" s="3">
        <v>409.98</v>
      </c>
    </row>
    <row r="515" spans="1:10" x14ac:dyDescent="0.25">
      <c r="A515" t="s">
        <v>252</v>
      </c>
      <c r="B515" t="s">
        <v>5</v>
      </c>
      <c r="C515" s="82">
        <v>4612822504</v>
      </c>
      <c r="D515">
        <v>201604</v>
      </c>
      <c r="E515" s="1">
        <v>42460</v>
      </c>
      <c r="F515" s="1">
        <v>42489</v>
      </c>
      <c r="G515" t="s">
        <v>286</v>
      </c>
      <c r="H515" s="81">
        <v>4010</v>
      </c>
      <c r="I515" t="s">
        <v>6</v>
      </c>
      <c r="J515" s="3">
        <v>358.81</v>
      </c>
    </row>
    <row r="516" spans="1:10" x14ac:dyDescent="0.25">
      <c r="A516" t="s">
        <v>252</v>
      </c>
      <c r="B516" t="s">
        <v>5</v>
      </c>
      <c r="C516" s="82">
        <v>4612822504</v>
      </c>
      <c r="D516">
        <v>201605</v>
      </c>
      <c r="E516" s="1">
        <v>42489</v>
      </c>
      <c r="F516" s="1">
        <v>42521</v>
      </c>
      <c r="G516" t="s">
        <v>286</v>
      </c>
      <c r="H516" s="81">
        <v>5797</v>
      </c>
      <c r="I516" t="s">
        <v>6</v>
      </c>
      <c r="J516" s="3">
        <v>494.58</v>
      </c>
    </row>
    <row r="517" spans="1:10" x14ac:dyDescent="0.25">
      <c r="A517" t="s">
        <v>252</v>
      </c>
      <c r="B517" t="s">
        <v>5</v>
      </c>
      <c r="C517" s="82">
        <v>4612822504</v>
      </c>
      <c r="D517">
        <v>201606</v>
      </c>
      <c r="E517" s="1">
        <v>42521</v>
      </c>
      <c r="F517" s="1">
        <v>42549</v>
      </c>
      <c r="G517" t="s">
        <v>286</v>
      </c>
      <c r="H517" s="81">
        <v>5085</v>
      </c>
      <c r="I517" t="s">
        <v>6</v>
      </c>
      <c r="J517" s="3">
        <v>444.8</v>
      </c>
    </row>
    <row r="518" spans="1:10" x14ac:dyDescent="0.25">
      <c r="A518" t="s">
        <v>252</v>
      </c>
      <c r="B518" t="s">
        <v>5</v>
      </c>
      <c r="C518" s="82">
        <v>4628799126</v>
      </c>
      <c r="D518">
        <v>201507</v>
      </c>
      <c r="E518" s="1">
        <v>42179</v>
      </c>
      <c r="F518" s="1">
        <v>42212</v>
      </c>
      <c r="G518" t="s">
        <v>289</v>
      </c>
      <c r="H518" s="81">
        <v>480</v>
      </c>
      <c r="I518" t="s">
        <v>6</v>
      </c>
      <c r="J518" s="3">
        <v>53.13</v>
      </c>
    </row>
    <row r="519" spans="1:10" x14ac:dyDescent="0.25">
      <c r="A519" t="s">
        <v>252</v>
      </c>
      <c r="B519" t="s">
        <v>5</v>
      </c>
      <c r="C519" s="82">
        <v>4628799126</v>
      </c>
      <c r="D519">
        <v>201508</v>
      </c>
      <c r="E519" s="1">
        <v>42212</v>
      </c>
      <c r="F519" s="1">
        <v>42240</v>
      </c>
      <c r="G519" t="s">
        <v>289</v>
      </c>
      <c r="H519" s="81">
        <v>460</v>
      </c>
      <c r="I519" t="s">
        <v>6</v>
      </c>
      <c r="J519" s="3">
        <v>51.36</v>
      </c>
    </row>
    <row r="520" spans="1:10" x14ac:dyDescent="0.25">
      <c r="A520" t="s">
        <v>252</v>
      </c>
      <c r="B520" t="s">
        <v>5</v>
      </c>
      <c r="C520" s="82">
        <v>4628799126</v>
      </c>
      <c r="D520">
        <v>201509</v>
      </c>
      <c r="E520" s="1">
        <v>42240</v>
      </c>
      <c r="F520" s="1">
        <v>42271</v>
      </c>
      <c r="G520" t="s">
        <v>289</v>
      </c>
      <c r="H520" s="81">
        <v>1131</v>
      </c>
      <c r="I520" t="s">
        <v>6</v>
      </c>
      <c r="J520" s="3">
        <v>110.76</v>
      </c>
    </row>
    <row r="521" spans="1:10" x14ac:dyDescent="0.25">
      <c r="A521" t="s">
        <v>252</v>
      </c>
      <c r="B521" t="s">
        <v>5</v>
      </c>
      <c r="C521" s="82">
        <v>4628799126</v>
      </c>
      <c r="D521">
        <v>201510</v>
      </c>
      <c r="E521" s="1">
        <v>42271</v>
      </c>
      <c r="F521" s="1">
        <v>42299</v>
      </c>
      <c r="G521" t="s">
        <v>289</v>
      </c>
      <c r="H521" s="81">
        <v>971</v>
      </c>
      <c r="I521" t="s">
        <v>6</v>
      </c>
      <c r="J521" s="3">
        <v>96.33</v>
      </c>
    </row>
    <row r="522" spans="1:10" x14ac:dyDescent="0.25">
      <c r="A522" t="s">
        <v>252</v>
      </c>
      <c r="B522" t="s">
        <v>5</v>
      </c>
      <c r="C522" s="82">
        <v>4628799126</v>
      </c>
      <c r="D522">
        <v>201511</v>
      </c>
      <c r="E522" s="1">
        <v>42299</v>
      </c>
      <c r="F522" s="1">
        <v>42332</v>
      </c>
      <c r="G522" t="s">
        <v>289</v>
      </c>
      <c r="H522" s="81">
        <v>1140</v>
      </c>
      <c r="I522" t="s">
        <v>6</v>
      </c>
      <c r="J522" s="3">
        <v>111.32</v>
      </c>
    </row>
    <row r="523" spans="1:10" x14ac:dyDescent="0.25">
      <c r="A523" t="s">
        <v>252</v>
      </c>
      <c r="B523" t="s">
        <v>5</v>
      </c>
      <c r="C523" s="82">
        <v>4628799126</v>
      </c>
      <c r="D523">
        <v>201512</v>
      </c>
      <c r="E523" s="1">
        <v>42332</v>
      </c>
      <c r="F523" s="1">
        <v>42361</v>
      </c>
      <c r="G523" t="s">
        <v>289</v>
      </c>
      <c r="H523" s="81">
        <v>1099</v>
      </c>
      <c r="I523" t="s">
        <v>6</v>
      </c>
      <c r="J523" s="3">
        <v>107.67</v>
      </c>
    </row>
    <row r="524" spans="1:10" x14ac:dyDescent="0.25">
      <c r="A524" t="s">
        <v>252</v>
      </c>
      <c r="B524" t="s">
        <v>5</v>
      </c>
      <c r="C524" s="82">
        <v>4628799126</v>
      </c>
      <c r="D524">
        <v>201601</v>
      </c>
      <c r="E524" s="1">
        <v>42361</v>
      </c>
      <c r="F524" s="1">
        <v>42395</v>
      </c>
      <c r="G524" t="s">
        <v>289</v>
      </c>
      <c r="H524" s="81">
        <v>1766</v>
      </c>
      <c r="I524" t="s">
        <v>6</v>
      </c>
      <c r="J524" s="3">
        <v>166.69</v>
      </c>
    </row>
    <row r="525" spans="1:10" x14ac:dyDescent="0.25">
      <c r="A525" t="s">
        <v>252</v>
      </c>
      <c r="B525" t="s">
        <v>5</v>
      </c>
      <c r="C525" s="82">
        <v>4628799126</v>
      </c>
      <c r="D525">
        <v>201602</v>
      </c>
      <c r="E525" s="1">
        <v>42395</v>
      </c>
      <c r="F525" s="1">
        <v>42424</v>
      </c>
      <c r="G525" t="s">
        <v>289</v>
      </c>
      <c r="H525" s="81">
        <v>1568</v>
      </c>
      <c r="I525" t="s">
        <v>6</v>
      </c>
      <c r="J525" s="3">
        <v>149.09</v>
      </c>
    </row>
    <row r="526" spans="1:10" x14ac:dyDescent="0.25">
      <c r="A526" t="s">
        <v>252</v>
      </c>
      <c r="B526" t="s">
        <v>5</v>
      </c>
      <c r="C526" s="82">
        <v>4628799126</v>
      </c>
      <c r="D526">
        <v>201603</v>
      </c>
      <c r="E526" s="1">
        <v>42424</v>
      </c>
      <c r="F526" s="1">
        <v>42453</v>
      </c>
      <c r="G526" t="s">
        <v>289</v>
      </c>
      <c r="H526" s="81">
        <v>1235</v>
      </c>
      <c r="I526" t="s">
        <v>6</v>
      </c>
      <c r="J526" s="3">
        <v>119.59</v>
      </c>
    </row>
    <row r="527" spans="1:10" x14ac:dyDescent="0.25">
      <c r="A527" t="s">
        <v>252</v>
      </c>
      <c r="B527" t="s">
        <v>5</v>
      </c>
      <c r="C527" s="82">
        <v>4628799126</v>
      </c>
      <c r="D527">
        <v>201604</v>
      </c>
      <c r="E527" s="1">
        <v>42453</v>
      </c>
      <c r="F527" s="1">
        <v>42487</v>
      </c>
      <c r="G527" t="s">
        <v>289</v>
      </c>
      <c r="H527" s="81">
        <v>1265</v>
      </c>
      <c r="I527" t="s">
        <v>6</v>
      </c>
      <c r="J527" s="3">
        <v>122.56</v>
      </c>
    </row>
    <row r="528" spans="1:10" x14ac:dyDescent="0.25">
      <c r="A528" t="s">
        <v>252</v>
      </c>
      <c r="B528" t="s">
        <v>5</v>
      </c>
      <c r="C528" s="82">
        <v>4628799126</v>
      </c>
      <c r="D528">
        <v>201605</v>
      </c>
      <c r="E528" s="1">
        <v>42487</v>
      </c>
      <c r="F528" s="1">
        <v>42514</v>
      </c>
      <c r="G528" t="s">
        <v>289</v>
      </c>
      <c r="H528" s="81">
        <v>676</v>
      </c>
      <c r="I528" t="s">
        <v>6</v>
      </c>
      <c r="J528" s="3">
        <v>70.67</v>
      </c>
    </row>
    <row r="529" spans="1:10" x14ac:dyDescent="0.25">
      <c r="A529" t="s">
        <v>252</v>
      </c>
      <c r="B529" t="s">
        <v>5</v>
      </c>
      <c r="C529" s="82">
        <v>4628799126</v>
      </c>
      <c r="D529">
        <v>201606</v>
      </c>
      <c r="E529" s="1">
        <v>42514</v>
      </c>
      <c r="F529" s="1">
        <v>42544</v>
      </c>
      <c r="G529" t="s">
        <v>289</v>
      </c>
      <c r="H529" s="81">
        <v>844</v>
      </c>
      <c r="I529" t="s">
        <v>6</v>
      </c>
      <c r="J529" s="3">
        <v>85.79</v>
      </c>
    </row>
    <row r="530" spans="1:10" x14ac:dyDescent="0.25">
      <c r="A530" t="s">
        <v>254</v>
      </c>
      <c r="B530" t="s">
        <v>5</v>
      </c>
      <c r="C530" s="82">
        <v>4635790761</v>
      </c>
      <c r="D530">
        <v>201507</v>
      </c>
      <c r="E530" s="1">
        <v>42185</v>
      </c>
      <c r="F530" s="1">
        <v>42216</v>
      </c>
      <c r="G530" t="s">
        <v>255</v>
      </c>
      <c r="H530" s="81">
        <v>541</v>
      </c>
      <c r="I530" t="s">
        <v>6</v>
      </c>
      <c r="J530" s="3">
        <v>58.62</v>
      </c>
    </row>
    <row r="531" spans="1:10" x14ac:dyDescent="0.25">
      <c r="A531" t="s">
        <v>254</v>
      </c>
      <c r="B531" t="s">
        <v>5</v>
      </c>
      <c r="C531" s="82">
        <v>4635790761</v>
      </c>
      <c r="D531">
        <v>201508</v>
      </c>
      <c r="E531" s="1">
        <v>42216</v>
      </c>
      <c r="F531" s="1">
        <v>42243</v>
      </c>
      <c r="G531" t="s">
        <v>255</v>
      </c>
      <c r="H531" s="81">
        <v>499</v>
      </c>
      <c r="I531" t="s">
        <v>6</v>
      </c>
      <c r="J531" s="3">
        <v>54.81</v>
      </c>
    </row>
    <row r="532" spans="1:10" x14ac:dyDescent="0.25">
      <c r="A532" t="s">
        <v>254</v>
      </c>
      <c r="B532" t="s">
        <v>5</v>
      </c>
      <c r="C532" s="82">
        <v>4635790761</v>
      </c>
      <c r="D532">
        <v>201509</v>
      </c>
      <c r="E532" s="1">
        <v>42243</v>
      </c>
      <c r="F532" s="1">
        <v>42275</v>
      </c>
      <c r="G532" t="s">
        <v>255</v>
      </c>
      <c r="H532" s="81">
        <v>913</v>
      </c>
      <c r="I532" t="s">
        <v>6</v>
      </c>
      <c r="J532" s="3">
        <v>91.28</v>
      </c>
    </row>
    <row r="533" spans="1:10" x14ac:dyDescent="0.25">
      <c r="A533" t="s">
        <v>254</v>
      </c>
      <c r="B533" t="s">
        <v>5</v>
      </c>
      <c r="C533" s="82">
        <v>4635790761</v>
      </c>
      <c r="D533">
        <v>201510</v>
      </c>
      <c r="E533" s="1">
        <v>42275</v>
      </c>
      <c r="F533" s="1">
        <v>42305</v>
      </c>
      <c r="G533" t="s">
        <v>255</v>
      </c>
      <c r="H533" s="81">
        <v>749</v>
      </c>
      <c r="I533" t="s">
        <v>6</v>
      </c>
      <c r="J533" s="3">
        <v>76.59</v>
      </c>
    </row>
    <row r="534" spans="1:10" x14ac:dyDescent="0.25">
      <c r="A534" t="s">
        <v>254</v>
      </c>
      <c r="B534" t="s">
        <v>5</v>
      </c>
      <c r="C534" s="82">
        <v>4635790761</v>
      </c>
      <c r="D534">
        <v>201511</v>
      </c>
      <c r="E534" s="1">
        <v>42305</v>
      </c>
      <c r="F534" s="1">
        <v>42340</v>
      </c>
      <c r="G534" t="s">
        <v>255</v>
      </c>
      <c r="H534" s="81">
        <v>711</v>
      </c>
      <c r="I534" t="s">
        <v>6</v>
      </c>
      <c r="J534" s="3">
        <v>73.23</v>
      </c>
    </row>
    <row r="535" spans="1:10" x14ac:dyDescent="0.25">
      <c r="A535" t="s">
        <v>254</v>
      </c>
      <c r="B535" t="s">
        <v>5</v>
      </c>
      <c r="C535" s="82">
        <v>4635790761</v>
      </c>
      <c r="D535">
        <v>201512</v>
      </c>
      <c r="E535" s="1">
        <v>42340</v>
      </c>
      <c r="F535" s="1">
        <v>42369</v>
      </c>
      <c r="G535" t="s">
        <v>255</v>
      </c>
      <c r="H535" s="81">
        <v>551</v>
      </c>
      <c r="I535" t="s">
        <v>6</v>
      </c>
      <c r="J535" s="3">
        <v>59.04</v>
      </c>
    </row>
    <row r="536" spans="1:10" x14ac:dyDescent="0.25">
      <c r="A536" t="s">
        <v>254</v>
      </c>
      <c r="B536" t="s">
        <v>5</v>
      </c>
      <c r="C536" s="82">
        <v>4635790761</v>
      </c>
      <c r="D536">
        <v>201601</v>
      </c>
      <c r="E536" s="1">
        <v>42369</v>
      </c>
      <c r="F536" s="1">
        <v>42402</v>
      </c>
      <c r="G536" t="s">
        <v>255</v>
      </c>
      <c r="H536" s="81">
        <v>730</v>
      </c>
      <c r="I536" t="s">
        <v>6</v>
      </c>
      <c r="J536" s="3">
        <v>74.819999999999993</v>
      </c>
    </row>
    <row r="537" spans="1:10" x14ac:dyDescent="0.25">
      <c r="A537" t="s">
        <v>254</v>
      </c>
      <c r="B537" t="s">
        <v>5</v>
      </c>
      <c r="C537" s="82">
        <v>4635790761</v>
      </c>
      <c r="D537">
        <v>201602</v>
      </c>
      <c r="E537" s="1">
        <v>42402</v>
      </c>
      <c r="F537" s="1">
        <v>42429</v>
      </c>
      <c r="G537" t="s">
        <v>255</v>
      </c>
      <c r="H537" s="81">
        <v>922</v>
      </c>
      <c r="I537" t="s">
        <v>6</v>
      </c>
      <c r="J537" s="3">
        <v>91.83</v>
      </c>
    </row>
    <row r="538" spans="1:10" x14ac:dyDescent="0.25">
      <c r="A538" t="s">
        <v>254</v>
      </c>
      <c r="B538" t="s">
        <v>5</v>
      </c>
      <c r="C538" s="82">
        <v>4635790761</v>
      </c>
      <c r="D538">
        <v>201603</v>
      </c>
      <c r="E538" s="1">
        <v>42429</v>
      </c>
      <c r="F538" s="1">
        <v>42460</v>
      </c>
      <c r="G538" t="s">
        <v>255</v>
      </c>
      <c r="H538" s="81">
        <v>827</v>
      </c>
      <c r="I538" t="s">
        <v>6</v>
      </c>
      <c r="J538" s="3">
        <v>83.41</v>
      </c>
    </row>
    <row r="539" spans="1:10" x14ac:dyDescent="0.25">
      <c r="A539" t="s">
        <v>254</v>
      </c>
      <c r="B539" t="s">
        <v>5</v>
      </c>
      <c r="C539" s="82">
        <v>4635790761</v>
      </c>
      <c r="D539">
        <v>201604</v>
      </c>
      <c r="E539" s="1">
        <v>42460</v>
      </c>
      <c r="F539" s="1">
        <v>42489</v>
      </c>
      <c r="G539" t="s">
        <v>255</v>
      </c>
      <c r="H539" s="81">
        <v>847</v>
      </c>
      <c r="I539" t="s">
        <v>6</v>
      </c>
      <c r="J539" s="3">
        <v>85.48</v>
      </c>
    </row>
    <row r="540" spans="1:10" x14ac:dyDescent="0.25">
      <c r="A540" t="s">
        <v>254</v>
      </c>
      <c r="B540" t="s">
        <v>5</v>
      </c>
      <c r="C540" s="82">
        <v>4635790761</v>
      </c>
      <c r="D540">
        <v>201605</v>
      </c>
      <c r="E540" s="1">
        <v>42489</v>
      </c>
      <c r="F540" s="1">
        <v>42521</v>
      </c>
      <c r="G540" t="s">
        <v>255</v>
      </c>
      <c r="H540" s="81">
        <v>476</v>
      </c>
      <c r="I540" t="s">
        <v>6</v>
      </c>
      <c r="J540" s="3">
        <v>52.78</v>
      </c>
    </row>
    <row r="541" spans="1:10" x14ac:dyDescent="0.25">
      <c r="A541" t="s">
        <v>254</v>
      </c>
      <c r="B541" t="s">
        <v>5</v>
      </c>
      <c r="C541" s="82">
        <v>4635790761</v>
      </c>
      <c r="D541">
        <v>201606</v>
      </c>
      <c r="E541" s="1">
        <v>42521</v>
      </c>
      <c r="F541" s="1">
        <v>42549</v>
      </c>
      <c r="G541" t="s">
        <v>255</v>
      </c>
      <c r="H541" s="81">
        <v>97</v>
      </c>
      <c r="I541" t="s">
        <v>6</v>
      </c>
      <c r="J541" s="3">
        <v>18.829999999999998</v>
      </c>
    </row>
    <row r="542" spans="1:10" x14ac:dyDescent="0.25">
      <c r="A542" t="s">
        <v>254</v>
      </c>
      <c r="B542" t="s">
        <v>5</v>
      </c>
      <c r="C542" s="82">
        <v>4642765004</v>
      </c>
      <c r="D542">
        <v>201507</v>
      </c>
      <c r="E542" s="1">
        <v>42185</v>
      </c>
      <c r="F542" s="1">
        <v>42216</v>
      </c>
      <c r="G542" t="s">
        <v>259</v>
      </c>
      <c r="H542" s="81">
        <v>265</v>
      </c>
      <c r="I542" t="s">
        <v>6</v>
      </c>
      <c r="J542" s="3">
        <v>33.880000000000003</v>
      </c>
    </row>
    <row r="543" spans="1:10" x14ac:dyDescent="0.25">
      <c r="A543" t="s">
        <v>254</v>
      </c>
      <c r="B543" t="s">
        <v>5</v>
      </c>
      <c r="C543" s="82">
        <v>4642765004</v>
      </c>
      <c r="D543">
        <v>201508</v>
      </c>
      <c r="E543" s="1">
        <v>42216</v>
      </c>
      <c r="F543" s="1">
        <v>42243</v>
      </c>
      <c r="G543" t="s">
        <v>259</v>
      </c>
      <c r="H543" s="81">
        <v>165</v>
      </c>
      <c r="I543" t="s">
        <v>6</v>
      </c>
      <c r="J543" s="3">
        <v>24.9</v>
      </c>
    </row>
    <row r="544" spans="1:10" x14ac:dyDescent="0.25">
      <c r="A544" t="s">
        <v>254</v>
      </c>
      <c r="B544" t="s">
        <v>5</v>
      </c>
      <c r="C544" s="82">
        <v>4642765004</v>
      </c>
      <c r="D544">
        <v>201509</v>
      </c>
      <c r="E544" s="1">
        <v>42243</v>
      </c>
      <c r="F544" s="1">
        <v>42275</v>
      </c>
      <c r="G544" t="s">
        <v>259</v>
      </c>
      <c r="H544" s="81">
        <v>700</v>
      </c>
      <c r="I544" t="s">
        <v>6</v>
      </c>
      <c r="J544" s="3">
        <v>72.36</v>
      </c>
    </row>
    <row r="545" spans="1:10" x14ac:dyDescent="0.25">
      <c r="A545" t="s">
        <v>254</v>
      </c>
      <c r="B545" t="s">
        <v>5</v>
      </c>
      <c r="C545" s="82">
        <v>4642765004</v>
      </c>
      <c r="D545">
        <v>201510</v>
      </c>
      <c r="E545" s="1">
        <v>42275</v>
      </c>
      <c r="F545" s="1">
        <v>42305</v>
      </c>
      <c r="G545" t="s">
        <v>259</v>
      </c>
      <c r="H545" s="81">
        <v>814</v>
      </c>
      <c r="I545" t="s">
        <v>6</v>
      </c>
      <c r="J545" s="3">
        <v>82.38</v>
      </c>
    </row>
    <row r="546" spans="1:10" x14ac:dyDescent="0.25">
      <c r="A546" t="s">
        <v>254</v>
      </c>
      <c r="B546" t="s">
        <v>5</v>
      </c>
      <c r="C546" s="82">
        <v>4642765004</v>
      </c>
      <c r="D546">
        <v>201511</v>
      </c>
      <c r="E546" s="1">
        <v>42305</v>
      </c>
      <c r="F546" s="1">
        <v>42340</v>
      </c>
      <c r="G546" t="s">
        <v>259</v>
      </c>
      <c r="H546" s="81">
        <v>1137</v>
      </c>
      <c r="I546" t="s">
        <v>6</v>
      </c>
      <c r="J546" s="3">
        <v>111.05</v>
      </c>
    </row>
    <row r="547" spans="1:10" x14ac:dyDescent="0.25">
      <c r="A547" t="s">
        <v>254</v>
      </c>
      <c r="B547" t="s">
        <v>5</v>
      </c>
      <c r="C547" s="82">
        <v>4642765004</v>
      </c>
      <c r="D547">
        <v>201512</v>
      </c>
      <c r="E547" s="1">
        <v>42340</v>
      </c>
      <c r="F547" s="1">
        <v>42369</v>
      </c>
      <c r="G547" t="s">
        <v>259</v>
      </c>
      <c r="H547" s="81">
        <v>840</v>
      </c>
      <c r="I547" t="s">
        <v>6</v>
      </c>
      <c r="J547" s="3">
        <v>84.69</v>
      </c>
    </row>
    <row r="548" spans="1:10" x14ac:dyDescent="0.25">
      <c r="A548" t="s">
        <v>254</v>
      </c>
      <c r="B548" t="s">
        <v>5</v>
      </c>
      <c r="C548" s="82">
        <v>4642765004</v>
      </c>
      <c r="D548">
        <v>201601</v>
      </c>
      <c r="E548" s="1">
        <v>42369</v>
      </c>
      <c r="F548" s="1">
        <v>42402</v>
      </c>
      <c r="G548" t="s">
        <v>259</v>
      </c>
      <c r="H548" s="81">
        <v>2106</v>
      </c>
      <c r="I548" t="s">
        <v>6</v>
      </c>
      <c r="J548" s="3">
        <v>196.78</v>
      </c>
    </row>
    <row r="549" spans="1:10" x14ac:dyDescent="0.25">
      <c r="A549" t="s">
        <v>254</v>
      </c>
      <c r="B549" t="s">
        <v>5</v>
      </c>
      <c r="C549" s="82">
        <v>4642765004</v>
      </c>
      <c r="D549">
        <v>201602</v>
      </c>
      <c r="E549" s="1">
        <v>42402</v>
      </c>
      <c r="F549" s="1">
        <v>42429</v>
      </c>
      <c r="G549" t="s">
        <v>259</v>
      </c>
      <c r="H549" s="81">
        <v>2549</v>
      </c>
      <c r="I549" t="s">
        <v>6</v>
      </c>
      <c r="J549" s="3">
        <v>236.05</v>
      </c>
    </row>
    <row r="550" spans="1:10" x14ac:dyDescent="0.25">
      <c r="A550" t="s">
        <v>254</v>
      </c>
      <c r="B550" t="s">
        <v>5</v>
      </c>
      <c r="C550" s="82">
        <v>4642765004</v>
      </c>
      <c r="D550">
        <v>201603</v>
      </c>
      <c r="E550" s="1">
        <v>42429</v>
      </c>
      <c r="F550" s="1">
        <v>42460</v>
      </c>
      <c r="G550" t="s">
        <v>259</v>
      </c>
      <c r="H550" s="81">
        <v>1819</v>
      </c>
      <c r="I550" t="s">
        <v>6</v>
      </c>
      <c r="J550" s="3">
        <v>171.36</v>
      </c>
    </row>
    <row r="551" spans="1:10" x14ac:dyDescent="0.25">
      <c r="A551" t="s">
        <v>254</v>
      </c>
      <c r="B551" t="s">
        <v>5</v>
      </c>
      <c r="C551" s="82">
        <v>4642765004</v>
      </c>
      <c r="D551">
        <v>201604</v>
      </c>
      <c r="E551" s="1">
        <v>42460</v>
      </c>
      <c r="F551" s="1">
        <v>42489</v>
      </c>
      <c r="G551" t="s">
        <v>259</v>
      </c>
      <c r="H551" s="81">
        <v>1336</v>
      </c>
      <c r="I551" t="s">
        <v>6</v>
      </c>
      <c r="J551" s="3">
        <v>128.94999999999999</v>
      </c>
    </row>
    <row r="552" spans="1:10" x14ac:dyDescent="0.25">
      <c r="A552" t="s">
        <v>254</v>
      </c>
      <c r="B552" t="s">
        <v>5</v>
      </c>
      <c r="C552" s="82">
        <v>4642765004</v>
      </c>
      <c r="D552">
        <v>201605</v>
      </c>
      <c r="E552" s="1">
        <v>42489</v>
      </c>
      <c r="F552" s="1">
        <v>42521</v>
      </c>
      <c r="G552" t="s">
        <v>259</v>
      </c>
      <c r="H552" s="81">
        <v>791</v>
      </c>
      <c r="I552" t="s">
        <v>6</v>
      </c>
      <c r="J552" s="3">
        <v>81.010000000000005</v>
      </c>
    </row>
    <row r="553" spans="1:10" x14ac:dyDescent="0.25">
      <c r="A553" t="s">
        <v>254</v>
      </c>
      <c r="B553" t="s">
        <v>5</v>
      </c>
      <c r="C553" s="82">
        <v>4642765004</v>
      </c>
      <c r="D553">
        <v>201606</v>
      </c>
      <c r="E553" s="1">
        <v>42521</v>
      </c>
      <c r="F553" s="1">
        <v>42549</v>
      </c>
      <c r="G553" t="s">
        <v>259</v>
      </c>
      <c r="H553" s="81">
        <v>206</v>
      </c>
      <c r="I553" t="s">
        <v>6</v>
      </c>
      <c r="J553" s="3">
        <v>28.59</v>
      </c>
    </row>
    <row r="554" spans="1:10" x14ac:dyDescent="0.25">
      <c r="A554" t="s">
        <v>254</v>
      </c>
      <c r="B554" t="s">
        <v>5</v>
      </c>
      <c r="C554" s="82">
        <v>4651790745</v>
      </c>
      <c r="D554">
        <v>201507</v>
      </c>
      <c r="E554" s="1">
        <v>42185</v>
      </c>
      <c r="F554" s="1">
        <v>42216</v>
      </c>
      <c r="G554" t="s">
        <v>262</v>
      </c>
      <c r="H554" s="81">
        <v>528</v>
      </c>
      <c r="I554" t="s">
        <v>6</v>
      </c>
      <c r="J554" s="3">
        <v>57.45</v>
      </c>
    </row>
    <row r="555" spans="1:10" x14ac:dyDescent="0.25">
      <c r="A555" t="s">
        <v>254</v>
      </c>
      <c r="B555" t="s">
        <v>5</v>
      </c>
      <c r="C555" s="82">
        <v>4651790745</v>
      </c>
      <c r="D555">
        <v>201508</v>
      </c>
      <c r="E555" s="1">
        <v>42216</v>
      </c>
      <c r="F555" s="1">
        <v>42243</v>
      </c>
      <c r="G555" t="s">
        <v>262</v>
      </c>
      <c r="H555" s="81">
        <v>366</v>
      </c>
      <c r="I555" t="s">
        <v>6</v>
      </c>
      <c r="J555" s="3">
        <v>42.94</v>
      </c>
    </row>
    <row r="556" spans="1:10" x14ac:dyDescent="0.25">
      <c r="A556" t="s">
        <v>254</v>
      </c>
      <c r="B556" t="s">
        <v>5</v>
      </c>
      <c r="C556" s="82">
        <v>4651790745</v>
      </c>
      <c r="D556">
        <v>201509</v>
      </c>
      <c r="E556" s="1">
        <v>42243</v>
      </c>
      <c r="F556" s="1">
        <v>42275</v>
      </c>
      <c r="G556" t="s">
        <v>262</v>
      </c>
      <c r="H556" s="81">
        <v>1000</v>
      </c>
      <c r="I556" t="s">
        <v>6</v>
      </c>
      <c r="J556" s="3">
        <v>99</v>
      </c>
    </row>
    <row r="557" spans="1:10" x14ac:dyDescent="0.25">
      <c r="A557" t="s">
        <v>254</v>
      </c>
      <c r="B557" t="s">
        <v>5</v>
      </c>
      <c r="C557" s="82">
        <v>4651790745</v>
      </c>
      <c r="D557">
        <v>201510</v>
      </c>
      <c r="E557" s="1">
        <v>42275</v>
      </c>
      <c r="F557" s="1">
        <v>42305</v>
      </c>
      <c r="G557" t="s">
        <v>262</v>
      </c>
      <c r="H557" s="81">
        <v>832</v>
      </c>
      <c r="I557" t="s">
        <v>6</v>
      </c>
      <c r="J557" s="3">
        <v>83.98</v>
      </c>
    </row>
    <row r="558" spans="1:10" x14ac:dyDescent="0.25">
      <c r="A558" t="s">
        <v>254</v>
      </c>
      <c r="B558" t="s">
        <v>5</v>
      </c>
      <c r="C558" s="82">
        <v>4651790745</v>
      </c>
      <c r="D558">
        <v>201511</v>
      </c>
      <c r="E558" s="1">
        <v>42305</v>
      </c>
      <c r="F558" s="1">
        <v>42340</v>
      </c>
      <c r="G558" t="s">
        <v>262</v>
      </c>
      <c r="H558" s="81">
        <v>916</v>
      </c>
      <c r="I558" t="s">
        <v>6</v>
      </c>
      <c r="J558" s="3">
        <v>91.43</v>
      </c>
    </row>
    <row r="559" spans="1:10" x14ac:dyDescent="0.25">
      <c r="A559" t="s">
        <v>254</v>
      </c>
      <c r="B559" t="s">
        <v>5</v>
      </c>
      <c r="C559" s="82">
        <v>4651790745</v>
      </c>
      <c r="D559">
        <v>201512</v>
      </c>
      <c r="E559" s="1">
        <v>42340</v>
      </c>
      <c r="F559" s="1">
        <v>42369</v>
      </c>
      <c r="G559" t="s">
        <v>262</v>
      </c>
      <c r="H559" s="81">
        <v>858</v>
      </c>
      <c r="I559" t="s">
        <v>6</v>
      </c>
      <c r="J559" s="3">
        <v>86.28</v>
      </c>
    </row>
    <row r="560" spans="1:10" x14ac:dyDescent="0.25">
      <c r="A560" t="s">
        <v>254</v>
      </c>
      <c r="B560" t="s">
        <v>5</v>
      </c>
      <c r="C560" s="82">
        <v>4651790745</v>
      </c>
      <c r="D560">
        <v>201601</v>
      </c>
      <c r="E560" s="1">
        <v>42369</v>
      </c>
      <c r="F560" s="1">
        <v>42402</v>
      </c>
      <c r="G560" t="s">
        <v>262</v>
      </c>
      <c r="H560" s="81">
        <v>1614</v>
      </c>
      <c r="I560" t="s">
        <v>6</v>
      </c>
      <c r="J560" s="3">
        <v>153.19</v>
      </c>
    </row>
    <row r="561" spans="1:10" x14ac:dyDescent="0.25">
      <c r="A561" t="s">
        <v>254</v>
      </c>
      <c r="B561" t="s">
        <v>5</v>
      </c>
      <c r="C561" s="82">
        <v>4651790745</v>
      </c>
      <c r="D561">
        <v>201602</v>
      </c>
      <c r="E561" s="1">
        <v>42402</v>
      </c>
      <c r="F561" s="1">
        <v>42429</v>
      </c>
      <c r="G561" t="s">
        <v>262</v>
      </c>
      <c r="H561" s="81">
        <v>1186</v>
      </c>
      <c r="I561" t="s">
        <v>6</v>
      </c>
      <c r="J561" s="3">
        <v>115.25</v>
      </c>
    </row>
    <row r="562" spans="1:10" x14ac:dyDescent="0.25">
      <c r="A562" t="s">
        <v>254</v>
      </c>
      <c r="B562" t="s">
        <v>5</v>
      </c>
      <c r="C562" s="82">
        <v>4651790745</v>
      </c>
      <c r="D562">
        <v>201603</v>
      </c>
      <c r="E562" s="1">
        <v>42429</v>
      </c>
      <c r="F562" s="1">
        <v>42460</v>
      </c>
      <c r="G562" t="s">
        <v>262</v>
      </c>
      <c r="H562" s="81">
        <v>1164</v>
      </c>
      <c r="I562" t="s">
        <v>6</v>
      </c>
      <c r="J562" s="3">
        <v>113.31</v>
      </c>
    </row>
    <row r="563" spans="1:10" x14ac:dyDescent="0.25">
      <c r="A563" t="s">
        <v>254</v>
      </c>
      <c r="B563" t="s">
        <v>5</v>
      </c>
      <c r="C563" s="82">
        <v>4651790745</v>
      </c>
      <c r="D563">
        <v>201604</v>
      </c>
      <c r="E563" s="1">
        <v>42460</v>
      </c>
      <c r="F563" s="1">
        <v>42489</v>
      </c>
      <c r="G563" t="s">
        <v>262</v>
      </c>
      <c r="H563" s="81">
        <v>1176</v>
      </c>
      <c r="I563" t="s">
        <v>6</v>
      </c>
      <c r="J563" s="3">
        <v>114.73</v>
      </c>
    </row>
    <row r="564" spans="1:10" x14ac:dyDescent="0.25">
      <c r="A564" t="s">
        <v>254</v>
      </c>
      <c r="B564" t="s">
        <v>5</v>
      </c>
      <c r="C564" s="82">
        <v>4651790745</v>
      </c>
      <c r="D564">
        <v>201605</v>
      </c>
      <c r="E564" s="1">
        <v>42489</v>
      </c>
      <c r="F564" s="1">
        <v>42521</v>
      </c>
      <c r="G564" t="s">
        <v>262</v>
      </c>
      <c r="H564" s="81">
        <v>602</v>
      </c>
      <c r="I564" t="s">
        <v>6</v>
      </c>
      <c r="J564" s="3">
        <v>64.069999999999993</v>
      </c>
    </row>
    <row r="565" spans="1:10" x14ac:dyDescent="0.25">
      <c r="A565" t="s">
        <v>254</v>
      </c>
      <c r="B565" t="s">
        <v>5</v>
      </c>
      <c r="C565" s="82">
        <v>4651790745</v>
      </c>
      <c r="D565">
        <v>201606</v>
      </c>
      <c r="E565" s="1">
        <v>42521</v>
      </c>
      <c r="F565" s="1">
        <v>42549</v>
      </c>
      <c r="G565" t="s">
        <v>262</v>
      </c>
      <c r="H565" s="81">
        <v>239</v>
      </c>
      <c r="I565" t="s">
        <v>6</v>
      </c>
      <c r="J565" s="3">
        <v>31.57</v>
      </c>
    </row>
    <row r="566" spans="1:10" x14ac:dyDescent="0.25">
      <c r="A566" t="s">
        <v>254</v>
      </c>
      <c r="B566" t="s">
        <v>5</v>
      </c>
      <c r="C566" s="82">
        <v>4669226732</v>
      </c>
      <c r="D566">
        <v>201507</v>
      </c>
      <c r="E566" s="1">
        <v>42185</v>
      </c>
      <c r="F566" s="1">
        <v>42216</v>
      </c>
      <c r="G566" t="s">
        <v>265</v>
      </c>
      <c r="H566" s="81">
        <v>403</v>
      </c>
      <c r="I566" t="s">
        <v>6</v>
      </c>
      <c r="J566" s="3">
        <v>46.28</v>
      </c>
    </row>
    <row r="567" spans="1:10" x14ac:dyDescent="0.25">
      <c r="A567" t="s">
        <v>254</v>
      </c>
      <c r="B567" t="s">
        <v>5</v>
      </c>
      <c r="C567" s="82">
        <v>4669226732</v>
      </c>
      <c r="D567">
        <v>201508</v>
      </c>
      <c r="E567" s="1">
        <v>42216</v>
      </c>
      <c r="F567" s="1">
        <v>42243</v>
      </c>
      <c r="G567" t="s">
        <v>265</v>
      </c>
      <c r="H567" s="81">
        <v>299</v>
      </c>
      <c r="I567" t="s">
        <v>6</v>
      </c>
      <c r="J567" s="3">
        <v>36.92</v>
      </c>
    </row>
    <row r="568" spans="1:10" x14ac:dyDescent="0.25">
      <c r="A568" t="s">
        <v>254</v>
      </c>
      <c r="B568" t="s">
        <v>5</v>
      </c>
      <c r="C568" s="82">
        <v>4669226732</v>
      </c>
      <c r="D568">
        <v>201509</v>
      </c>
      <c r="E568" s="1">
        <v>42243</v>
      </c>
      <c r="F568" s="1">
        <v>42275</v>
      </c>
      <c r="G568" t="s">
        <v>265</v>
      </c>
      <c r="H568" s="81">
        <v>715</v>
      </c>
      <c r="I568" t="s">
        <v>6</v>
      </c>
      <c r="J568" s="3">
        <v>73.680000000000007</v>
      </c>
    </row>
    <row r="569" spans="1:10" x14ac:dyDescent="0.25">
      <c r="A569" t="s">
        <v>254</v>
      </c>
      <c r="B569" t="s">
        <v>5</v>
      </c>
      <c r="C569" s="82">
        <v>4669226732</v>
      </c>
      <c r="D569">
        <v>201510</v>
      </c>
      <c r="E569" s="1">
        <v>42275</v>
      </c>
      <c r="F569" s="1">
        <v>42305</v>
      </c>
      <c r="G569" t="s">
        <v>265</v>
      </c>
      <c r="H569" s="81">
        <v>718</v>
      </c>
      <c r="I569" t="s">
        <v>6</v>
      </c>
      <c r="J569" s="3">
        <v>73.849999999999994</v>
      </c>
    </row>
    <row r="570" spans="1:10" x14ac:dyDescent="0.25">
      <c r="A570" t="s">
        <v>254</v>
      </c>
      <c r="B570" t="s">
        <v>5</v>
      </c>
      <c r="C570" s="82">
        <v>4669226732</v>
      </c>
      <c r="D570">
        <v>201511</v>
      </c>
      <c r="E570" s="1">
        <v>42305</v>
      </c>
      <c r="F570" s="1">
        <v>42340</v>
      </c>
      <c r="G570" t="s">
        <v>265</v>
      </c>
      <c r="H570" s="81">
        <v>884</v>
      </c>
      <c r="I570" t="s">
        <v>6</v>
      </c>
      <c r="J570" s="3">
        <v>88.59</v>
      </c>
    </row>
    <row r="571" spans="1:10" x14ac:dyDescent="0.25">
      <c r="A571" t="s">
        <v>254</v>
      </c>
      <c r="B571" t="s">
        <v>5</v>
      </c>
      <c r="C571" s="82">
        <v>4669226732</v>
      </c>
      <c r="D571">
        <v>201512</v>
      </c>
      <c r="E571" s="1">
        <v>42340</v>
      </c>
      <c r="F571" s="1">
        <v>42369</v>
      </c>
      <c r="G571" t="s">
        <v>265</v>
      </c>
      <c r="H571" s="81">
        <v>797</v>
      </c>
      <c r="I571" t="s">
        <v>6</v>
      </c>
      <c r="J571" s="3">
        <v>80.88</v>
      </c>
    </row>
    <row r="572" spans="1:10" x14ac:dyDescent="0.25">
      <c r="A572" t="s">
        <v>254</v>
      </c>
      <c r="B572" t="s">
        <v>5</v>
      </c>
      <c r="C572" s="82">
        <v>4669226732</v>
      </c>
      <c r="D572">
        <v>201601</v>
      </c>
      <c r="E572" s="1">
        <v>42369</v>
      </c>
      <c r="F572" s="1">
        <v>42402</v>
      </c>
      <c r="G572" t="s">
        <v>265</v>
      </c>
      <c r="H572" s="81">
        <v>1188</v>
      </c>
      <c r="I572" t="s">
        <v>6</v>
      </c>
      <c r="J572" s="3">
        <v>115.42</v>
      </c>
    </row>
    <row r="573" spans="1:10" x14ac:dyDescent="0.25">
      <c r="A573" t="s">
        <v>254</v>
      </c>
      <c r="B573" t="s">
        <v>5</v>
      </c>
      <c r="C573" s="82">
        <v>4669226732</v>
      </c>
      <c r="D573">
        <v>201602</v>
      </c>
      <c r="E573" s="1">
        <v>42402</v>
      </c>
      <c r="F573" s="1">
        <v>42429</v>
      </c>
      <c r="G573" t="s">
        <v>265</v>
      </c>
      <c r="H573" s="81">
        <v>948</v>
      </c>
      <c r="I573" t="s">
        <v>6</v>
      </c>
      <c r="J573" s="3">
        <v>94.16</v>
      </c>
    </row>
    <row r="574" spans="1:10" x14ac:dyDescent="0.25">
      <c r="A574" t="s">
        <v>254</v>
      </c>
      <c r="B574" t="s">
        <v>5</v>
      </c>
      <c r="C574" s="82">
        <v>4669226732</v>
      </c>
      <c r="D574">
        <v>201603</v>
      </c>
      <c r="E574" s="1">
        <v>42429</v>
      </c>
      <c r="F574" s="1">
        <v>42460</v>
      </c>
      <c r="G574" t="s">
        <v>265</v>
      </c>
      <c r="H574" s="81">
        <v>786</v>
      </c>
      <c r="I574" t="s">
        <v>6</v>
      </c>
      <c r="J574" s="3">
        <v>79.8</v>
      </c>
    </row>
    <row r="575" spans="1:10" x14ac:dyDescent="0.25">
      <c r="A575" t="s">
        <v>254</v>
      </c>
      <c r="B575" t="s">
        <v>5</v>
      </c>
      <c r="C575" s="82">
        <v>4669226732</v>
      </c>
      <c r="D575">
        <v>201604</v>
      </c>
      <c r="E575" s="1">
        <v>42460</v>
      </c>
      <c r="F575" s="1">
        <v>42489</v>
      </c>
      <c r="G575" t="s">
        <v>265</v>
      </c>
      <c r="H575" s="81">
        <v>576</v>
      </c>
      <c r="I575" t="s">
        <v>6</v>
      </c>
      <c r="J575" s="3">
        <v>61.35</v>
      </c>
    </row>
    <row r="576" spans="1:10" x14ac:dyDescent="0.25">
      <c r="A576" t="s">
        <v>254</v>
      </c>
      <c r="B576" t="s">
        <v>5</v>
      </c>
      <c r="C576" s="82">
        <v>4669226732</v>
      </c>
      <c r="D576">
        <v>201605</v>
      </c>
      <c r="E576" s="1">
        <v>42489</v>
      </c>
      <c r="F576" s="1">
        <v>42521</v>
      </c>
      <c r="G576" t="s">
        <v>265</v>
      </c>
      <c r="H576" s="81">
        <v>355</v>
      </c>
      <c r="I576" t="s">
        <v>6</v>
      </c>
      <c r="J576" s="3">
        <v>41.92</v>
      </c>
    </row>
    <row r="577" spans="1:10" x14ac:dyDescent="0.25">
      <c r="A577" t="s">
        <v>254</v>
      </c>
      <c r="B577" t="s">
        <v>5</v>
      </c>
      <c r="C577" s="82">
        <v>4669226732</v>
      </c>
      <c r="D577">
        <v>201606</v>
      </c>
      <c r="E577" s="1">
        <v>42521</v>
      </c>
      <c r="F577" s="1">
        <v>42549</v>
      </c>
      <c r="G577" t="s">
        <v>265</v>
      </c>
      <c r="H577" s="81">
        <v>134</v>
      </c>
      <c r="I577" t="s">
        <v>6</v>
      </c>
      <c r="J577" s="3">
        <v>22.15</v>
      </c>
    </row>
    <row r="578" spans="1:10" x14ac:dyDescent="0.25">
      <c r="A578" t="s">
        <v>254</v>
      </c>
      <c r="B578" t="s">
        <v>5</v>
      </c>
      <c r="C578" s="82">
        <v>4672735000</v>
      </c>
      <c r="D578">
        <v>201507</v>
      </c>
      <c r="E578" s="1">
        <v>42185</v>
      </c>
      <c r="F578" s="1">
        <v>42216</v>
      </c>
      <c r="G578" t="s">
        <v>268</v>
      </c>
      <c r="H578" s="81">
        <v>336</v>
      </c>
      <c r="I578" t="s">
        <v>6</v>
      </c>
      <c r="J578" s="3">
        <v>40.22</v>
      </c>
    </row>
    <row r="579" spans="1:10" x14ac:dyDescent="0.25">
      <c r="A579" t="s">
        <v>254</v>
      </c>
      <c r="B579" t="s">
        <v>5</v>
      </c>
      <c r="C579" s="82">
        <v>4672735000</v>
      </c>
      <c r="D579">
        <v>201508</v>
      </c>
      <c r="E579" s="1">
        <v>42216</v>
      </c>
      <c r="F579" s="1">
        <v>42243</v>
      </c>
      <c r="G579" t="s">
        <v>268</v>
      </c>
      <c r="H579" s="81">
        <v>184</v>
      </c>
      <c r="I579" t="s">
        <v>6</v>
      </c>
      <c r="J579" s="3">
        <v>26.61</v>
      </c>
    </row>
    <row r="580" spans="1:10" x14ac:dyDescent="0.25">
      <c r="A580" t="s">
        <v>254</v>
      </c>
      <c r="B580" t="s">
        <v>5</v>
      </c>
      <c r="C580" s="82">
        <v>4672735000</v>
      </c>
      <c r="D580">
        <v>201509</v>
      </c>
      <c r="E580" s="1">
        <v>42243</v>
      </c>
      <c r="F580" s="1">
        <v>42275</v>
      </c>
      <c r="G580" t="s">
        <v>268</v>
      </c>
      <c r="H580" s="81">
        <v>475</v>
      </c>
      <c r="I580" t="s">
        <v>6</v>
      </c>
      <c r="J580" s="3">
        <v>52.35</v>
      </c>
    </row>
    <row r="581" spans="1:10" x14ac:dyDescent="0.25">
      <c r="A581" t="s">
        <v>254</v>
      </c>
      <c r="B581" t="s">
        <v>5</v>
      </c>
      <c r="C581" s="82">
        <v>4672735000</v>
      </c>
      <c r="D581">
        <v>201510</v>
      </c>
      <c r="E581" s="1">
        <v>42275</v>
      </c>
      <c r="F581" s="1">
        <v>42305</v>
      </c>
      <c r="G581" t="s">
        <v>268</v>
      </c>
      <c r="H581" s="81">
        <v>609</v>
      </c>
      <c r="I581" t="s">
        <v>6</v>
      </c>
      <c r="J581" s="3">
        <v>64.180000000000007</v>
      </c>
    </row>
    <row r="582" spans="1:10" x14ac:dyDescent="0.25">
      <c r="A582" t="s">
        <v>254</v>
      </c>
      <c r="B582" t="s">
        <v>5</v>
      </c>
      <c r="C582" s="82">
        <v>4672735000</v>
      </c>
      <c r="D582">
        <v>201511</v>
      </c>
      <c r="E582" s="1">
        <v>42305</v>
      </c>
      <c r="F582" s="1">
        <v>42340</v>
      </c>
      <c r="G582" t="s">
        <v>268</v>
      </c>
      <c r="H582" s="81">
        <v>771</v>
      </c>
      <c r="I582" t="s">
        <v>6</v>
      </c>
      <c r="J582" s="3">
        <v>78.55</v>
      </c>
    </row>
    <row r="583" spans="1:10" x14ac:dyDescent="0.25">
      <c r="A583" t="s">
        <v>254</v>
      </c>
      <c r="B583" t="s">
        <v>5</v>
      </c>
      <c r="C583" s="82">
        <v>4672735000</v>
      </c>
      <c r="D583">
        <v>201512</v>
      </c>
      <c r="E583" s="1">
        <v>42340</v>
      </c>
      <c r="F583" s="1">
        <v>42369</v>
      </c>
      <c r="G583" t="s">
        <v>268</v>
      </c>
      <c r="H583" s="81">
        <v>626</v>
      </c>
      <c r="I583" t="s">
        <v>6</v>
      </c>
      <c r="J583" s="3">
        <v>65.69</v>
      </c>
    </row>
    <row r="584" spans="1:10" x14ac:dyDescent="0.25">
      <c r="A584" t="s">
        <v>254</v>
      </c>
      <c r="B584" t="s">
        <v>5</v>
      </c>
      <c r="C584" s="82">
        <v>4672735000</v>
      </c>
      <c r="D584">
        <v>201601</v>
      </c>
      <c r="E584" s="1">
        <v>42369</v>
      </c>
      <c r="F584" s="1">
        <v>42402</v>
      </c>
      <c r="G584" t="s">
        <v>268</v>
      </c>
      <c r="H584" s="81">
        <v>1206</v>
      </c>
      <c r="I584" t="s">
        <v>6</v>
      </c>
      <c r="J584" s="3">
        <v>117</v>
      </c>
    </row>
    <row r="585" spans="1:10" x14ac:dyDescent="0.25">
      <c r="A585" t="s">
        <v>254</v>
      </c>
      <c r="B585" t="s">
        <v>5</v>
      </c>
      <c r="C585" s="82">
        <v>4672735000</v>
      </c>
      <c r="D585">
        <v>201602</v>
      </c>
      <c r="E585" s="1">
        <v>42402</v>
      </c>
      <c r="F585" s="1">
        <v>42429</v>
      </c>
      <c r="G585" t="s">
        <v>268</v>
      </c>
      <c r="H585" s="81">
        <v>1096</v>
      </c>
      <c r="I585" t="s">
        <v>6</v>
      </c>
      <c r="J585" s="3">
        <v>107.27</v>
      </c>
    </row>
    <row r="586" spans="1:10" x14ac:dyDescent="0.25">
      <c r="A586" t="s">
        <v>254</v>
      </c>
      <c r="B586" t="s">
        <v>5</v>
      </c>
      <c r="C586" s="82">
        <v>4672735000</v>
      </c>
      <c r="D586">
        <v>201603</v>
      </c>
      <c r="E586" s="1">
        <v>42429</v>
      </c>
      <c r="F586" s="1">
        <v>42460</v>
      </c>
      <c r="G586" t="s">
        <v>268</v>
      </c>
      <c r="H586" s="81">
        <v>863</v>
      </c>
      <c r="I586" t="s">
        <v>6</v>
      </c>
      <c r="J586" s="3">
        <v>86.62</v>
      </c>
    </row>
    <row r="587" spans="1:10" x14ac:dyDescent="0.25">
      <c r="A587" t="s">
        <v>254</v>
      </c>
      <c r="B587" t="s">
        <v>5</v>
      </c>
      <c r="C587" s="82">
        <v>4672735000</v>
      </c>
      <c r="D587">
        <v>201604</v>
      </c>
      <c r="E587" s="1">
        <v>42460</v>
      </c>
      <c r="F587" s="1">
        <v>42489</v>
      </c>
      <c r="G587" t="s">
        <v>268</v>
      </c>
      <c r="H587" s="81">
        <v>652</v>
      </c>
      <c r="I587" t="s">
        <v>6</v>
      </c>
      <c r="J587" s="3">
        <v>68.12</v>
      </c>
    </row>
    <row r="588" spans="1:10" x14ac:dyDescent="0.25">
      <c r="A588" t="s">
        <v>254</v>
      </c>
      <c r="B588" t="s">
        <v>5</v>
      </c>
      <c r="C588" s="82">
        <v>4672735000</v>
      </c>
      <c r="D588">
        <v>201605</v>
      </c>
      <c r="E588" s="1">
        <v>42489</v>
      </c>
      <c r="F588" s="1">
        <v>42521</v>
      </c>
      <c r="G588" t="s">
        <v>268</v>
      </c>
      <c r="H588" s="81">
        <v>381</v>
      </c>
      <c r="I588" t="s">
        <v>6</v>
      </c>
      <c r="J588" s="3">
        <v>44.27</v>
      </c>
    </row>
    <row r="589" spans="1:10" x14ac:dyDescent="0.25">
      <c r="A589" t="s">
        <v>254</v>
      </c>
      <c r="B589" t="s">
        <v>5</v>
      </c>
      <c r="C589" s="82">
        <v>4672735000</v>
      </c>
      <c r="D589">
        <v>201606</v>
      </c>
      <c r="E589" s="1">
        <v>42521</v>
      </c>
      <c r="F589" s="1">
        <v>42549</v>
      </c>
      <c r="G589" t="s">
        <v>268</v>
      </c>
      <c r="H589" s="81">
        <v>104</v>
      </c>
      <c r="I589" t="s">
        <v>6</v>
      </c>
      <c r="J589" s="3">
        <v>19.46</v>
      </c>
    </row>
    <row r="590" spans="1:10" x14ac:dyDescent="0.25">
      <c r="A590" t="s">
        <v>254</v>
      </c>
      <c r="B590" t="s">
        <v>5</v>
      </c>
      <c r="C590" s="82">
        <v>4688462342</v>
      </c>
      <c r="D590">
        <v>201507</v>
      </c>
      <c r="E590" s="1">
        <v>42185</v>
      </c>
      <c r="F590" s="1">
        <v>42216</v>
      </c>
      <c r="G590" t="s">
        <v>271</v>
      </c>
      <c r="H590" s="81">
        <v>510</v>
      </c>
      <c r="I590" t="s">
        <v>6</v>
      </c>
      <c r="J590" s="3">
        <v>55.84</v>
      </c>
    </row>
    <row r="591" spans="1:10" x14ac:dyDescent="0.25">
      <c r="A591" t="s">
        <v>254</v>
      </c>
      <c r="B591" t="s">
        <v>5</v>
      </c>
      <c r="C591" s="82">
        <v>4688462342</v>
      </c>
      <c r="D591">
        <v>201508</v>
      </c>
      <c r="E591" s="1">
        <v>42216</v>
      </c>
      <c r="F591" s="1">
        <v>42243</v>
      </c>
      <c r="G591" t="s">
        <v>271</v>
      </c>
      <c r="H591" s="81">
        <v>287</v>
      </c>
      <c r="I591" t="s">
        <v>6</v>
      </c>
      <c r="J591" s="3">
        <v>35.840000000000003</v>
      </c>
    </row>
    <row r="592" spans="1:10" x14ac:dyDescent="0.25">
      <c r="A592" t="s">
        <v>254</v>
      </c>
      <c r="B592" t="s">
        <v>5</v>
      </c>
      <c r="C592" s="82">
        <v>4688462342</v>
      </c>
      <c r="D592">
        <v>201509</v>
      </c>
      <c r="E592" s="1">
        <v>42243</v>
      </c>
      <c r="F592" s="1">
        <v>42275</v>
      </c>
      <c r="G592" t="s">
        <v>271</v>
      </c>
      <c r="H592" s="81">
        <v>934</v>
      </c>
      <c r="I592" t="s">
        <v>6</v>
      </c>
      <c r="J592" s="3">
        <v>93.13</v>
      </c>
    </row>
    <row r="593" spans="1:10" x14ac:dyDescent="0.25">
      <c r="A593" t="s">
        <v>254</v>
      </c>
      <c r="B593" t="s">
        <v>5</v>
      </c>
      <c r="C593" s="82">
        <v>4688462342</v>
      </c>
      <c r="D593">
        <v>201510</v>
      </c>
      <c r="E593" s="1">
        <v>42275</v>
      </c>
      <c r="F593" s="1">
        <v>42305</v>
      </c>
      <c r="G593" t="s">
        <v>271</v>
      </c>
      <c r="H593" s="81">
        <v>751</v>
      </c>
      <c r="I593" t="s">
        <v>6</v>
      </c>
      <c r="J593" s="3">
        <v>76.78</v>
      </c>
    </row>
    <row r="594" spans="1:10" x14ac:dyDescent="0.25">
      <c r="A594" t="s">
        <v>254</v>
      </c>
      <c r="B594" t="s">
        <v>5</v>
      </c>
      <c r="C594" s="82">
        <v>4688462342</v>
      </c>
      <c r="D594">
        <v>201511</v>
      </c>
      <c r="E594" s="1">
        <v>42305</v>
      </c>
      <c r="F594" s="1">
        <v>42340</v>
      </c>
      <c r="G594" t="s">
        <v>271</v>
      </c>
      <c r="H594" s="81">
        <v>745</v>
      </c>
      <c r="I594" t="s">
        <v>6</v>
      </c>
      <c r="J594" s="3">
        <v>76.25</v>
      </c>
    </row>
    <row r="595" spans="1:10" x14ac:dyDescent="0.25">
      <c r="A595" t="s">
        <v>254</v>
      </c>
      <c r="B595" t="s">
        <v>5</v>
      </c>
      <c r="C595" s="82">
        <v>4688462342</v>
      </c>
      <c r="D595">
        <v>201512</v>
      </c>
      <c r="E595" s="1">
        <v>42340</v>
      </c>
      <c r="F595" s="1">
        <v>42369</v>
      </c>
      <c r="G595" t="s">
        <v>271</v>
      </c>
      <c r="H595" s="81">
        <v>652</v>
      </c>
      <c r="I595" t="s">
        <v>6</v>
      </c>
      <c r="J595" s="3">
        <v>67.989999999999995</v>
      </c>
    </row>
    <row r="596" spans="1:10" x14ac:dyDescent="0.25">
      <c r="A596" t="s">
        <v>254</v>
      </c>
      <c r="B596" t="s">
        <v>5</v>
      </c>
      <c r="C596" s="82">
        <v>4688462342</v>
      </c>
      <c r="D596">
        <v>201601</v>
      </c>
      <c r="E596" s="1">
        <v>42369</v>
      </c>
      <c r="F596" s="1">
        <v>42402</v>
      </c>
      <c r="G596" t="s">
        <v>271</v>
      </c>
      <c r="H596" s="81">
        <v>962</v>
      </c>
      <c r="I596" t="s">
        <v>6</v>
      </c>
      <c r="J596" s="3">
        <v>95.41</v>
      </c>
    </row>
    <row r="597" spans="1:10" x14ac:dyDescent="0.25">
      <c r="A597" t="s">
        <v>254</v>
      </c>
      <c r="B597" t="s">
        <v>5</v>
      </c>
      <c r="C597" s="82">
        <v>4688462342</v>
      </c>
      <c r="D597">
        <v>201602</v>
      </c>
      <c r="E597" s="1">
        <v>42402</v>
      </c>
      <c r="F597" s="1">
        <v>42429</v>
      </c>
      <c r="G597" t="s">
        <v>271</v>
      </c>
      <c r="H597" s="81">
        <v>889</v>
      </c>
      <c r="I597" t="s">
        <v>6</v>
      </c>
      <c r="J597" s="3">
        <v>88.92</v>
      </c>
    </row>
    <row r="598" spans="1:10" x14ac:dyDescent="0.25">
      <c r="A598" t="s">
        <v>254</v>
      </c>
      <c r="B598" t="s">
        <v>5</v>
      </c>
      <c r="C598" s="82">
        <v>4688462342</v>
      </c>
      <c r="D598">
        <v>201603</v>
      </c>
      <c r="E598" s="1">
        <v>42429</v>
      </c>
      <c r="F598" s="1">
        <v>42460</v>
      </c>
      <c r="G598" t="s">
        <v>271</v>
      </c>
      <c r="H598" s="81">
        <v>790</v>
      </c>
      <c r="I598" t="s">
        <v>6</v>
      </c>
      <c r="J598" s="3">
        <v>80.150000000000006</v>
      </c>
    </row>
    <row r="599" spans="1:10" x14ac:dyDescent="0.25">
      <c r="A599" t="s">
        <v>254</v>
      </c>
      <c r="B599" t="s">
        <v>5</v>
      </c>
      <c r="C599" s="82">
        <v>4688462342</v>
      </c>
      <c r="D599">
        <v>201604</v>
      </c>
      <c r="E599" s="1">
        <v>42460</v>
      </c>
      <c r="F599" s="1">
        <v>42489</v>
      </c>
      <c r="G599" t="s">
        <v>271</v>
      </c>
      <c r="H599" s="81">
        <v>756</v>
      </c>
      <c r="I599" t="s">
        <v>6</v>
      </c>
      <c r="J599" s="3">
        <v>77.38</v>
      </c>
    </row>
    <row r="600" spans="1:10" x14ac:dyDescent="0.25">
      <c r="A600" t="s">
        <v>254</v>
      </c>
      <c r="B600" t="s">
        <v>5</v>
      </c>
      <c r="C600" s="82">
        <v>4688462342</v>
      </c>
      <c r="D600">
        <v>201605</v>
      </c>
      <c r="E600" s="1">
        <v>42489</v>
      </c>
      <c r="F600" s="1">
        <v>42521</v>
      </c>
      <c r="G600" t="s">
        <v>271</v>
      </c>
      <c r="H600" s="81">
        <v>466</v>
      </c>
      <c r="I600" t="s">
        <v>6</v>
      </c>
      <c r="J600" s="3">
        <v>51.9</v>
      </c>
    </row>
    <row r="601" spans="1:10" x14ac:dyDescent="0.25">
      <c r="A601" t="s">
        <v>254</v>
      </c>
      <c r="B601" t="s">
        <v>5</v>
      </c>
      <c r="C601" s="82">
        <v>4688462342</v>
      </c>
      <c r="D601">
        <v>201606</v>
      </c>
      <c r="E601" s="1">
        <v>42521</v>
      </c>
      <c r="F601" s="1">
        <v>42549</v>
      </c>
      <c r="G601" t="s">
        <v>271</v>
      </c>
      <c r="H601" s="81">
        <v>159</v>
      </c>
      <c r="I601" t="s">
        <v>6</v>
      </c>
      <c r="J601" s="3">
        <v>24.4</v>
      </c>
    </row>
    <row r="602" spans="1:10" x14ac:dyDescent="0.25">
      <c r="A602" t="s">
        <v>254</v>
      </c>
      <c r="B602" t="s">
        <v>5</v>
      </c>
      <c r="C602" s="82">
        <v>4692767504</v>
      </c>
      <c r="D602">
        <v>201507</v>
      </c>
      <c r="E602" s="1">
        <v>42185</v>
      </c>
      <c r="F602" s="1">
        <v>42216</v>
      </c>
      <c r="G602" t="s">
        <v>274</v>
      </c>
      <c r="H602" s="81">
        <v>258</v>
      </c>
      <c r="I602" t="s">
        <v>6</v>
      </c>
      <c r="J602" s="3">
        <v>33.26</v>
      </c>
    </row>
    <row r="603" spans="1:10" x14ac:dyDescent="0.25">
      <c r="A603" t="s">
        <v>254</v>
      </c>
      <c r="B603" t="s">
        <v>5</v>
      </c>
      <c r="C603" s="82">
        <v>4692767504</v>
      </c>
      <c r="D603">
        <v>201508</v>
      </c>
      <c r="E603" s="1">
        <v>42216</v>
      </c>
      <c r="F603" s="1">
        <v>42243</v>
      </c>
      <c r="G603" t="s">
        <v>274</v>
      </c>
      <c r="H603" s="81">
        <v>168</v>
      </c>
      <c r="I603" t="s">
        <v>6</v>
      </c>
      <c r="J603" s="3">
        <v>25.18</v>
      </c>
    </row>
    <row r="604" spans="1:10" x14ac:dyDescent="0.25">
      <c r="A604" t="s">
        <v>254</v>
      </c>
      <c r="B604" t="s">
        <v>5</v>
      </c>
      <c r="C604" s="82">
        <v>4692767504</v>
      </c>
      <c r="D604">
        <v>201509</v>
      </c>
      <c r="E604" s="1">
        <v>42243</v>
      </c>
      <c r="F604" s="1">
        <v>42276</v>
      </c>
      <c r="G604" t="s">
        <v>274</v>
      </c>
      <c r="H604" s="81">
        <v>1230</v>
      </c>
      <c r="I604" t="s">
        <v>6</v>
      </c>
      <c r="J604" s="3">
        <v>119.44</v>
      </c>
    </row>
    <row r="605" spans="1:10" x14ac:dyDescent="0.25">
      <c r="A605" t="s">
        <v>254</v>
      </c>
      <c r="B605" t="s">
        <v>5</v>
      </c>
      <c r="C605" s="82">
        <v>4692767504</v>
      </c>
      <c r="D605">
        <v>201510</v>
      </c>
      <c r="E605" s="1">
        <v>42276</v>
      </c>
      <c r="F605" s="1">
        <v>42305</v>
      </c>
      <c r="G605" t="s">
        <v>274</v>
      </c>
      <c r="H605" s="81">
        <v>1039</v>
      </c>
      <c r="I605" t="s">
        <v>6</v>
      </c>
      <c r="J605" s="3">
        <v>102.36</v>
      </c>
    </row>
    <row r="606" spans="1:10" x14ac:dyDescent="0.25">
      <c r="A606" t="s">
        <v>254</v>
      </c>
      <c r="B606" t="s">
        <v>5</v>
      </c>
      <c r="C606" s="82">
        <v>4692767504</v>
      </c>
      <c r="D606">
        <v>201511</v>
      </c>
      <c r="E606" s="1">
        <v>42305</v>
      </c>
      <c r="F606" s="1">
        <v>42340</v>
      </c>
      <c r="G606" t="s">
        <v>274</v>
      </c>
      <c r="H606" s="81">
        <v>1101</v>
      </c>
      <c r="I606" t="s">
        <v>6</v>
      </c>
      <c r="J606" s="3">
        <v>107.85</v>
      </c>
    </row>
    <row r="607" spans="1:10" x14ac:dyDescent="0.25">
      <c r="A607" t="s">
        <v>254</v>
      </c>
      <c r="B607" t="s">
        <v>5</v>
      </c>
      <c r="C607" s="82">
        <v>4692767504</v>
      </c>
      <c r="D607">
        <v>201512</v>
      </c>
      <c r="E607" s="1">
        <v>42340</v>
      </c>
      <c r="F607" s="1">
        <v>42369</v>
      </c>
      <c r="G607" t="s">
        <v>274</v>
      </c>
      <c r="H607" s="81">
        <v>780</v>
      </c>
      <c r="I607" t="s">
        <v>6</v>
      </c>
      <c r="J607" s="3">
        <v>79.36</v>
      </c>
    </row>
    <row r="608" spans="1:10" x14ac:dyDescent="0.25">
      <c r="A608" t="s">
        <v>254</v>
      </c>
      <c r="B608" t="s">
        <v>5</v>
      </c>
      <c r="C608" s="82">
        <v>4692767504</v>
      </c>
      <c r="D608">
        <v>201601</v>
      </c>
      <c r="E608" s="1">
        <v>42369</v>
      </c>
      <c r="F608" s="1">
        <v>42402</v>
      </c>
      <c r="G608" t="s">
        <v>274</v>
      </c>
      <c r="H608" s="81">
        <v>1336</v>
      </c>
      <c r="I608" t="s">
        <v>6</v>
      </c>
      <c r="J608" s="3">
        <v>128.52000000000001</v>
      </c>
    </row>
    <row r="609" spans="1:10" x14ac:dyDescent="0.25">
      <c r="A609" t="s">
        <v>254</v>
      </c>
      <c r="B609" t="s">
        <v>5</v>
      </c>
      <c r="C609" s="82">
        <v>4692767504</v>
      </c>
      <c r="D609">
        <v>201602</v>
      </c>
      <c r="E609" s="1">
        <v>42402</v>
      </c>
      <c r="F609" s="1">
        <v>42429</v>
      </c>
      <c r="G609" t="s">
        <v>274</v>
      </c>
      <c r="H609" s="81">
        <v>1068</v>
      </c>
      <c r="I609" t="s">
        <v>6</v>
      </c>
      <c r="J609" s="3">
        <v>104.79</v>
      </c>
    </row>
    <row r="610" spans="1:10" x14ac:dyDescent="0.25">
      <c r="A610" t="s">
        <v>254</v>
      </c>
      <c r="B610" t="s">
        <v>5</v>
      </c>
      <c r="C610" s="82">
        <v>4692767504</v>
      </c>
      <c r="D610">
        <v>201603</v>
      </c>
      <c r="E610" s="1">
        <v>42429</v>
      </c>
      <c r="F610" s="1">
        <v>42460</v>
      </c>
      <c r="G610" t="s">
        <v>274</v>
      </c>
      <c r="H610" s="81">
        <v>1134</v>
      </c>
      <c r="I610" t="s">
        <v>6</v>
      </c>
      <c r="J610" s="3">
        <v>110.62</v>
      </c>
    </row>
    <row r="611" spans="1:10" x14ac:dyDescent="0.25">
      <c r="A611" t="s">
        <v>254</v>
      </c>
      <c r="B611" t="s">
        <v>5</v>
      </c>
      <c r="C611" s="82">
        <v>4692767504</v>
      </c>
      <c r="D611">
        <v>201604</v>
      </c>
      <c r="E611" s="1">
        <v>42460</v>
      </c>
      <c r="F611" s="1">
        <v>42489</v>
      </c>
      <c r="G611" t="s">
        <v>274</v>
      </c>
      <c r="H611" s="81">
        <v>1021</v>
      </c>
      <c r="I611" t="s">
        <v>6</v>
      </c>
      <c r="J611" s="3">
        <v>100.96</v>
      </c>
    </row>
    <row r="612" spans="1:10" x14ac:dyDescent="0.25">
      <c r="A612" t="s">
        <v>254</v>
      </c>
      <c r="B612" t="s">
        <v>5</v>
      </c>
      <c r="C612" s="82">
        <v>4692767504</v>
      </c>
      <c r="D612">
        <v>201605</v>
      </c>
      <c r="E612" s="1">
        <v>42489</v>
      </c>
      <c r="F612" s="1">
        <v>42521</v>
      </c>
      <c r="G612" t="s">
        <v>274</v>
      </c>
      <c r="H612" s="81">
        <v>666</v>
      </c>
      <c r="I612" t="s">
        <v>6</v>
      </c>
      <c r="J612" s="3">
        <v>69.84</v>
      </c>
    </row>
    <row r="613" spans="1:10" x14ac:dyDescent="0.25">
      <c r="A613" t="s">
        <v>254</v>
      </c>
      <c r="B613" t="s">
        <v>5</v>
      </c>
      <c r="C613" s="82">
        <v>4692767504</v>
      </c>
      <c r="D613">
        <v>201606</v>
      </c>
      <c r="E613" s="1">
        <v>42521</v>
      </c>
      <c r="F613" s="1">
        <v>42549</v>
      </c>
      <c r="G613" t="s">
        <v>274</v>
      </c>
      <c r="H613" s="81">
        <v>176</v>
      </c>
      <c r="I613" t="s">
        <v>6</v>
      </c>
      <c r="J613" s="3">
        <v>25.9</v>
      </c>
    </row>
    <row r="614" spans="1:10" x14ac:dyDescent="0.25">
      <c r="A614" t="s">
        <v>254</v>
      </c>
      <c r="B614" t="s">
        <v>5</v>
      </c>
      <c r="C614" s="82">
        <v>4702890007</v>
      </c>
      <c r="D614">
        <v>201507</v>
      </c>
      <c r="E614" s="1">
        <v>42185</v>
      </c>
      <c r="F614" s="1">
        <v>42216</v>
      </c>
      <c r="G614" t="s">
        <v>277</v>
      </c>
      <c r="H614" s="81">
        <v>405</v>
      </c>
      <c r="I614" t="s">
        <v>6</v>
      </c>
      <c r="J614" s="3">
        <v>46.41</v>
      </c>
    </row>
    <row r="615" spans="1:10" x14ac:dyDescent="0.25">
      <c r="A615" t="s">
        <v>254</v>
      </c>
      <c r="B615" t="s">
        <v>5</v>
      </c>
      <c r="C615" s="82">
        <v>4702890007</v>
      </c>
      <c r="D615">
        <v>201508</v>
      </c>
      <c r="E615" s="1">
        <v>42216</v>
      </c>
      <c r="F615" s="1">
        <v>42243</v>
      </c>
      <c r="G615" t="s">
        <v>277</v>
      </c>
      <c r="H615" s="81">
        <v>405</v>
      </c>
      <c r="I615" t="s">
        <v>6</v>
      </c>
      <c r="J615" s="3">
        <v>46.41</v>
      </c>
    </row>
    <row r="616" spans="1:10" x14ac:dyDescent="0.25">
      <c r="A616" t="s">
        <v>254</v>
      </c>
      <c r="B616" t="s">
        <v>5</v>
      </c>
      <c r="C616" s="82">
        <v>4702890007</v>
      </c>
      <c r="D616">
        <v>201509</v>
      </c>
      <c r="E616" s="1">
        <v>42243</v>
      </c>
      <c r="F616" s="1">
        <v>42275</v>
      </c>
      <c r="G616" t="s">
        <v>277</v>
      </c>
      <c r="H616" s="81">
        <v>1029</v>
      </c>
      <c r="I616" t="s">
        <v>6</v>
      </c>
      <c r="J616" s="3">
        <v>101.58</v>
      </c>
    </row>
    <row r="617" spans="1:10" x14ac:dyDescent="0.25">
      <c r="A617" t="s">
        <v>254</v>
      </c>
      <c r="B617" t="s">
        <v>5</v>
      </c>
      <c r="C617" s="82">
        <v>4702890007</v>
      </c>
      <c r="D617">
        <v>201510</v>
      </c>
      <c r="E617" s="1">
        <v>42275</v>
      </c>
      <c r="F617" s="1">
        <v>42305</v>
      </c>
      <c r="G617" t="s">
        <v>277</v>
      </c>
      <c r="H617" s="81">
        <v>964</v>
      </c>
      <c r="I617" t="s">
        <v>6</v>
      </c>
      <c r="J617" s="3">
        <v>95.7</v>
      </c>
    </row>
    <row r="618" spans="1:10" x14ac:dyDescent="0.25">
      <c r="A618" t="s">
        <v>254</v>
      </c>
      <c r="B618" t="s">
        <v>5</v>
      </c>
      <c r="C618" s="82">
        <v>4702890007</v>
      </c>
      <c r="D618">
        <v>201511</v>
      </c>
      <c r="E618" s="1">
        <v>42305</v>
      </c>
      <c r="F618" s="1">
        <v>42340</v>
      </c>
      <c r="G618" t="s">
        <v>277</v>
      </c>
      <c r="H618" s="81">
        <v>1236</v>
      </c>
      <c r="I618" t="s">
        <v>6</v>
      </c>
      <c r="J618" s="3">
        <v>119.84</v>
      </c>
    </row>
    <row r="619" spans="1:10" x14ac:dyDescent="0.25">
      <c r="A619" t="s">
        <v>254</v>
      </c>
      <c r="B619" t="s">
        <v>5</v>
      </c>
      <c r="C619" s="82">
        <v>4702890007</v>
      </c>
      <c r="D619">
        <v>201512</v>
      </c>
      <c r="E619" s="1">
        <v>42340</v>
      </c>
      <c r="F619" s="1">
        <v>42369</v>
      </c>
      <c r="G619" t="s">
        <v>277</v>
      </c>
      <c r="H619" s="81">
        <v>827</v>
      </c>
      <c r="I619" t="s">
        <v>6</v>
      </c>
      <c r="J619" s="3">
        <v>83.52</v>
      </c>
    </row>
    <row r="620" spans="1:10" x14ac:dyDescent="0.25">
      <c r="A620" t="s">
        <v>254</v>
      </c>
      <c r="B620" t="s">
        <v>5</v>
      </c>
      <c r="C620" s="82">
        <v>4702890007</v>
      </c>
      <c r="D620">
        <v>201601</v>
      </c>
      <c r="E620" s="1">
        <v>42369</v>
      </c>
      <c r="F620" s="1">
        <v>42402</v>
      </c>
      <c r="G620" t="s">
        <v>277</v>
      </c>
      <c r="H620" s="81">
        <v>2118</v>
      </c>
      <c r="I620" t="s">
        <v>6</v>
      </c>
      <c r="J620" s="3">
        <v>197.86</v>
      </c>
    </row>
    <row r="621" spans="1:10" x14ac:dyDescent="0.25">
      <c r="A621" t="s">
        <v>254</v>
      </c>
      <c r="B621" t="s">
        <v>5</v>
      </c>
      <c r="C621" s="82">
        <v>4702890007</v>
      </c>
      <c r="D621">
        <v>201602</v>
      </c>
      <c r="E621" s="1">
        <v>42402</v>
      </c>
      <c r="F621" s="1">
        <v>42429</v>
      </c>
      <c r="G621" t="s">
        <v>277</v>
      </c>
      <c r="H621" s="81">
        <v>1914</v>
      </c>
      <c r="I621" t="s">
        <v>6</v>
      </c>
      <c r="J621" s="3">
        <v>179.76</v>
      </c>
    </row>
    <row r="622" spans="1:10" x14ac:dyDescent="0.25">
      <c r="A622" t="s">
        <v>254</v>
      </c>
      <c r="B622" t="s">
        <v>5</v>
      </c>
      <c r="C622" s="82">
        <v>4702890007</v>
      </c>
      <c r="D622">
        <v>201603</v>
      </c>
      <c r="E622" s="1">
        <v>42429</v>
      </c>
      <c r="F622" s="1">
        <v>42460</v>
      </c>
      <c r="G622" t="s">
        <v>277</v>
      </c>
      <c r="H622" s="81">
        <v>1318</v>
      </c>
      <c r="I622" t="s">
        <v>6</v>
      </c>
      <c r="J622" s="3">
        <v>126.93</v>
      </c>
    </row>
    <row r="623" spans="1:10" x14ac:dyDescent="0.25">
      <c r="A623" t="s">
        <v>254</v>
      </c>
      <c r="B623" t="s">
        <v>5</v>
      </c>
      <c r="C623" s="82">
        <v>4702890007</v>
      </c>
      <c r="D623">
        <v>201604</v>
      </c>
      <c r="E623" s="1">
        <v>42460</v>
      </c>
      <c r="F623" s="1">
        <v>42489</v>
      </c>
      <c r="G623" t="s">
        <v>277</v>
      </c>
      <c r="H623" s="81">
        <v>1091</v>
      </c>
      <c r="I623" t="s">
        <v>6</v>
      </c>
      <c r="J623" s="3">
        <v>107.16</v>
      </c>
    </row>
    <row r="624" spans="1:10" x14ac:dyDescent="0.25">
      <c r="A624" t="s">
        <v>254</v>
      </c>
      <c r="B624" t="s">
        <v>5</v>
      </c>
      <c r="C624" s="82">
        <v>4702890007</v>
      </c>
      <c r="D624">
        <v>201605</v>
      </c>
      <c r="E624" s="1">
        <v>42489</v>
      </c>
      <c r="F624" s="1">
        <v>42521</v>
      </c>
      <c r="G624" t="s">
        <v>277</v>
      </c>
      <c r="H624" s="81">
        <v>594</v>
      </c>
      <c r="I624" t="s">
        <v>6</v>
      </c>
      <c r="J624" s="3">
        <v>63.37</v>
      </c>
    </row>
    <row r="625" spans="1:10" x14ac:dyDescent="0.25">
      <c r="A625" t="s">
        <v>254</v>
      </c>
      <c r="B625" t="s">
        <v>5</v>
      </c>
      <c r="C625" s="82">
        <v>4702890007</v>
      </c>
      <c r="D625">
        <v>201606</v>
      </c>
      <c r="E625" s="1">
        <v>42521</v>
      </c>
      <c r="F625" s="1">
        <v>42549</v>
      </c>
      <c r="G625" t="s">
        <v>277</v>
      </c>
      <c r="H625" s="81">
        <v>17</v>
      </c>
      <c r="I625" t="s">
        <v>6</v>
      </c>
      <c r="J625" s="3">
        <v>11.65</v>
      </c>
    </row>
    <row r="626" spans="1:10" x14ac:dyDescent="0.25">
      <c r="A626" t="s">
        <v>254</v>
      </c>
      <c r="B626" t="s">
        <v>5</v>
      </c>
      <c r="C626" s="82">
        <v>4712847500</v>
      </c>
      <c r="D626">
        <v>201507</v>
      </c>
      <c r="E626" s="1">
        <v>42179</v>
      </c>
      <c r="F626" s="1">
        <v>42212</v>
      </c>
      <c r="G626" t="s">
        <v>280</v>
      </c>
      <c r="H626" s="81">
        <v>562</v>
      </c>
      <c r="I626" t="s">
        <v>6</v>
      </c>
      <c r="J626" s="3">
        <v>60.48</v>
      </c>
    </row>
    <row r="627" spans="1:10" x14ac:dyDescent="0.25">
      <c r="A627" t="s">
        <v>254</v>
      </c>
      <c r="B627" t="s">
        <v>5</v>
      </c>
      <c r="C627" s="82">
        <v>4712847500</v>
      </c>
      <c r="D627">
        <v>201508</v>
      </c>
      <c r="E627" s="1">
        <v>42212</v>
      </c>
      <c r="F627" s="1">
        <v>42240</v>
      </c>
      <c r="G627" t="s">
        <v>280</v>
      </c>
      <c r="H627" s="81">
        <v>345</v>
      </c>
      <c r="I627" t="s">
        <v>6</v>
      </c>
      <c r="J627" s="3">
        <v>41.04</v>
      </c>
    </row>
    <row r="628" spans="1:10" x14ac:dyDescent="0.25">
      <c r="A628" t="s">
        <v>254</v>
      </c>
      <c r="B628" t="s">
        <v>5</v>
      </c>
      <c r="C628" s="82">
        <v>4712847500</v>
      </c>
      <c r="D628">
        <v>201509</v>
      </c>
      <c r="E628" s="1">
        <v>42240</v>
      </c>
      <c r="F628" s="1">
        <v>42271</v>
      </c>
      <c r="G628" t="s">
        <v>280</v>
      </c>
      <c r="H628" s="81">
        <v>837</v>
      </c>
      <c r="I628" t="s">
        <v>6</v>
      </c>
      <c r="J628" s="3">
        <v>84.59</v>
      </c>
    </row>
    <row r="629" spans="1:10" x14ac:dyDescent="0.25">
      <c r="A629" t="s">
        <v>254</v>
      </c>
      <c r="B629" t="s">
        <v>5</v>
      </c>
      <c r="C629" s="82">
        <v>4712847500</v>
      </c>
      <c r="D629">
        <v>201510</v>
      </c>
      <c r="E629" s="1">
        <v>42271</v>
      </c>
      <c r="F629" s="1">
        <v>42300</v>
      </c>
      <c r="G629" t="s">
        <v>280</v>
      </c>
      <c r="H629" s="81">
        <v>757</v>
      </c>
      <c r="I629" t="s">
        <v>6</v>
      </c>
      <c r="J629" s="3">
        <v>77.31</v>
      </c>
    </row>
    <row r="630" spans="1:10" x14ac:dyDescent="0.25">
      <c r="A630" t="s">
        <v>254</v>
      </c>
      <c r="B630" t="s">
        <v>5</v>
      </c>
      <c r="C630" s="82">
        <v>4712847500</v>
      </c>
      <c r="D630">
        <v>201511</v>
      </c>
      <c r="E630" s="1">
        <v>42300</v>
      </c>
      <c r="F630" s="1">
        <v>42332</v>
      </c>
      <c r="G630" t="s">
        <v>280</v>
      </c>
      <c r="H630" s="81">
        <v>860</v>
      </c>
      <c r="I630" t="s">
        <v>6</v>
      </c>
      <c r="J630" s="3">
        <v>86.46</v>
      </c>
    </row>
    <row r="631" spans="1:10" x14ac:dyDescent="0.25">
      <c r="A631" t="s">
        <v>254</v>
      </c>
      <c r="B631" t="s">
        <v>5</v>
      </c>
      <c r="C631" s="82">
        <v>4712847500</v>
      </c>
      <c r="D631">
        <v>201512</v>
      </c>
      <c r="E631" s="1">
        <v>42332</v>
      </c>
      <c r="F631" s="1">
        <v>42361</v>
      </c>
      <c r="G631" t="s">
        <v>280</v>
      </c>
      <c r="H631" s="81">
        <v>812</v>
      </c>
      <c r="I631" t="s">
        <v>6</v>
      </c>
      <c r="J631" s="3">
        <v>82.21</v>
      </c>
    </row>
    <row r="632" spans="1:10" x14ac:dyDescent="0.25">
      <c r="A632" t="s">
        <v>254</v>
      </c>
      <c r="B632" t="s">
        <v>5</v>
      </c>
      <c r="C632" s="82">
        <v>4712847500</v>
      </c>
      <c r="D632">
        <v>201601</v>
      </c>
      <c r="E632" s="1">
        <v>42361</v>
      </c>
      <c r="F632" s="1">
        <v>42395</v>
      </c>
      <c r="G632" t="s">
        <v>280</v>
      </c>
      <c r="H632" s="81">
        <v>1029</v>
      </c>
      <c r="I632" t="s">
        <v>6</v>
      </c>
      <c r="J632" s="3">
        <v>101.35</v>
      </c>
    </row>
    <row r="633" spans="1:10" x14ac:dyDescent="0.25">
      <c r="A633" t="s">
        <v>254</v>
      </c>
      <c r="B633" t="s">
        <v>5</v>
      </c>
      <c r="C633" s="82">
        <v>4712847500</v>
      </c>
      <c r="D633">
        <v>201602</v>
      </c>
      <c r="E633" s="1">
        <v>42395</v>
      </c>
      <c r="F633" s="1">
        <v>42424</v>
      </c>
      <c r="G633" t="s">
        <v>280</v>
      </c>
      <c r="H633" s="81">
        <v>845</v>
      </c>
      <c r="I633" t="s">
        <v>6</v>
      </c>
      <c r="J633" s="3">
        <v>85.02</v>
      </c>
    </row>
    <row r="634" spans="1:10" x14ac:dyDescent="0.25">
      <c r="A634" t="s">
        <v>254</v>
      </c>
      <c r="B634" t="s">
        <v>5</v>
      </c>
      <c r="C634" s="82">
        <v>4712847500</v>
      </c>
      <c r="D634">
        <v>201603</v>
      </c>
      <c r="E634" s="1">
        <v>42424</v>
      </c>
      <c r="F634" s="1">
        <v>42453</v>
      </c>
      <c r="G634" t="s">
        <v>280</v>
      </c>
      <c r="H634" s="81">
        <v>655</v>
      </c>
      <c r="I634" t="s">
        <v>6</v>
      </c>
      <c r="J634" s="3">
        <v>68.19</v>
      </c>
    </row>
    <row r="635" spans="1:10" x14ac:dyDescent="0.25">
      <c r="A635" t="s">
        <v>254</v>
      </c>
      <c r="B635" t="s">
        <v>5</v>
      </c>
      <c r="C635" s="82">
        <v>4712847500</v>
      </c>
      <c r="D635">
        <v>201604</v>
      </c>
      <c r="E635" s="1">
        <v>42453</v>
      </c>
      <c r="F635" s="1">
        <v>42487</v>
      </c>
      <c r="G635" t="s">
        <v>280</v>
      </c>
      <c r="H635" s="81">
        <v>935</v>
      </c>
      <c r="I635" t="s">
        <v>6</v>
      </c>
      <c r="J635" s="3">
        <v>93.24</v>
      </c>
    </row>
    <row r="636" spans="1:10" x14ac:dyDescent="0.25">
      <c r="A636" t="s">
        <v>254</v>
      </c>
      <c r="B636" t="s">
        <v>5</v>
      </c>
      <c r="C636" s="82">
        <v>4712847500</v>
      </c>
      <c r="D636">
        <v>201605</v>
      </c>
      <c r="E636" s="1">
        <v>42487</v>
      </c>
      <c r="F636" s="1">
        <v>42514</v>
      </c>
      <c r="G636" t="s">
        <v>280</v>
      </c>
      <c r="H636" s="81">
        <v>540</v>
      </c>
      <c r="I636" t="s">
        <v>6</v>
      </c>
      <c r="J636" s="3">
        <v>58.47</v>
      </c>
    </row>
    <row r="637" spans="1:10" x14ac:dyDescent="0.25">
      <c r="A637" t="s">
        <v>254</v>
      </c>
      <c r="B637" t="s">
        <v>5</v>
      </c>
      <c r="C637" s="82">
        <v>4712847500</v>
      </c>
      <c r="D637">
        <v>201606</v>
      </c>
      <c r="E637" s="1">
        <v>42514</v>
      </c>
      <c r="F637" s="1">
        <v>42544</v>
      </c>
      <c r="G637" t="s">
        <v>280</v>
      </c>
      <c r="H637" s="81">
        <v>169</v>
      </c>
      <c r="I637" t="s">
        <v>6</v>
      </c>
      <c r="J637" s="3">
        <v>25.27</v>
      </c>
    </row>
    <row r="638" spans="1:10" x14ac:dyDescent="0.25">
      <c r="A638" t="s">
        <v>254</v>
      </c>
      <c r="B638" t="s">
        <v>5</v>
      </c>
      <c r="C638" s="82">
        <v>5222687500</v>
      </c>
      <c r="D638">
        <v>201507</v>
      </c>
      <c r="E638" s="1">
        <v>42179</v>
      </c>
      <c r="F638" s="1">
        <v>42212</v>
      </c>
      <c r="G638" t="s">
        <v>282</v>
      </c>
      <c r="H638" s="81">
        <v>336</v>
      </c>
      <c r="I638" t="s">
        <v>6</v>
      </c>
      <c r="J638" s="3">
        <v>40.22</v>
      </c>
    </row>
    <row r="639" spans="1:10" x14ac:dyDescent="0.25">
      <c r="A639" t="s">
        <v>254</v>
      </c>
      <c r="B639" t="s">
        <v>5</v>
      </c>
      <c r="C639" s="82">
        <v>5222687500</v>
      </c>
      <c r="D639">
        <v>201508</v>
      </c>
      <c r="E639" s="1">
        <v>42212</v>
      </c>
      <c r="F639" s="1">
        <v>42240</v>
      </c>
      <c r="G639" t="s">
        <v>282</v>
      </c>
      <c r="H639" s="81">
        <v>306</v>
      </c>
      <c r="I639" t="s">
        <v>6</v>
      </c>
      <c r="J639" s="3">
        <v>37.54</v>
      </c>
    </row>
    <row r="640" spans="1:10" x14ac:dyDescent="0.25">
      <c r="A640" t="s">
        <v>254</v>
      </c>
      <c r="B640" t="s">
        <v>5</v>
      </c>
      <c r="C640" s="82">
        <v>5222687500</v>
      </c>
      <c r="D640">
        <v>201509</v>
      </c>
      <c r="E640" s="1">
        <v>42240</v>
      </c>
      <c r="F640" s="1">
        <v>42271</v>
      </c>
      <c r="G640" t="s">
        <v>282</v>
      </c>
      <c r="H640" s="81">
        <v>367</v>
      </c>
      <c r="I640" t="s">
        <v>6</v>
      </c>
      <c r="J640" s="3">
        <v>42.76</v>
      </c>
    </row>
    <row r="641" spans="1:10" x14ac:dyDescent="0.25">
      <c r="A641" t="s">
        <v>254</v>
      </c>
      <c r="B641" t="s">
        <v>5</v>
      </c>
      <c r="C641" s="82">
        <v>5222687500</v>
      </c>
      <c r="D641">
        <v>201510</v>
      </c>
      <c r="E641" s="1">
        <v>42271</v>
      </c>
      <c r="F641" s="1">
        <v>42299</v>
      </c>
      <c r="G641" t="s">
        <v>282</v>
      </c>
      <c r="H641" s="81">
        <v>371</v>
      </c>
      <c r="I641" t="s">
        <v>6</v>
      </c>
      <c r="J641" s="3">
        <v>43.07</v>
      </c>
    </row>
    <row r="642" spans="1:10" x14ac:dyDescent="0.25">
      <c r="A642" t="s">
        <v>254</v>
      </c>
      <c r="B642" t="s">
        <v>5</v>
      </c>
      <c r="C642" s="82">
        <v>5222687500</v>
      </c>
      <c r="D642">
        <v>201511</v>
      </c>
      <c r="E642" s="1">
        <v>42299</v>
      </c>
      <c r="F642" s="1">
        <v>42332</v>
      </c>
      <c r="G642" t="s">
        <v>282</v>
      </c>
      <c r="H642" s="81">
        <v>463</v>
      </c>
      <c r="I642" t="s">
        <v>6</v>
      </c>
      <c r="J642" s="3">
        <v>51.22</v>
      </c>
    </row>
    <row r="643" spans="1:10" x14ac:dyDescent="0.25">
      <c r="A643" t="s">
        <v>254</v>
      </c>
      <c r="B643" t="s">
        <v>5</v>
      </c>
      <c r="C643" s="82">
        <v>5222687500</v>
      </c>
      <c r="D643">
        <v>201512</v>
      </c>
      <c r="E643" s="1">
        <v>42332</v>
      </c>
      <c r="F643" s="1">
        <v>42361</v>
      </c>
      <c r="G643" t="s">
        <v>282</v>
      </c>
      <c r="H643" s="81">
        <v>422</v>
      </c>
      <c r="I643" t="s">
        <v>6</v>
      </c>
      <c r="J643" s="3">
        <v>47.58</v>
      </c>
    </row>
    <row r="644" spans="1:10" x14ac:dyDescent="0.25">
      <c r="A644" t="s">
        <v>254</v>
      </c>
      <c r="B644" t="s">
        <v>5</v>
      </c>
      <c r="C644" s="82">
        <v>5222687500</v>
      </c>
      <c r="D644">
        <v>201601</v>
      </c>
      <c r="E644" s="1">
        <v>42361</v>
      </c>
      <c r="F644" s="1">
        <v>42395</v>
      </c>
      <c r="G644" t="s">
        <v>282</v>
      </c>
      <c r="H644" s="81">
        <v>492</v>
      </c>
      <c r="I644" t="s">
        <v>6</v>
      </c>
      <c r="J644" s="3">
        <v>53.75</v>
      </c>
    </row>
    <row r="645" spans="1:10" x14ac:dyDescent="0.25">
      <c r="A645" t="s">
        <v>254</v>
      </c>
      <c r="B645" t="s">
        <v>5</v>
      </c>
      <c r="C645" s="82">
        <v>5222687500</v>
      </c>
      <c r="D645">
        <v>201602</v>
      </c>
      <c r="E645" s="1">
        <v>42395</v>
      </c>
      <c r="F645" s="1">
        <v>42424</v>
      </c>
      <c r="G645" t="s">
        <v>282</v>
      </c>
      <c r="H645" s="81">
        <v>391</v>
      </c>
      <c r="I645" t="s">
        <v>6</v>
      </c>
      <c r="J645" s="3">
        <v>44.79</v>
      </c>
    </row>
    <row r="646" spans="1:10" x14ac:dyDescent="0.25">
      <c r="A646" t="s">
        <v>254</v>
      </c>
      <c r="B646" t="s">
        <v>5</v>
      </c>
      <c r="C646" s="82">
        <v>5222687500</v>
      </c>
      <c r="D646">
        <v>201603</v>
      </c>
      <c r="E646" s="1">
        <v>42424</v>
      </c>
      <c r="F646" s="1">
        <v>42453</v>
      </c>
      <c r="G646" t="s">
        <v>282</v>
      </c>
      <c r="H646" s="81">
        <v>357</v>
      </c>
      <c r="I646" t="s">
        <v>6</v>
      </c>
      <c r="J646" s="3">
        <v>41.77</v>
      </c>
    </row>
    <row r="647" spans="1:10" x14ac:dyDescent="0.25">
      <c r="A647" t="s">
        <v>254</v>
      </c>
      <c r="B647" t="s">
        <v>5</v>
      </c>
      <c r="C647" s="82">
        <v>5222687500</v>
      </c>
      <c r="D647">
        <v>201604</v>
      </c>
      <c r="E647" s="1">
        <v>42453</v>
      </c>
      <c r="F647" s="1">
        <v>42487</v>
      </c>
      <c r="G647" t="s">
        <v>282</v>
      </c>
      <c r="H647" s="81">
        <v>374</v>
      </c>
      <c r="I647" t="s">
        <v>6</v>
      </c>
      <c r="J647" s="3">
        <v>43.38</v>
      </c>
    </row>
    <row r="648" spans="1:10" x14ac:dyDescent="0.25">
      <c r="A648" t="s">
        <v>254</v>
      </c>
      <c r="B648" t="s">
        <v>5</v>
      </c>
      <c r="C648" s="82">
        <v>5222687500</v>
      </c>
      <c r="D648">
        <v>201605</v>
      </c>
      <c r="E648" s="1">
        <v>42487</v>
      </c>
      <c r="F648" s="1">
        <v>42514</v>
      </c>
      <c r="G648" t="s">
        <v>282</v>
      </c>
      <c r="H648" s="81">
        <v>297</v>
      </c>
      <c r="I648" t="s">
        <v>6</v>
      </c>
      <c r="J648" s="3">
        <v>36.74</v>
      </c>
    </row>
    <row r="649" spans="1:10" x14ac:dyDescent="0.25">
      <c r="A649" t="s">
        <v>254</v>
      </c>
      <c r="B649" t="s">
        <v>5</v>
      </c>
      <c r="C649" s="82">
        <v>5222687500</v>
      </c>
      <c r="D649">
        <v>201606</v>
      </c>
      <c r="E649" s="1">
        <v>42514</v>
      </c>
      <c r="F649" s="1">
        <v>42544</v>
      </c>
      <c r="G649" t="s">
        <v>282</v>
      </c>
      <c r="H649" s="81">
        <v>303</v>
      </c>
      <c r="I649" t="s">
        <v>6</v>
      </c>
      <c r="J649" s="3">
        <v>37.299999999999997</v>
      </c>
    </row>
    <row r="650" spans="1:10" x14ac:dyDescent="0.25">
      <c r="A650" t="s">
        <v>254</v>
      </c>
      <c r="B650" t="s">
        <v>5</v>
      </c>
      <c r="C650" s="82">
        <v>4729422156</v>
      </c>
      <c r="D650">
        <v>201507</v>
      </c>
      <c r="E650" s="1">
        <v>42185</v>
      </c>
      <c r="F650" s="1">
        <v>42216</v>
      </c>
      <c r="G650" t="s">
        <v>284</v>
      </c>
      <c r="H650" s="81">
        <v>447</v>
      </c>
      <c r="I650" t="s">
        <v>6</v>
      </c>
      <c r="J650" s="3">
        <v>50.18</v>
      </c>
    </row>
    <row r="651" spans="1:10" x14ac:dyDescent="0.25">
      <c r="A651" t="s">
        <v>254</v>
      </c>
      <c r="B651" t="s">
        <v>5</v>
      </c>
      <c r="C651" s="82">
        <v>4729422156</v>
      </c>
      <c r="D651">
        <v>201508</v>
      </c>
      <c r="E651" s="1">
        <v>42216</v>
      </c>
      <c r="F651" s="1">
        <v>42243</v>
      </c>
      <c r="G651" t="s">
        <v>284</v>
      </c>
      <c r="H651" s="81">
        <v>360</v>
      </c>
      <c r="I651" t="s">
        <v>6</v>
      </c>
      <c r="J651" s="3">
        <v>42.4</v>
      </c>
    </row>
    <row r="652" spans="1:10" x14ac:dyDescent="0.25">
      <c r="A652" t="s">
        <v>254</v>
      </c>
      <c r="B652" t="s">
        <v>5</v>
      </c>
      <c r="C652" s="82">
        <v>4729422156</v>
      </c>
      <c r="D652">
        <v>201509</v>
      </c>
      <c r="E652" s="1">
        <v>42243</v>
      </c>
      <c r="F652" s="1">
        <v>42275</v>
      </c>
      <c r="G652" t="s">
        <v>284</v>
      </c>
      <c r="H652" s="81">
        <v>729</v>
      </c>
      <c r="I652" t="s">
        <v>6</v>
      </c>
      <c r="J652" s="3">
        <v>74.92</v>
      </c>
    </row>
    <row r="653" spans="1:10" x14ac:dyDescent="0.25">
      <c r="A653" t="s">
        <v>254</v>
      </c>
      <c r="B653" t="s">
        <v>5</v>
      </c>
      <c r="C653" s="82">
        <v>4729422156</v>
      </c>
      <c r="D653">
        <v>201510</v>
      </c>
      <c r="E653" s="1">
        <v>42275</v>
      </c>
      <c r="F653" s="1">
        <v>42305</v>
      </c>
      <c r="G653" t="s">
        <v>284</v>
      </c>
      <c r="H653" s="81">
        <v>768</v>
      </c>
      <c r="I653" t="s">
        <v>6</v>
      </c>
      <c r="J653" s="3">
        <v>78.290000000000006</v>
      </c>
    </row>
    <row r="654" spans="1:10" x14ac:dyDescent="0.25">
      <c r="A654" t="s">
        <v>254</v>
      </c>
      <c r="B654" t="s">
        <v>5</v>
      </c>
      <c r="C654" s="82">
        <v>4729422156</v>
      </c>
      <c r="D654">
        <v>201511</v>
      </c>
      <c r="E654" s="1">
        <v>42305</v>
      </c>
      <c r="F654" s="1">
        <v>42340</v>
      </c>
      <c r="G654" t="s">
        <v>284</v>
      </c>
      <c r="H654" s="81">
        <v>848</v>
      </c>
      <c r="I654" t="s">
        <v>6</v>
      </c>
      <c r="J654" s="3">
        <v>85.38</v>
      </c>
    </row>
    <row r="655" spans="1:10" x14ac:dyDescent="0.25">
      <c r="A655" t="s">
        <v>254</v>
      </c>
      <c r="B655" t="s">
        <v>5</v>
      </c>
      <c r="C655" s="82">
        <v>4729422156</v>
      </c>
      <c r="D655">
        <v>201512</v>
      </c>
      <c r="E655" s="1">
        <v>42340</v>
      </c>
      <c r="F655" s="1">
        <v>42369</v>
      </c>
      <c r="G655" t="s">
        <v>284</v>
      </c>
      <c r="H655" s="81">
        <v>561</v>
      </c>
      <c r="I655" t="s">
        <v>6</v>
      </c>
      <c r="J655" s="3">
        <v>59.92</v>
      </c>
    </row>
    <row r="656" spans="1:10" x14ac:dyDescent="0.25">
      <c r="A656" t="s">
        <v>254</v>
      </c>
      <c r="B656" t="s">
        <v>5</v>
      </c>
      <c r="C656" s="82">
        <v>4729422156</v>
      </c>
      <c r="D656">
        <v>201601</v>
      </c>
      <c r="E656" s="1">
        <v>42369</v>
      </c>
      <c r="F656" s="1">
        <v>42402</v>
      </c>
      <c r="G656" t="s">
        <v>284</v>
      </c>
      <c r="H656" s="81">
        <v>1829</v>
      </c>
      <c r="I656" t="s">
        <v>6</v>
      </c>
      <c r="J656" s="3">
        <v>172.24</v>
      </c>
    </row>
    <row r="657" spans="1:10" x14ac:dyDescent="0.25">
      <c r="A657" t="s">
        <v>254</v>
      </c>
      <c r="B657" t="s">
        <v>5</v>
      </c>
      <c r="C657" s="82">
        <v>4729422156</v>
      </c>
      <c r="D657">
        <v>201602</v>
      </c>
      <c r="E657" s="1">
        <v>42402</v>
      </c>
      <c r="F657" s="1">
        <v>42429</v>
      </c>
      <c r="G657" t="s">
        <v>284</v>
      </c>
      <c r="H657" s="81">
        <v>1128</v>
      </c>
      <c r="I657" t="s">
        <v>6</v>
      </c>
      <c r="J657" s="3">
        <v>110.11</v>
      </c>
    </row>
    <row r="658" spans="1:10" x14ac:dyDescent="0.25">
      <c r="A658" t="s">
        <v>254</v>
      </c>
      <c r="B658" t="s">
        <v>5</v>
      </c>
      <c r="C658" s="82">
        <v>4729422156</v>
      </c>
      <c r="D658">
        <v>201603</v>
      </c>
      <c r="E658" s="1">
        <v>42429</v>
      </c>
      <c r="F658" s="1">
        <v>42460</v>
      </c>
      <c r="G658" t="s">
        <v>284</v>
      </c>
      <c r="H658" s="81">
        <v>690</v>
      </c>
      <c r="I658" t="s">
        <v>6</v>
      </c>
      <c r="J658" s="3">
        <v>71.290000000000006</v>
      </c>
    </row>
    <row r="659" spans="1:10" x14ac:dyDescent="0.25">
      <c r="A659" t="s">
        <v>254</v>
      </c>
      <c r="B659" t="s">
        <v>5</v>
      </c>
      <c r="C659" s="82">
        <v>4729422156</v>
      </c>
      <c r="D659">
        <v>201604</v>
      </c>
      <c r="E659" s="1">
        <v>42460</v>
      </c>
      <c r="F659" s="1">
        <v>42489</v>
      </c>
      <c r="G659" t="s">
        <v>284</v>
      </c>
      <c r="H659" s="81">
        <v>583</v>
      </c>
      <c r="I659" t="s">
        <v>6</v>
      </c>
      <c r="J659" s="3">
        <v>61.97</v>
      </c>
    </row>
    <row r="660" spans="1:10" x14ac:dyDescent="0.25">
      <c r="A660" t="s">
        <v>254</v>
      </c>
      <c r="B660" t="s">
        <v>5</v>
      </c>
      <c r="C660" s="82">
        <v>4729422156</v>
      </c>
      <c r="D660">
        <v>201605</v>
      </c>
      <c r="E660" s="1">
        <v>42489</v>
      </c>
      <c r="F660" s="1">
        <v>42521</v>
      </c>
      <c r="G660" t="s">
        <v>284</v>
      </c>
      <c r="H660" s="81">
        <v>296</v>
      </c>
      <c r="I660" t="s">
        <v>6</v>
      </c>
      <c r="J660" s="3">
        <v>36.65</v>
      </c>
    </row>
    <row r="661" spans="1:10" x14ac:dyDescent="0.25">
      <c r="A661" t="s">
        <v>254</v>
      </c>
      <c r="B661" t="s">
        <v>5</v>
      </c>
      <c r="C661" s="82">
        <v>4729422156</v>
      </c>
      <c r="D661">
        <v>201606</v>
      </c>
      <c r="E661" s="1">
        <v>42521</v>
      </c>
      <c r="F661" s="1">
        <v>42549</v>
      </c>
      <c r="G661" t="s">
        <v>284</v>
      </c>
      <c r="H661" s="81">
        <v>153</v>
      </c>
      <c r="I661" t="s">
        <v>6</v>
      </c>
      <c r="J661" s="3">
        <v>23.83</v>
      </c>
    </row>
    <row r="662" spans="1:10" x14ac:dyDescent="0.25">
      <c r="A662" t="s">
        <v>254</v>
      </c>
      <c r="B662" t="s">
        <v>5</v>
      </c>
      <c r="C662" s="82">
        <v>4732745007</v>
      </c>
      <c r="D662">
        <v>201507</v>
      </c>
      <c r="E662" s="1">
        <v>42185</v>
      </c>
      <c r="F662" s="1">
        <v>42216</v>
      </c>
      <c r="G662" t="s">
        <v>287</v>
      </c>
      <c r="H662" s="81">
        <v>347</v>
      </c>
      <c r="I662" t="s">
        <v>6</v>
      </c>
      <c r="J662" s="3">
        <v>41.22</v>
      </c>
    </row>
    <row r="663" spans="1:10" x14ac:dyDescent="0.25">
      <c r="A663" t="s">
        <v>254</v>
      </c>
      <c r="B663" t="s">
        <v>5</v>
      </c>
      <c r="C663" s="82">
        <v>4732745007</v>
      </c>
      <c r="D663">
        <v>201508</v>
      </c>
      <c r="E663" s="1">
        <v>42216</v>
      </c>
      <c r="F663" s="1">
        <v>42243</v>
      </c>
      <c r="G663" t="s">
        <v>287</v>
      </c>
      <c r="H663" s="81">
        <v>410</v>
      </c>
      <c r="I663" t="s">
        <v>6</v>
      </c>
      <c r="J663" s="3">
        <v>46.89</v>
      </c>
    </row>
    <row r="664" spans="1:10" x14ac:dyDescent="0.25">
      <c r="A664" t="s">
        <v>254</v>
      </c>
      <c r="B664" t="s">
        <v>5</v>
      </c>
      <c r="C664" s="82">
        <v>4732745007</v>
      </c>
      <c r="D664">
        <v>201509</v>
      </c>
      <c r="E664" s="1">
        <v>42243</v>
      </c>
      <c r="F664" s="1">
        <v>42275</v>
      </c>
      <c r="G664" t="s">
        <v>287</v>
      </c>
      <c r="H664" s="81">
        <v>976</v>
      </c>
      <c r="I664" t="s">
        <v>6</v>
      </c>
      <c r="J664" s="3">
        <v>96.87</v>
      </c>
    </row>
    <row r="665" spans="1:10" x14ac:dyDescent="0.25">
      <c r="A665" t="s">
        <v>254</v>
      </c>
      <c r="B665" t="s">
        <v>5</v>
      </c>
      <c r="C665" s="82">
        <v>4732745007</v>
      </c>
      <c r="D665">
        <v>201510</v>
      </c>
      <c r="E665" s="1">
        <v>42275</v>
      </c>
      <c r="F665" s="1">
        <v>42305</v>
      </c>
      <c r="G665" t="s">
        <v>287</v>
      </c>
      <c r="H665" s="81">
        <v>706</v>
      </c>
      <c r="I665" t="s">
        <v>6</v>
      </c>
      <c r="J665" s="3">
        <v>72.8</v>
      </c>
    </row>
    <row r="666" spans="1:10" x14ac:dyDescent="0.25">
      <c r="A666" t="s">
        <v>254</v>
      </c>
      <c r="B666" t="s">
        <v>5</v>
      </c>
      <c r="C666" s="82">
        <v>4732745007</v>
      </c>
      <c r="D666">
        <v>201511</v>
      </c>
      <c r="E666" s="1">
        <v>42305</v>
      </c>
      <c r="F666" s="1">
        <v>42340</v>
      </c>
      <c r="G666" t="s">
        <v>287</v>
      </c>
      <c r="H666" s="81">
        <v>1048</v>
      </c>
      <c r="I666" t="s">
        <v>6</v>
      </c>
      <c r="J666" s="3">
        <v>103.15</v>
      </c>
    </row>
    <row r="667" spans="1:10" x14ac:dyDescent="0.25">
      <c r="A667" t="s">
        <v>254</v>
      </c>
      <c r="B667" t="s">
        <v>5</v>
      </c>
      <c r="C667" s="82">
        <v>4732745007</v>
      </c>
      <c r="D667">
        <v>201512</v>
      </c>
      <c r="E667" s="1">
        <v>42340</v>
      </c>
      <c r="F667" s="1">
        <v>42369</v>
      </c>
      <c r="G667" t="s">
        <v>287</v>
      </c>
      <c r="H667" s="81">
        <v>981</v>
      </c>
      <c r="I667" t="s">
        <v>6</v>
      </c>
      <c r="J667" s="3">
        <v>97.2</v>
      </c>
    </row>
    <row r="668" spans="1:10" x14ac:dyDescent="0.25">
      <c r="A668" t="s">
        <v>254</v>
      </c>
      <c r="B668" t="s">
        <v>5</v>
      </c>
      <c r="C668" s="82">
        <v>4732745007</v>
      </c>
      <c r="D668">
        <v>201601</v>
      </c>
      <c r="E668" s="1">
        <v>42369</v>
      </c>
      <c r="F668" s="1">
        <v>42402</v>
      </c>
      <c r="G668" t="s">
        <v>287</v>
      </c>
      <c r="H668" s="81">
        <v>1771</v>
      </c>
      <c r="I668" t="s">
        <v>6</v>
      </c>
      <c r="J668" s="3">
        <v>167.08</v>
      </c>
    </row>
    <row r="669" spans="1:10" x14ac:dyDescent="0.25">
      <c r="A669" t="s">
        <v>254</v>
      </c>
      <c r="B669" t="s">
        <v>5</v>
      </c>
      <c r="C669" s="82">
        <v>4732745007</v>
      </c>
      <c r="D669">
        <v>201602</v>
      </c>
      <c r="E669" s="1">
        <v>42402</v>
      </c>
      <c r="F669" s="1">
        <v>42429</v>
      </c>
      <c r="G669" t="s">
        <v>287</v>
      </c>
      <c r="H669" s="81">
        <v>1460</v>
      </c>
      <c r="I669" t="s">
        <v>6</v>
      </c>
      <c r="J669" s="3">
        <v>139.55000000000001</v>
      </c>
    </row>
    <row r="670" spans="1:10" x14ac:dyDescent="0.25">
      <c r="A670" t="s">
        <v>254</v>
      </c>
      <c r="B670" t="s">
        <v>5</v>
      </c>
      <c r="C670" s="82">
        <v>4732745007</v>
      </c>
      <c r="D670">
        <v>201603</v>
      </c>
      <c r="E670" s="1">
        <v>42429</v>
      </c>
      <c r="F670" s="1">
        <v>42460</v>
      </c>
      <c r="G670" t="s">
        <v>287</v>
      </c>
      <c r="H670" s="81">
        <v>941</v>
      </c>
      <c r="I670" t="s">
        <v>6</v>
      </c>
      <c r="J670" s="3">
        <v>93.54</v>
      </c>
    </row>
    <row r="671" spans="1:10" x14ac:dyDescent="0.25">
      <c r="A671" t="s">
        <v>254</v>
      </c>
      <c r="B671" t="s">
        <v>5</v>
      </c>
      <c r="C671" s="82">
        <v>4732745007</v>
      </c>
      <c r="D671">
        <v>201604</v>
      </c>
      <c r="E671" s="1">
        <v>42460</v>
      </c>
      <c r="F671" s="1">
        <v>42489</v>
      </c>
      <c r="G671" t="s">
        <v>287</v>
      </c>
      <c r="H671" s="81">
        <v>895</v>
      </c>
      <c r="I671" t="s">
        <v>6</v>
      </c>
      <c r="J671" s="3">
        <v>89.74</v>
      </c>
    </row>
    <row r="672" spans="1:10" x14ac:dyDescent="0.25">
      <c r="A672" t="s">
        <v>254</v>
      </c>
      <c r="B672" t="s">
        <v>5</v>
      </c>
      <c r="C672" s="82">
        <v>4732745007</v>
      </c>
      <c r="D672">
        <v>201605</v>
      </c>
      <c r="E672" s="1">
        <v>42489</v>
      </c>
      <c r="F672" s="1">
        <v>42521</v>
      </c>
      <c r="G672" t="s">
        <v>287</v>
      </c>
      <c r="H672" s="81">
        <v>718</v>
      </c>
      <c r="I672" t="s">
        <v>6</v>
      </c>
      <c r="J672" s="3">
        <v>74.459999999999994</v>
      </c>
    </row>
    <row r="673" spans="1:10" x14ac:dyDescent="0.25">
      <c r="A673" t="s">
        <v>254</v>
      </c>
      <c r="B673" t="s">
        <v>5</v>
      </c>
      <c r="C673" s="82">
        <v>4732745007</v>
      </c>
      <c r="D673">
        <v>201606</v>
      </c>
      <c r="E673" s="1">
        <v>42521</v>
      </c>
      <c r="F673" s="1">
        <v>42549</v>
      </c>
      <c r="G673" t="s">
        <v>287</v>
      </c>
      <c r="H673" s="81">
        <v>198</v>
      </c>
      <c r="I673" t="s">
        <v>6</v>
      </c>
      <c r="J673" s="3">
        <v>27.88</v>
      </c>
    </row>
    <row r="674" spans="1:10" x14ac:dyDescent="0.25">
      <c r="A674" t="s">
        <v>254</v>
      </c>
      <c r="B674" t="s">
        <v>5</v>
      </c>
      <c r="C674" s="82">
        <v>4741893954</v>
      </c>
      <c r="D674">
        <v>201507</v>
      </c>
      <c r="E674" s="1">
        <v>42185</v>
      </c>
      <c r="F674" s="1">
        <v>42216</v>
      </c>
      <c r="G674" t="s">
        <v>290</v>
      </c>
      <c r="H674" s="81">
        <v>514</v>
      </c>
      <c r="I674" t="s">
        <v>6</v>
      </c>
      <c r="J674" s="3">
        <v>56.21</v>
      </c>
    </row>
    <row r="675" spans="1:10" x14ac:dyDescent="0.25">
      <c r="A675" t="s">
        <v>254</v>
      </c>
      <c r="B675" t="s">
        <v>5</v>
      </c>
      <c r="C675" s="82">
        <v>4741893954</v>
      </c>
      <c r="D675">
        <v>201508</v>
      </c>
      <c r="E675" s="1">
        <v>42216</v>
      </c>
      <c r="F675" s="1">
        <v>42243</v>
      </c>
      <c r="G675" t="s">
        <v>290</v>
      </c>
      <c r="H675" s="81">
        <v>364</v>
      </c>
      <c r="I675" t="s">
        <v>6</v>
      </c>
      <c r="J675" s="3">
        <v>42.76</v>
      </c>
    </row>
    <row r="676" spans="1:10" x14ac:dyDescent="0.25">
      <c r="A676" t="s">
        <v>254</v>
      </c>
      <c r="B676" t="s">
        <v>5</v>
      </c>
      <c r="C676" s="82">
        <v>4741893954</v>
      </c>
      <c r="D676">
        <v>201509</v>
      </c>
      <c r="E676" s="1">
        <v>42243</v>
      </c>
      <c r="F676" s="1">
        <v>42275</v>
      </c>
      <c r="G676" t="s">
        <v>290</v>
      </c>
      <c r="H676" s="81">
        <v>993</v>
      </c>
      <c r="I676" t="s">
        <v>6</v>
      </c>
      <c r="J676" s="3">
        <v>98.37</v>
      </c>
    </row>
    <row r="677" spans="1:10" x14ac:dyDescent="0.25">
      <c r="A677" t="s">
        <v>254</v>
      </c>
      <c r="B677" t="s">
        <v>5</v>
      </c>
      <c r="C677" s="82">
        <v>4741893954</v>
      </c>
      <c r="D677">
        <v>201510</v>
      </c>
      <c r="E677" s="1">
        <v>42275</v>
      </c>
      <c r="F677" s="1">
        <v>42305</v>
      </c>
      <c r="G677" t="s">
        <v>290</v>
      </c>
      <c r="H677" s="81">
        <v>792</v>
      </c>
      <c r="I677" t="s">
        <v>6</v>
      </c>
      <c r="J677" s="3">
        <v>80.430000000000007</v>
      </c>
    </row>
    <row r="678" spans="1:10" x14ac:dyDescent="0.25">
      <c r="A678" t="s">
        <v>254</v>
      </c>
      <c r="B678" t="s">
        <v>5</v>
      </c>
      <c r="C678" s="82">
        <v>4741893954</v>
      </c>
      <c r="D678">
        <v>201511</v>
      </c>
      <c r="E678" s="1">
        <v>42305</v>
      </c>
      <c r="F678" s="1">
        <v>42340</v>
      </c>
      <c r="G678" t="s">
        <v>290</v>
      </c>
      <c r="H678" s="81">
        <v>1101</v>
      </c>
      <c r="I678" t="s">
        <v>6</v>
      </c>
      <c r="J678" s="3">
        <v>107.85</v>
      </c>
    </row>
    <row r="679" spans="1:10" x14ac:dyDescent="0.25">
      <c r="A679" t="s">
        <v>254</v>
      </c>
      <c r="B679" t="s">
        <v>5</v>
      </c>
      <c r="C679" s="82">
        <v>4741893954</v>
      </c>
      <c r="D679">
        <v>201512</v>
      </c>
      <c r="E679" s="1">
        <v>42340</v>
      </c>
      <c r="F679" s="1">
        <v>42369</v>
      </c>
      <c r="G679" t="s">
        <v>290</v>
      </c>
      <c r="H679" s="81">
        <v>1062</v>
      </c>
      <c r="I679" t="s">
        <v>6</v>
      </c>
      <c r="J679" s="3">
        <v>104.4</v>
      </c>
    </row>
    <row r="680" spans="1:10" x14ac:dyDescent="0.25">
      <c r="A680" t="s">
        <v>254</v>
      </c>
      <c r="B680" t="s">
        <v>5</v>
      </c>
      <c r="C680" s="82">
        <v>4741893954</v>
      </c>
      <c r="D680">
        <v>201601</v>
      </c>
      <c r="E680" s="1">
        <v>42369</v>
      </c>
      <c r="F680" s="1">
        <v>42402</v>
      </c>
      <c r="G680" t="s">
        <v>290</v>
      </c>
      <c r="H680" s="81">
        <v>2561</v>
      </c>
      <c r="I680" t="s">
        <v>6</v>
      </c>
      <c r="J680" s="3">
        <v>237.11</v>
      </c>
    </row>
    <row r="681" spans="1:10" x14ac:dyDescent="0.25">
      <c r="A681" t="s">
        <v>254</v>
      </c>
      <c r="B681" t="s">
        <v>5</v>
      </c>
      <c r="C681" s="82">
        <v>4741893954</v>
      </c>
      <c r="D681">
        <v>201602</v>
      </c>
      <c r="E681" s="1">
        <v>42402</v>
      </c>
      <c r="F681" s="1">
        <v>42429</v>
      </c>
      <c r="G681" t="s">
        <v>290</v>
      </c>
      <c r="H681" s="81">
        <v>2052</v>
      </c>
      <c r="I681" t="s">
        <v>6</v>
      </c>
      <c r="J681" s="3">
        <v>191.99</v>
      </c>
    </row>
    <row r="682" spans="1:10" x14ac:dyDescent="0.25">
      <c r="A682" t="s">
        <v>254</v>
      </c>
      <c r="B682" t="s">
        <v>5</v>
      </c>
      <c r="C682" s="82">
        <v>4741893954</v>
      </c>
      <c r="D682">
        <v>201603</v>
      </c>
      <c r="E682" s="1">
        <v>42429</v>
      </c>
      <c r="F682" s="1">
        <v>42460</v>
      </c>
      <c r="G682" t="s">
        <v>290</v>
      </c>
      <c r="H682" s="81">
        <v>1264</v>
      </c>
      <c r="I682" t="s">
        <v>6</v>
      </c>
      <c r="J682" s="3">
        <v>122.15</v>
      </c>
    </row>
    <row r="683" spans="1:10" x14ac:dyDescent="0.25">
      <c r="A683" t="s">
        <v>254</v>
      </c>
      <c r="B683" t="s">
        <v>5</v>
      </c>
      <c r="C683" s="82">
        <v>4741893954</v>
      </c>
      <c r="D683">
        <v>201604</v>
      </c>
      <c r="E683" s="1">
        <v>42460</v>
      </c>
      <c r="F683" s="1">
        <v>42489</v>
      </c>
      <c r="G683" t="s">
        <v>290</v>
      </c>
      <c r="H683" s="81">
        <v>1008</v>
      </c>
      <c r="I683" t="s">
        <v>6</v>
      </c>
      <c r="J683" s="3">
        <v>99.78</v>
      </c>
    </row>
    <row r="684" spans="1:10" x14ac:dyDescent="0.25">
      <c r="A684" t="s">
        <v>254</v>
      </c>
      <c r="B684" t="s">
        <v>5</v>
      </c>
      <c r="C684" s="82">
        <v>4741893954</v>
      </c>
      <c r="D684">
        <v>201605</v>
      </c>
      <c r="E684" s="1">
        <v>42489</v>
      </c>
      <c r="F684" s="1">
        <v>42521</v>
      </c>
      <c r="G684" t="s">
        <v>290</v>
      </c>
      <c r="H684" s="81">
        <v>547</v>
      </c>
      <c r="I684" t="s">
        <v>6</v>
      </c>
      <c r="J684" s="3">
        <v>59.16</v>
      </c>
    </row>
    <row r="685" spans="1:10" x14ac:dyDescent="0.25">
      <c r="A685" t="s">
        <v>254</v>
      </c>
      <c r="B685" t="s">
        <v>5</v>
      </c>
      <c r="C685" s="82">
        <v>4741893954</v>
      </c>
      <c r="D685">
        <v>201606</v>
      </c>
      <c r="E685" s="1">
        <v>42521</v>
      </c>
      <c r="F685" s="1">
        <v>42549</v>
      </c>
      <c r="G685" t="s">
        <v>290</v>
      </c>
      <c r="H685" s="81">
        <v>192</v>
      </c>
      <c r="I685" t="s">
        <v>6</v>
      </c>
      <c r="J685" s="3">
        <v>27.34</v>
      </c>
    </row>
    <row r="686" spans="1:10" x14ac:dyDescent="0.25">
      <c r="A686" t="s">
        <v>256</v>
      </c>
      <c r="B686" t="s">
        <v>5</v>
      </c>
      <c r="C686" s="82">
        <v>4752832503</v>
      </c>
      <c r="D686">
        <v>201507</v>
      </c>
      <c r="E686" s="1">
        <v>42179</v>
      </c>
      <c r="F686" s="1">
        <v>42212</v>
      </c>
      <c r="G686" t="s">
        <v>257</v>
      </c>
      <c r="H686" s="81">
        <v>388</v>
      </c>
      <c r="I686" t="s">
        <v>6</v>
      </c>
      <c r="J686" s="3">
        <v>44.91</v>
      </c>
    </row>
    <row r="687" spans="1:10" x14ac:dyDescent="0.25">
      <c r="A687" t="s">
        <v>256</v>
      </c>
      <c r="B687" t="s">
        <v>5</v>
      </c>
      <c r="C687" s="82">
        <v>4752832503</v>
      </c>
      <c r="D687">
        <v>201508</v>
      </c>
      <c r="E687" s="1">
        <v>42212</v>
      </c>
      <c r="F687" s="1">
        <v>42240</v>
      </c>
      <c r="G687" t="s">
        <v>257</v>
      </c>
      <c r="H687" s="81">
        <v>275</v>
      </c>
      <c r="I687" t="s">
        <v>6</v>
      </c>
      <c r="J687" s="3">
        <v>34.78</v>
      </c>
    </row>
    <row r="688" spans="1:10" x14ac:dyDescent="0.25">
      <c r="A688" t="s">
        <v>256</v>
      </c>
      <c r="B688" t="s">
        <v>5</v>
      </c>
      <c r="C688" s="82">
        <v>4752832503</v>
      </c>
      <c r="D688">
        <v>201509</v>
      </c>
      <c r="E688" s="1">
        <v>42240</v>
      </c>
      <c r="F688" s="1">
        <v>42271</v>
      </c>
      <c r="G688" t="s">
        <v>257</v>
      </c>
      <c r="H688" s="81">
        <v>721</v>
      </c>
      <c r="I688" t="s">
        <v>6</v>
      </c>
      <c r="J688" s="3">
        <v>74.25</v>
      </c>
    </row>
    <row r="689" spans="1:10" x14ac:dyDescent="0.25">
      <c r="A689" t="s">
        <v>256</v>
      </c>
      <c r="B689" t="s">
        <v>5</v>
      </c>
      <c r="C689" s="82">
        <v>4752832503</v>
      </c>
      <c r="D689">
        <v>201510</v>
      </c>
      <c r="E689" s="1">
        <v>42271</v>
      </c>
      <c r="F689" s="1">
        <v>42300</v>
      </c>
      <c r="G689" t="s">
        <v>257</v>
      </c>
      <c r="H689" s="81">
        <v>635</v>
      </c>
      <c r="I689" t="s">
        <v>6</v>
      </c>
      <c r="J689" s="3">
        <v>66.489999999999995</v>
      </c>
    </row>
    <row r="690" spans="1:10" x14ac:dyDescent="0.25">
      <c r="A690" t="s">
        <v>256</v>
      </c>
      <c r="B690" t="s">
        <v>5</v>
      </c>
      <c r="C690" s="82">
        <v>4752832503</v>
      </c>
      <c r="D690">
        <v>201511</v>
      </c>
      <c r="E690" s="1">
        <v>42300</v>
      </c>
      <c r="F690" s="1">
        <v>42332</v>
      </c>
      <c r="G690" t="s">
        <v>257</v>
      </c>
      <c r="H690" s="81">
        <v>591</v>
      </c>
      <c r="I690" t="s">
        <v>6</v>
      </c>
      <c r="J690" s="3">
        <v>62.59</v>
      </c>
    </row>
    <row r="691" spans="1:10" x14ac:dyDescent="0.25">
      <c r="A691" t="s">
        <v>256</v>
      </c>
      <c r="B691" t="s">
        <v>5</v>
      </c>
      <c r="C691" s="82">
        <v>4752832503</v>
      </c>
      <c r="D691">
        <v>201512</v>
      </c>
      <c r="E691" s="1">
        <v>42332</v>
      </c>
      <c r="F691" s="1">
        <v>42361</v>
      </c>
      <c r="G691" t="s">
        <v>257</v>
      </c>
      <c r="H691" s="81">
        <v>452</v>
      </c>
      <c r="I691" t="s">
        <v>6</v>
      </c>
      <c r="J691" s="3">
        <v>50.23</v>
      </c>
    </row>
    <row r="692" spans="1:10" x14ac:dyDescent="0.25">
      <c r="A692" t="s">
        <v>256</v>
      </c>
      <c r="B692" t="s">
        <v>5</v>
      </c>
      <c r="C692" s="82">
        <v>4752832503</v>
      </c>
      <c r="D692">
        <v>201601</v>
      </c>
      <c r="E692" s="1">
        <v>42361</v>
      </c>
      <c r="F692" s="1">
        <v>42395</v>
      </c>
      <c r="G692" t="s">
        <v>257</v>
      </c>
      <c r="H692" s="81">
        <v>674</v>
      </c>
      <c r="I692" t="s">
        <v>6</v>
      </c>
      <c r="J692" s="3">
        <v>69.87</v>
      </c>
    </row>
    <row r="693" spans="1:10" x14ac:dyDescent="0.25">
      <c r="A693" t="s">
        <v>256</v>
      </c>
      <c r="B693" t="s">
        <v>5</v>
      </c>
      <c r="C693" s="82">
        <v>4752832503</v>
      </c>
      <c r="D693">
        <v>201602</v>
      </c>
      <c r="E693" s="1">
        <v>42395</v>
      </c>
      <c r="F693" s="1">
        <v>42424</v>
      </c>
      <c r="G693" t="s">
        <v>257</v>
      </c>
      <c r="H693" s="81">
        <v>799</v>
      </c>
      <c r="I693" t="s">
        <v>6</v>
      </c>
      <c r="J693" s="3">
        <v>80.95</v>
      </c>
    </row>
    <row r="694" spans="1:10" x14ac:dyDescent="0.25">
      <c r="A694" t="s">
        <v>256</v>
      </c>
      <c r="B694" t="s">
        <v>5</v>
      </c>
      <c r="C694" s="82">
        <v>4752832503</v>
      </c>
      <c r="D694">
        <v>201603</v>
      </c>
      <c r="E694" s="1">
        <v>42424</v>
      </c>
      <c r="F694" s="1">
        <v>42453</v>
      </c>
      <c r="G694" t="s">
        <v>257</v>
      </c>
      <c r="H694" s="81">
        <v>489</v>
      </c>
      <c r="I694" t="s">
        <v>6</v>
      </c>
      <c r="J694" s="3">
        <v>53.48</v>
      </c>
    </row>
    <row r="695" spans="1:10" x14ac:dyDescent="0.25">
      <c r="A695" t="s">
        <v>256</v>
      </c>
      <c r="B695" t="s">
        <v>5</v>
      </c>
      <c r="C695" s="82">
        <v>4752832503</v>
      </c>
      <c r="D695">
        <v>201604</v>
      </c>
      <c r="E695" s="1">
        <v>42453</v>
      </c>
      <c r="F695" s="1">
        <v>42487</v>
      </c>
      <c r="G695" t="s">
        <v>257</v>
      </c>
      <c r="H695" s="81">
        <v>565</v>
      </c>
      <c r="I695" t="s">
        <v>6</v>
      </c>
      <c r="J695" s="3">
        <v>60.35</v>
      </c>
    </row>
    <row r="696" spans="1:10" x14ac:dyDescent="0.25">
      <c r="A696" t="s">
        <v>256</v>
      </c>
      <c r="B696" t="s">
        <v>5</v>
      </c>
      <c r="C696" s="82">
        <v>4752832503</v>
      </c>
      <c r="D696">
        <v>201605</v>
      </c>
      <c r="E696" s="1">
        <v>42487</v>
      </c>
      <c r="F696" s="1">
        <v>42514</v>
      </c>
      <c r="G696" t="s">
        <v>257</v>
      </c>
      <c r="H696" s="81">
        <v>268</v>
      </c>
      <c r="I696" t="s">
        <v>6</v>
      </c>
      <c r="J696" s="3">
        <v>34.15</v>
      </c>
    </row>
    <row r="697" spans="1:10" x14ac:dyDescent="0.25">
      <c r="A697" t="s">
        <v>256</v>
      </c>
      <c r="B697" t="s">
        <v>5</v>
      </c>
      <c r="C697" s="82">
        <v>4752832503</v>
      </c>
      <c r="D697">
        <v>201606</v>
      </c>
      <c r="E697" s="1">
        <v>42514</v>
      </c>
      <c r="F697" s="1">
        <v>42544</v>
      </c>
      <c r="G697" t="s">
        <v>257</v>
      </c>
      <c r="H697" s="81">
        <v>192</v>
      </c>
      <c r="I697" t="s">
        <v>6</v>
      </c>
      <c r="J697" s="3">
        <v>27.34</v>
      </c>
    </row>
    <row r="698" spans="1:10" x14ac:dyDescent="0.25">
      <c r="A698" t="s">
        <v>256</v>
      </c>
      <c r="B698" t="s">
        <v>5</v>
      </c>
      <c r="C698" s="82">
        <v>4762855007</v>
      </c>
      <c r="D698">
        <v>201507</v>
      </c>
      <c r="E698" s="1">
        <v>42185</v>
      </c>
      <c r="F698" s="1">
        <v>42216</v>
      </c>
      <c r="G698" t="s">
        <v>260</v>
      </c>
      <c r="H698" s="81">
        <v>386</v>
      </c>
      <c r="I698" t="s">
        <v>6</v>
      </c>
      <c r="J698" s="3">
        <v>44.72</v>
      </c>
    </row>
    <row r="699" spans="1:10" x14ac:dyDescent="0.25">
      <c r="A699" t="s">
        <v>256</v>
      </c>
      <c r="B699" t="s">
        <v>5</v>
      </c>
      <c r="C699" s="82">
        <v>4762855007</v>
      </c>
      <c r="D699">
        <v>201508</v>
      </c>
      <c r="E699" s="1">
        <v>42216</v>
      </c>
      <c r="F699" s="1">
        <v>42243</v>
      </c>
      <c r="G699" t="s">
        <v>260</v>
      </c>
      <c r="H699" s="81">
        <v>325</v>
      </c>
      <c r="I699" t="s">
        <v>6</v>
      </c>
      <c r="J699" s="3">
        <v>39.26</v>
      </c>
    </row>
    <row r="700" spans="1:10" x14ac:dyDescent="0.25">
      <c r="A700" t="s">
        <v>256</v>
      </c>
      <c r="B700" t="s">
        <v>5</v>
      </c>
      <c r="C700" s="82">
        <v>4762855007</v>
      </c>
      <c r="D700">
        <v>201509</v>
      </c>
      <c r="E700" s="1">
        <v>42243</v>
      </c>
      <c r="F700" s="1">
        <v>42275</v>
      </c>
      <c r="G700" t="s">
        <v>260</v>
      </c>
      <c r="H700" s="81">
        <v>1573</v>
      </c>
      <c r="I700" t="s">
        <v>6</v>
      </c>
      <c r="J700" s="3">
        <v>149.91999999999999</v>
      </c>
    </row>
    <row r="701" spans="1:10" x14ac:dyDescent="0.25">
      <c r="A701" t="s">
        <v>256</v>
      </c>
      <c r="B701" t="s">
        <v>5</v>
      </c>
      <c r="C701" s="82">
        <v>4762855007</v>
      </c>
      <c r="D701">
        <v>201510</v>
      </c>
      <c r="E701" s="1">
        <v>42275</v>
      </c>
      <c r="F701" s="1">
        <v>42305</v>
      </c>
      <c r="G701" t="s">
        <v>260</v>
      </c>
      <c r="H701" s="81">
        <v>1123</v>
      </c>
      <c r="I701" t="s">
        <v>6</v>
      </c>
      <c r="J701" s="3">
        <v>109.8</v>
      </c>
    </row>
    <row r="702" spans="1:10" x14ac:dyDescent="0.25">
      <c r="A702" t="s">
        <v>256</v>
      </c>
      <c r="B702" t="s">
        <v>5</v>
      </c>
      <c r="C702" s="82">
        <v>4762855007</v>
      </c>
      <c r="D702">
        <v>201511</v>
      </c>
      <c r="E702" s="1">
        <v>42305</v>
      </c>
      <c r="F702" s="1">
        <v>42340</v>
      </c>
      <c r="G702" t="s">
        <v>260</v>
      </c>
      <c r="H702" s="81">
        <v>1192</v>
      </c>
      <c r="I702" t="s">
        <v>6</v>
      </c>
      <c r="J702" s="3">
        <v>115.93</v>
      </c>
    </row>
    <row r="703" spans="1:10" x14ac:dyDescent="0.25">
      <c r="A703" t="s">
        <v>256</v>
      </c>
      <c r="B703" t="s">
        <v>5</v>
      </c>
      <c r="C703" s="82">
        <v>4762855007</v>
      </c>
      <c r="D703">
        <v>201512</v>
      </c>
      <c r="E703" s="1">
        <v>42340</v>
      </c>
      <c r="F703" s="1">
        <v>42369</v>
      </c>
      <c r="G703" t="s">
        <v>260</v>
      </c>
      <c r="H703" s="81">
        <v>823</v>
      </c>
      <c r="I703" t="s">
        <v>6</v>
      </c>
      <c r="J703" s="3">
        <v>83.18</v>
      </c>
    </row>
    <row r="704" spans="1:10" x14ac:dyDescent="0.25">
      <c r="A704" t="s">
        <v>256</v>
      </c>
      <c r="B704" t="s">
        <v>5</v>
      </c>
      <c r="C704" s="82">
        <v>4762855007</v>
      </c>
      <c r="D704">
        <v>201601</v>
      </c>
      <c r="E704" s="1">
        <v>42369</v>
      </c>
      <c r="F704" s="1">
        <v>42402</v>
      </c>
      <c r="G704" t="s">
        <v>260</v>
      </c>
      <c r="H704" s="81">
        <v>1620</v>
      </c>
      <c r="I704" t="s">
        <v>6</v>
      </c>
      <c r="J704" s="3">
        <v>153.72</v>
      </c>
    </row>
    <row r="705" spans="1:10" x14ac:dyDescent="0.25">
      <c r="A705" t="s">
        <v>256</v>
      </c>
      <c r="B705" t="s">
        <v>5</v>
      </c>
      <c r="C705" s="82">
        <v>4762855007</v>
      </c>
      <c r="D705">
        <v>201602</v>
      </c>
      <c r="E705" s="1">
        <v>42402</v>
      </c>
      <c r="F705" s="1">
        <v>42429</v>
      </c>
      <c r="G705" t="s">
        <v>260</v>
      </c>
      <c r="H705" s="81">
        <v>1569</v>
      </c>
      <c r="I705" t="s">
        <v>6</v>
      </c>
      <c r="J705" s="3">
        <v>149.19</v>
      </c>
    </row>
    <row r="706" spans="1:10" x14ac:dyDescent="0.25">
      <c r="A706" t="s">
        <v>256</v>
      </c>
      <c r="B706" t="s">
        <v>5</v>
      </c>
      <c r="C706" s="82">
        <v>4762855007</v>
      </c>
      <c r="D706">
        <v>201603</v>
      </c>
      <c r="E706" s="1">
        <v>42429</v>
      </c>
      <c r="F706" s="1">
        <v>42460</v>
      </c>
      <c r="G706" t="s">
        <v>260</v>
      </c>
      <c r="H706" s="81">
        <v>1141</v>
      </c>
      <c r="I706" t="s">
        <v>6</v>
      </c>
      <c r="J706" s="3">
        <v>111.25</v>
      </c>
    </row>
    <row r="707" spans="1:10" x14ac:dyDescent="0.25">
      <c r="A707" t="s">
        <v>256</v>
      </c>
      <c r="B707" t="s">
        <v>5</v>
      </c>
      <c r="C707" s="82">
        <v>4762855007</v>
      </c>
      <c r="D707">
        <v>201604</v>
      </c>
      <c r="E707" s="1">
        <v>42460</v>
      </c>
      <c r="F707" s="1">
        <v>42489</v>
      </c>
      <c r="G707" t="s">
        <v>260</v>
      </c>
      <c r="H707" s="81">
        <v>991</v>
      </c>
      <c r="I707" t="s">
        <v>6</v>
      </c>
      <c r="J707" s="3">
        <v>98.29</v>
      </c>
    </row>
    <row r="708" spans="1:10" x14ac:dyDescent="0.25">
      <c r="A708" t="s">
        <v>256</v>
      </c>
      <c r="B708" t="s">
        <v>5</v>
      </c>
      <c r="C708" s="82">
        <v>4762855007</v>
      </c>
      <c r="D708">
        <v>201605</v>
      </c>
      <c r="E708" s="1">
        <v>42489</v>
      </c>
      <c r="F708" s="1">
        <v>42521</v>
      </c>
      <c r="G708" t="s">
        <v>260</v>
      </c>
      <c r="H708" s="81">
        <v>524</v>
      </c>
      <c r="I708" t="s">
        <v>6</v>
      </c>
      <c r="J708" s="3">
        <v>57.1</v>
      </c>
    </row>
    <row r="709" spans="1:10" x14ac:dyDescent="0.25">
      <c r="A709" t="s">
        <v>256</v>
      </c>
      <c r="B709" t="s">
        <v>5</v>
      </c>
      <c r="C709" s="82">
        <v>4762855007</v>
      </c>
      <c r="D709">
        <v>201606</v>
      </c>
      <c r="E709" s="1">
        <v>42521</v>
      </c>
      <c r="F709" s="1">
        <v>42549</v>
      </c>
      <c r="G709" t="s">
        <v>260</v>
      </c>
      <c r="H709" s="81">
        <v>142</v>
      </c>
      <c r="I709" t="s">
        <v>6</v>
      </c>
      <c r="J709" s="3">
        <v>22.86</v>
      </c>
    </row>
    <row r="710" spans="1:10" x14ac:dyDescent="0.25">
      <c r="A710" t="s">
        <v>256</v>
      </c>
      <c r="B710" t="s">
        <v>5</v>
      </c>
      <c r="C710" s="82">
        <v>4772800001</v>
      </c>
      <c r="D710">
        <v>201507</v>
      </c>
      <c r="E710" s="1">
        <v>42179</v>
      </c>
      <c r="F710" s="1">
        <v>42212</v>
      </c>
      <c r="G710" t="s">
        <v>263</v>
      </c>
      <c r="H710" s="81">
        <v>464</v>
      </c>
      <c r="I710" t="s">
        <v>6</v>
      </c>
      <c r="J710" s="3">
        <v>51.71</v>
      </c>
    </row>
    <row r="711" spans="1:10" x14ac:dyDescent="0.25">
      <c r="A711" t="s">
        <v>256</v>
      </c>
      <c r="B711" t="s">
        <v>5</v>
      </c>
      <c r="C711" s="82">
        <v>4772800001</v>
      </c>
      <c r="D711">
        <v>201508</v>
      </c>
      <c r="E711" s="1">
        <v>42212</v>
      </c>
      <c r="F711" s="1">
        <v>42240</v>
      </c>
      <c r="G711" t="s">
        <v>263</v>
      </c>
      <c r="H711" s="81">
        <v>297</v>
      </c>
      <c r="I711" t="s">
        <v>6</v>
      </c>
      <c r="J711" s="3">
        <v>36.74</v>
      </c>
    </row>
    <row r="712" spans="1:10" x14ac:dyDescent="0.25">
      <c r="A712" t="s">
        <v>256</v>
      </c>
      <c r="B712" t="s">
        <v>5</v>
      </c>
      <c r="C712" s="82">
        <v>4772800001</v>
      </c>
      <c r="D712">
        <v>201509</v>
      </c>
      <c r="E712" s="1">
        <v>42240</v>
      </c>
      <c r="F712" s="1">
        <v>42271</v>
      </c>
      <c r="G712" t="s">
        <v>263</v>
      </c>
      <c r="H712" s="81">
        <v>856</v>
      </c>
      <c r="I712" t="s">
        <v>6</v>
      </c>
      <c r="J712" s="3">
        <v>86.26</v>
      </c>
    </row>
    <row r="713" spans="1:10" x14ac:dyDescent="0.25">
      <c r="A713" t="s">
        <v>256</v>
      </c>
      <c r="B713" t="s">
        <v>5</v>
      </c>
      <c r="C713" s="82">
        <v>4772800001</v>
      </c>
      <c r="D713">
        <v>201510</v>
      </c>
      <c r="E713" s="1">
        <v>42271</v>
      </c>
      <c r="F713" s="1">
        <v>42300</v>
      </c>
      <c r="G713" t="s">
        <v>263</v>
      </c>
      <c r="H713" s="81">
        <v>722</v>
      </c>
      <c r="I713" t="s">
        <v>6</v>
      </c>
      <c r="J713" s="3">
        <v>74.22</v>
      </c>
    </row>
    <row r="714" spans="1:10" x14ac:dyDescent="0.25">
      <c r="A714" t="s">
        <v>256</v>
      </c>
      <c r="B714" t="s">
        <v>5</v>
      </c>
      <c r="C714" s="82">
        <v>4772800001</v>
      </c>
      <c r="D714">
        <v>201511</v>
      </c>
      <c r="E714" s="1">
        <v>42300</v>
      </c>
      <c r="F714" s="1">
        <v>42332</v>
      </c>
      <c r="G714" t="s">
        <v>263</v>
      </c>
      <c r="H714" s="81">
        <v>1072</v>
      </c>
      <c r="I714" t="s">
        <v>6</v>
      </c>
      <c r="J714" s="3">
        <v>105.28</v>
      </c>
    </row>
    <row r="715" spans="1:10" x14ac:dyDescent="0.25">
      <c r="A715" t="s">
        <v>256</v>
      </c>
      <c r="B715" t="s">
        <v>5</v>
      </c>
      <c r="C715" s="82">
        <v>4772800001</v>
      </c>
      <c r="D715">
        <v>201512</v>
      </c>
      <c r="E715" s="1">
        <v>42332</v>
      </c>
      <c r="F715" s="1">
        <v>42361</v>
      </c>
      <c r="G715" t="s">
        <v>263</v>
      </c>
      <c r="H715" s="81">
        <v>1134</v>
      </c>
      <c r="I715" t="s">
        <v>6</v>
      </c>
      <c r="J715" s="3">
        <v>110.77</v>
      </c>
    </row>
    <row r="716" spans="1:10" x14ac:dyDescent="0.25">
      <c r="A716" t="s">
        <v>256</v>
      </c>
      <c r="B716" t="s">
        <v>5</v>
      </c>
      <c r="C716" s="82">
        <v>4772800001</v>
      </c>
      <c r="D716">
        <v>201601</v>
      </c>
      <c r="E716" s="1">
        <v>42361</v>
      </c>
      <c r="F716" s="1">
        <v>42395</v>
      </c>
      <c r="G716" t="s">
        <v>263</v>
      </c>
      <c r="H716" s="81">
        <v>1834</v>
      </c>
      <c r="I716" t="s">
        <v>6</v>
      </c>
      <c r="J716" s="3">
        <v>172.74</v>
      </c>
    </row>
    <row r="717" spans="1:10" x14ac:dyDescent="0.25">
      <c r="A717" t="s">
        <v>256</v>
      </c>
      <c r="B717" t="s">
        <v>5</v>
      </c>
      <c r="C717" s="82">
        <v>4772800001</v>
      </c>
      <c r="D717">
        <v>201602</v>
      </c>
      <c r="E717" s="1">
        <v>42395</v>
      </c>
      <c r="F717" s="1">
        <v>42424</v>
      </c>
      <c r="G717" t="s">
        <v>263</v>
      </c>
      <c r="H717" s="81">
        <v>1388</v>
      </c>
      <c r="I717" t="s">
        <v>6</v>
      </c>
      <c r="J717" s="3">
        <v>133.16999999999999</v>
      </c>
    </row>
    <row r="718" spans="1:10" x14ac:dyDescent="0.25">
      <c r="A718" t="s">
        <v>256</v>
      </c>
      <c r="B718" t="s">
        <v>5</v>
      </c>
      <c r="C718" s="82">
        <v>4772800001</v>
      </c>
      <c r="D718">
        <v>201603</v>
      </c>
      <c r="E718" s="1">
        <v>42424</v>
      </c>
      <c r="F718" s="1">
        <v>42453</v>
      </c>
      <c r="G718" t="s">
        <v>263</v>
      </c>
      <c r="H718" s="81">
        <v>809</v>
      </c>
      <c r="I718" t="s">
        <v>6</v>
      </c>
      <c r="J718" s="3">
        <v>81.83</v>
      </c>
    </row>
    <row r="719" spans="1:10" x14ac:dyDescent="0.25">
      <c r="A719" t="s">
        <v>256</v>
      </c>
      <c r="B719" t="s">
        <v>5</v>
      </c>
      <c r="C719" s="82">
        <v>4772800001</v>
      </c>
      <c r="D719">
        <v>201604</v>
      </c>
      <c r="E719" s="1">
        <v>42453</v>
      </c>
      <c r="F719" s="1">
        <v>42487</v>
      </c>
      <c r="G719" t="s">
        <v>263</v>
      </c>
      <c r="H719" s="81">
        <v>1008</v>
      </c>
      <c r="I719" t="s">
        <v>6</v>
      </c>
      <c r="J719" s="3">
        <v>99.72</v>
      </c>
    </row>
    <row r="720" spans="1:10" x14ac:dyDescent="0.25">
      <c r="A720" t="s">
        <v>256</v>
      </c>
      <c r="B720" t="s">
        <v>5</v>
      </c>
      <c r="C720" s="82">
        <v>4772800001</v>
      </c>
      <c r="D720">
        <v>201605</v>
      </c>
      <c r="E720" s="1">
        <v>42487</v>
      </c>
      <c r="F720" s="1">
        <v>42514</v>
      </c>
      <c r="G720" t="s">
        <v>263</v>
      </c>
      <c r="H720" s="81">
        <v>476</v>
      </c>
      <c r="I720" t="s">
        <v>6</v>
      </c>
      <c r="J720" s="3">
        <v>52.78</v>
      </c>
    </row>
    <row r="721" spans="1:10" x14ac:dyDescent="0.25">
      <c r="A721" t="s">
        <v>256</v>
      </c>
      <c r="B721" t="s">
        <v>5</v>
      </c>
      <c r="C721" s="82">
        <v>4772800001</v>
      </c>
      <c r="D721">
        <v>201606</v>
      </c>
      <c r="E721" s="1">
        <v>42514</v>
      </c>
      <c r="F721" s="1">
        <v>42544</v>
      </c>
      <c r="G721" t="s">
        <v>263</v>
      </c>
      <c r="H721" s="81">
        <v>404</v>
      </c>
      <c r="I721" t="s">
        <v>6</v>
      </c>
      <c r="J721" s="3">
        <v>46.35</v>
      </c>
    </row>
    <row r="722" spans="1:10" x14ac:dyDescent="0.25">
      <c r="A722" t="s">
        <v>256</v>
      </c>
      <c r="B722" t="s">
        <v>5</v>
      </c>
      <c r="C722" s="82">
        <v>4782757506</v>
      </c>
      <c r="D722">
        <v>201507</v>
      </c>
      <c r="E722" s="1">
        <v>42185</v>
      </c>
      <c r="F722" s="1">
        <v>42216</v>
      </c>
      <c r="G722" t="s">
        <v>266</v>
      </c>
      <c r="H722" s="81">
        <v>491</v>
      </c>
      <c r="I722" t="s">
        <v>6</v>
      </c>
      <c r="J722" s="3">
        <v>54.14</v>
      </c>
    </row>
    <row r="723" spans="1:10" x14ac:dyDescent="0.25">
      <c r="A723" t="s">
        <v>256</v>
      </c>
      <c r="B723" t="s">
        <v>5</v>
      </c>
      <c r="C723" s="82">
        <v>4782757506</v>
      </c>
      <c r="D723">
        <v>201508</v>
      </c>
      <c r="E723" s="1">
        <v>42216</v>
      </c>
      <c r="F723" s="1">
        <v>42243</v>
      </c>
      <c r="G723" t="s">
        <v>266</v>
      </c>
      <c r="H723" s="81">
        <v>422</v>
      </c>
      <c r="I723" t="s">
        <v>6</v>
      </c>
      <c r="J723" s="3">
        <v>47.94</v>
      </c>
    </row>
    <row r="724" spans="1:10" x14ac:dyDescent="0.25">
      <c r="A724" t="s">
        <v>256</v>
      </c>
      <c r="B724" t="s">
        <v>5</v>
      </c>
      <c r="C724" s="82">
        <v>4782757506</v>
      </c>
      <c r="D724">
        <v>201509</v>
      </c>
      <c r="E724" s="1">
        <v>42243</v>
      </c>
      <c r="F724" s="1">
        <v>42275</v>
      </c>
      <c r="G724" t="s">
        <v>266</v>
      </c>
      <c r="H724" s="81">
        <v>922</v>
      </c>
      <c r="I724" t="s">
        <v>6</v>
      </c>
      <c r="J724" s="3">
        <v>92.07</v>
      </c>
    </row>
    <row r="725" spans="1:10" x14ac:dyDescent="0.25">
      <c r="A725" t="s">
        <v>256</v>
      </c>
      <c r="B725" t="s">
        <v>5</v>
      </c>
      <c r="C725" s="82">
        <v>4782757506</v>
      </c>
      <c r="D725">
        <v>201510</v>
      </c>
      <c r="E725" s="1">
        <v>42275</v>
      </c>
      <c r="F725" s="1">
        <v>42305</v>
      </c>
      <c r="G725" t="s">
        <v>266</v>
      </c>
      <c r="H725" s="81">
        <v>682</v>
      </c>
      <c r="I725" t="s">
        <v>6</v>
      </c>
      <c r="J725" s="3">
        <v>70.680000000000007</v>
      </c>
    </row>
    <row r="726" spans="1:10" x14ac:dyDescent="0.25">
      <c r="A726" t="s">
        <v>256</v>
      </c>
      <c r="B726" t="s">
        <v>5</v>
      </c>
      <c r="C726" s="82">
        <v>4782757506</v>
      </c>
      <c r="D726">
        <v>201511</v>
      </c>
      <c r="E726" s="1">
        <v>42305</v>
      </c>
      <c r="F726" s="1">
        <v>42340</v>
      </c>
      <c r="G726" t="s">
        <v>266</v>
      </c>
      <c r="H726" s="81">
        <v>1098</v>
      </c>
      <c r="I726" t="s">
        <v>6</v>
      </c>
      <c r="J726" s="3">
        <v>107.59</v>
      </c>
    </row>
    <row r="727" spans="1:10" x14ac:dyDescent="0.25">
      <c r="A727" t="s">
        <v>256</v>
      </c>
      <c r="B727" t="s">
        <v>5</v>
      </c>
      <c r="C727" s="82">
        <v>4782757506</v>
      </c>
      <c r="D727">
        <v>201512</v>
      </c>
      <c r="E727" s="1">
        <v>42340</v>
      </c>
      <c r="F727" s="1">
        <v>42369</v>
      </c>
      <c r="G727" t="s">
        <v>266</v>
      </c>
      <c r="H727" s="81">
        <v>897</v>
      </c>
      <c r="I727" t="s">
        <v>6</v>
      </c>
      <c r="J727" s="3">
        <v>89.75</v>
      </c>
    </row>
    <row r="728" spans="1:10" x14ac:dyDescent="0.25">
      <c r="A728" t="s">
        <v>256</v>
      </c>
      <c r="B728" t="s">
        <v>5</v>
      </c>
      <c r="C728" s="82">
        <v>4782757506</v>
      </c>
      <c r="D728">
        <v>201601</v>
      </c>
      <c r="E728" s="1">
        <v>42369</v>
      </c>
      <c r="F728" s="1">
        <v>42402</v>
      </c>
      <c r="G728" t="s">
        <v>266</v>
      </c>
      <c r="H728" s="81">
        <v>1223</v>
      </c>
      <c r="I728" t="s">
        <v>6</v>
      </c>
      <c r="J728" s="3">
        <v>118.52</v>
      </c>
    </row>
    <row r="729" spans="1:10" x14ac:dyDescent="0.25">
      <c r="A729" t="s">
        <v>256</v>
      </c>
      <c r="B729" t="s">
        <v>5</v>
      </c>
      <c r="C729" s="82">
        <v>4782757506</v>
      </c>
      <c r="D729">
        <v>201602</v>
      </c>
      <c r="E729" s="1">
        <v>42402</v>
      </c>
      <c r="F729" s="1">
        <v>42429</v>
      </c>
      <c r="G729" t="s">
        <v>266</v>
      </c>
      <c r="H729" s="81">
        <v>1177</v>
      </c>
      <c r="I729" t="s">
        <v>6</v>
      </c>
      <c r="J729" s="3">
        <v>114.44</v>
      </c>
    </row>
    <row r="730" spans="1:10" x14ac:dyDescent="0.25">
      <c r="A730" t="s">
        <v>256</v>
      </c>
      <c r="B730" t="s">
        <v>5</v>
      </c>
      <c r="C730" s="82">
        <v>4782757506</v>
      </c>
      <c r="D730">
        <v>201603</v>
      </c>
      <c r="E730" s="1">
        <v>42429</v>
      </c>
      <c r="F730" s="1">
        <v>42460</v>
      </c>
      <c r="G730" t="s">
        <v>266</v>
      </c>
      <c r="H730" s="81">
        <v>848</v>
      </c>
      <c r="I730" t="s">
        <v>6</v>
      </c>
      <c r="J730" s="3">
        <v>85.27</v>
      </c>
    </row>
    <row r="731" spans="1:10" x14ac:dyDescent="0.25">
      <c r="A731" t="s">
        <v>256</v>
      </c>
      <c r="B731" t="s">
        <v>5</v>
      </c>
      <c r="C731" s="82">
        <v>4782757506</v>
      </c>
      <c r="D731">
        <v>201604</v>
      </c>
      <c r="E731" s="1">
        <v>42460</v>
      </c>
      <c r="F731" s="1">
        <v>42489</v>
      </c>
      <c r="G731" t="s">
        <v>266</v>
      </c>
      <c r="H731" s="81">
        <v>637</v>
      </c>
      <c r="I731" t="s">
        <v>6</v>
      </c>
      <c r="J731" s="3">
        <v>66.760000000000005</v>
      </c>
    </row>
    <row r="732" spans="1:10" x14ac:dyDescent="0.25">
      <c r="A732" t="s">
        <v>256</v>
      </c>
      <c r="B732" t="s">
        <v>5</v>
      </c>
      <c r="C732" s="82">
        <v>4782757506</v>
      </c>
      <c r="D732">
        <v>201605</v>
      </c>
      <c r="E732" s="1">
        <v>42489</v>
      </c>
      <c r="F732" s="1">
        <v>42521</v>
      </c>
      <c r="G732" t="s">
        <v>266</v>
      </c>
      <c r="H732" s="81">
        <v>463</v>
      </c>
      <c r="I732" t="s">
        <v>6</v>
      </c>
      <c r="J732" s="3">
        <v>51.62</v>
      </c>
    </row>
    <row r="733" spans="1:10" x14ac:dyDescent="0.25">
      <c r="A733" t="s">
        <v>256</v>
      </c>
      <c r="B733" t="s">
        <v>5</v>
      </c>
      <c r="C733" s="82">
        <v>4782757506</v>
      </c>
      <c r="D733">
        <v>201606</v>
      </c>
      <c r="E733" s="1">
        <v>42521</v>
      </c>
      <c r="F733" s="1">
        <v>42549</v>
      </c>
      <c r="G733" t="s">
        <v>266</v>
      </c>
      <c r="H733" s="81">
        <v>385</v>
      </c>
      <c r="I733" t="s">
        <v>6</v>
      </c>
      <c r="J733" s="3">
        <v>44.66</v>
      </c>
    </row>
    <row r="734" spans="1:10" x14ac:dyDescent="0.25">
      <c r="A734" t="s">
        <v>256</v>
      </c>
      <c r="B734" t="s">
        <v>5</v>
      </c>
      <c r="C734" s="82">
        <v>4792802508</v>
      </c>
      <c r="D734">
        <v>201507</v>
      </c>
      <c r="E734" s="1">
        <v>42185</v>
      </c>
      <c r="F734" s="1">
        <v>42216</v>
      </c>
      <c r="G734" t="s">
        <v>269</v>
      </c>
      <c r="H734" s="81">
        <v>227</v>
      </c>
      <c r="I734" t="s">
        <v>6</v>
      </c>
      <c r="J734" s="3">
        <v>30.48</v>
      </c>
    </row>
    <row r="735" spans="1:10" x14ac:dyDescent="0.25">
      <c r="A735" t="s">
        <v>256</v>
      </c>
      <c r="B735" t="s">
        <v>5</v>
      </c>
      <c r="C735" s="82">
        <v>4792802508</v>
      </c>
      <c r="D735">
        <v>201508</v>
      </c>
      <c r="E735" s="1">
        <v>42216</v>
      </c>
      <c r="F735" s="1">
        <v>42243</v>
      </c>
      <c r="G735" t="s">
        <v>269</v>
      </c>
      <c r="H735" s="81">
        <v>184</v>
      </c>
      <c r="I735" t="s">
        <v>6</v>
      </c>
      <c r="J735" s="3">
        <v>26.61</v>
      </c>
    </row>
    <row r="736" spans="1:10" x14ac:dyDescent="0.25">
      <c r="A736" t="s">
        <v>256</v>
      </c>
      <c r="B736" t="s">
        <v>5</v>
      </c>
      <c r="C736" s="82">
        <v>4792802508</v>
      </c>
      <c r="D736">
        <v>201509</v>
      </c>
      <c r="E736" s="1">
        <v>42243</v>
      </c>
      <c r="F736" s="1">
        <v>42275</v>
      </c>
      <c r="G736" t="s">
        <v>269</v>
      </c>
      <c r="H736" s="81">
        <v>1119</v>
      </c>
      <c r="I736" t="s">
        <v>6</v>
      </c>
      <c r="J736" s="3">
        <v>109.58</v>
      </c>
    </row>
    <row r="737" spans="1:10" x14ac:dyDescent="0.25">
      <c r="A737" t="s">
        <v>256</v>
      </c>
      <c r="B737" t="s">
        <v>5</v>
      </c>
      <c r="C737" s="82">
        <v>4792802508</v>
      </c>
      <c r="D737">
        <v>201510</v>
      </c>
      <c r="E737" s="1">
        <v>42275</v>
      </c>
      <c r="F737" s="1">
        <v>42305</v>
      </c>
      <c r="G737" t="s">
        <v>269</v>
      </c>
      <c r="H737" s="81">
        <v>1105</v>
      </c>
      <c r="I737" t="s">
        <v>6</v>
      </c>
      <c r="J737" s="3">
        <v>108.22</v>
      </c>
    </row>
    <row r="738" spans="1:10" x14ac:dyDescent="0.25">
      <c r="A738" t="s">
        <v>256</v>
      </c>
      <c r="B738" t="s">
        <v>5</v>
      </c>
      <c r="C738" s="82">
        <v>4792802508</v>
      </c>
      <c r="D738">
        <v>201511</v>
      </c>
      <c r="E738" s="1">
        <v>42305</v>
      </c>
      <c r="F738" s="1">
        <v>42340</v>
      </c>
      <c r="G738" t="s">
        <v>269</v>
      </c>
      <c r="H738" s="81">
        <v>1131</v>
      </c>
      <c r="I738" t="s">
        <v>6</v>
      </c>
      <c r="J738" s="3">
        <v>110.51</v>
      </c>
    </row>
    <row r="739" spans="1:10" x14ac:dyDescent="0.25">
      <c r="A739" t="s">
        <v>256</v>
      </c>
      <c r="B739" t="s">
        <v>5</v>
      </c>
      <c r="C739" s="82">
        <v>4792802508</v>
      </c>
      <c r="D739">
        <v>201512</v>
      </c>
      <c r="E739" s="1">
        <v>42340</v>
      </c>
      <c r="F739" s="1">
        <v>42369</v>
      </c>
      <c r="G739" t="s">
        <v>269</v>
      </c>
      <c r="H739" s="81">
        <v>1144</v>
      </c>
      <c r="I739" t="s">
        <v>6</v>
      </c>
      <c r="J739" s="3">
        <v>111.67</v>
      </c>
    </row>
    <row r="740" spans="1:10" x14ac:dyDescent="0.25">
      <c r="A740" t="s">
        <v>256</v>
      </c>
      <c r="B740" t="s">
        <v>5</v>
      </c>
      <c r="C740" s="82">
        <v>4792802508</v>
      </c>
      <c r="D740">
        <v>201601</v>
      </c>
      <c r="E740" s="1">
        <v>42369</v>
      </c>
      <c r="F740" s="1">
        <v>42402</v>
      </c>
      <c r="G740" t="s">
        <v>269</v>
      </c>
      <c r="H740" s="81">
        <v>2626</v>
      </c>
      <c r="I740" t="s">
        <v>6</v>
      </c>
      <c r="J740" s="3">
        <v>242.87</v>
      </c>
    </row>
    <row r="741" spans="1:10" x14ac:dyDescent="0.25">
      <c r="A741" t="s">
        <v>256</v>
      </c>
      <c r="B741" t="s">
        <v>5</v>
      </c>
      <c r="C741" s="82">
        <v>4792802508</v>
      </c>
      <c r="D741">
        <v>201602</v>
      </c>
      <c r="E741" s="1">
        <v>42402</v>
      </c>
      <c r="F741" s="1">
        <v>42429</v>
      </c>
      <c r="G741" t="s">
        <v>269</v>
      </c>
      <c r="H741" s="81">
        <v>2141</v>
      </c>
      <c r="I741" t="s">
        <v>6</v>
      </c>
      <c r="J741" s="3">
        <v>199.88</v>
      </c>
    </row>
    <row r="742" spans="1:10" x14ac:dyDescent="0.25">
      <c r="A742" t="s">
        <v>256</v>
      </c>
      <c r="B742" t="s">
        <v>5</v>
      </c>
      <c r="C742" s="82">
        <v>4792802508</v>
      </c>
      <c r="D742">
        <v>201603</v>
      </c>
      <c r="E742" s="1">
        <v>42429</v>
      </c>
      <c r="F742" s="1">
        <v>42460</v>
      </c>
      <c r="G742" t="s">
        <v>269</v>
      </c>
      <c r="H742" s="81">
        <v>2190</v>
      </c>
      <c r="I742" t="s">
        <v>6</v>
      </c>
      <c r="J742" s="3">
        <v>204.22</v>
      </c>
    </row>
    <row r="743" spans="1:10" x14ac:dyDescent="0.25">
      <c r="A743" t="s">
        <v>256</v>
      </c>
      <c r="B743" t="s">
        <v>5</v>
      </c>
      <c r="C743" s="82">
        <v>4792802508</v>
      </c>
      <c r="D743">
        <v>201604</v>
      </c>
      <c r="E743" s="1">
        <v>42460</v>
      </c>
      <c r="F743" s="1">
        <v>42489</v>
      </c>
      <c r="G743" t="s">
        <v>269</v>
      </c>
      <c r="H743" s="81">
        <v>1257</v>
      </c>
      <c r="I743" t="s">
        <v>6</v>
      </c>
      <c r="J743" s="3">
        <v>121.94</v>
      </c>
    </row>
    <row r="744" spans="1:10" x14ac:dyDescent="0.25">
      <c r="A744" t="s">
        <v>256</v>
      </c>
      <c r="B744" t="s">
        <v>5</v>
      </c>
      <c r="C744" s="82">
        <v>4792802508</v>
      </c>
      <c r="D744">
        <v>201605</v>
      </c>
      <c r="E744" s="1">
        <v>42489</v>
      </c>
      <c r="F744" s="1">
        <v>42521</v>
      </c>
      <c r="G744" t="s">
        <v>269</v>
      </c>
      <c r="H744" s="81">
        <v>581</v>
      </c>
      <c r="I744" t="s">
        <v>6</v>
      </c>
      <c r="J744" s="3">
        <v>62.21</v>
      </c>
    </row>
    <row r="745" spans="1:10" x14ac:dyDescent="0.25">
      <c r="A745" t="s">
        <v>256</v>
      </c>
      <c r="B745" t="s">
        <v>5</v>
      </c>
      <c r="C745" s="82">
        <v>4792802508</v>
      </c>
      <c r="D745">
        <v>201606</v>
      </c>
      <c r="E745" s="1">
        <v>42521</v>
      </c>
      <c r="F745" s="1">
        <v>42549</v>
      </c>
      <c r="G745" t="s">
        <v>269</v>
      </c>
      <c r="H745" s="81">
        <v>209</v>
      </c>
      <c r="I745" t="s">
        <v>6</v>
      </c>
      <c r="J745" s="3">
        <v>28.85</v>
      </c>
    </row>
    <row r="746" spans="1:10" x14ac:dyDescent="0.25">
      <c r="A746" t="s">
        <v>256</v>
      </c>
      <c r="B746" t="s">
        <v>5</v>
      </c>
      <c r="C746" s="82">
        <v>4802752503</v>
      </c>
      <c r="D746">
        <v>201507</v>
      </c>
      <c r="E746" s="1">
        <v>42179</v>
      </c>
      <c r="F746" s="1">
        <v>42212</v>
      </c>
      <c r="G746" t="s">
        <v>272</v>
      </c>
      <c r="H746" s="81">
        <v>740</v>
      </c>
      <c r="I746" t="s">
        <v>6</v>
      </c>
      <c r="J746" s="3">
        <v>76.45</v>
      </c>
    </row>
    <row r="747" spans="1:10" x14ac:dyDescent="0.25">
      <c r="A747" t="s">
        <v>256</v>
      </c>
      <c r="B747" t="s">
        <v>5</v>
      </c>
      <c r="C747" s="82">
        <v>4802752503</v>
      </c>
      <c r="D747">
        <v>201508</v>
      </c>
      <c r="E747" s="1">
        <v>42212</v>
      </c>
      <c r="F747" s="1">
        <v>42240</v>
      </c>
      <c r="G747" t="s">
        <v>272</v>
      </c>
      <c r="H747" s="81">
        <v>786</v>
      </c>
      <c r="I747" t="s">
        <v>6</v>
      </c>
      <c r="J747" s="3">
        <v>80.56</v>
      </c>
    </row>
    <row r="748" spans="1:10" x14ac:dyDescent="0.25">
      <c r="A748" t="s">
        <v>256</v>
      </c>
      <c r="B748" t="s">
        <v>5</v>
      </c>
      <c r="C748" s="82">
        <v>4802752503</v>
      </c>
      <c r="D748">
        <v>201509</v>
      </c>
      <c r="E748" s="1">
        <v>42240</v>
      </c>
      <c r="F748" s="1">
        <v>42271</v>
      </c>
      <c r="G748" t="s">
        <v>272</v>
      </c>
      <c r="H748" s="81">
        <v>1143</v>
      </c>
      <c r="I748" t="s">
        <v>6</v>
      </c>
      <c r="J748" s="3">
        <v>111.81</v>
      </c>
    </row>
    <row r="749" spans="1:10" x14ac:dyDescent="0.25">
      <c r="A749" t="s">
        <v>256</v>
      </c>
      <c r="B749" t="s">
        <v>5</v>
      </c>
      <c r="C749" s="82">
        <v>4802752503</v>
      </c>
      <c r="D749">
        <v>201510</v>
      </c>
      <c r="E749" s="1">
        <v>42271</v>
      </c>
      <c r="F749" s="1">
        <v>42300</v>
      </c>
      <c r="G749" t="s">
        <v>272</v>
      </c>
      <c r="H749" s="81">
        <v>830</v>
      </c>
      <c r="I749" t="s">
        <v>6</v>
      </c>
      <c r="J749" s="3">
        <v>83.8</v>
      </c>
    </row>
    <row r="750" spans="1:10" x14ac:dyDescent="0.25">
      <c r="A750" t="s">
        <v>256</v>
      </c>
      <c r="B750" t="s">
        <v>5</v>
      </c>
      <c r="C750" s="82">
        <v>4802752503</v>
      </c>
      <c r="D750">
        <v>201511</v>
      </c>
      <c r="E750" s="1">
        <v>42300</v>
      </c>
      <c r="F750" s="1">
        <v>42332</v>
      </c>
      <c r="G750" t="s">
        <v>272</v>
      </c>
      <c r="H750" s="81">
        <v>902</v>
      </c>
      <c r="I750" t="s">
        <v>6</v>
      </c>
      <c r="J750" s="3">
        <v>90.19</v>
      </c>
    </row>
    <row r="751" spans="1:10" x14ac:dyDescent="0.25">
      <c r="A751" t="s">
        <v>256</v>
      </c>
      <c r="B751" t="s">
        <v>5</v>
      </c>
      <c r="C751" s="82">
        <v>4802752503</v>
      </c>
      <c r="D751">
        <v>201512</v>
      </c>
      <c r="E751" s="1">
        <v>42332</v>
      </c>
      <c r="F751" s="1">
        <v>42361</v>
      </c>
      <c r="G751" t="s">
        <v>272</v>
      </c>
      <c r="H751" s="81">
        <v>895</v>
      </c>
      <c r="I751" t="s">
        <v>6</v>
      </c>
      <c r="J751" s="3">
        <v>89.56</v>
      </c>
    </row>
    <row r="752" spans="1:10" x14ac:dyDescent="0.25">
      <c r="A752" t="s">
        <v>256</v>
      </c>
      <c r="B752" t="s">
        <v>5</v>
      </c>
      <c r="C752" s="82">
        <v>4802752503</v>
      </c>
      <c r="D752">
        <v>201601</v>
      </c>
      <c r="E752" s="1">
        <v>42361</v>
      </c>
      <c r="F752" s="1">
        <v>42395</v>
      </c>
      <c r="G752" t="s">
        <v>272</v>
      </c>
      <c r="H752" s="81">
        <v>1433</v>
      </c>
      <c r="I752" t="s">
        <v>6</v>
      </c>
      <c r="J752" s="3">
        <v>137.18</v>
      </c>
    </row>
    <row r="753" spans="1:10" x14ac:dyDescent="0.25">
      <c r="A753" t="s">
        <v>256</v>
      </c>
      <c r="B753" t="s">
        <v>5</v>
      </c>
      <c r="C753" s="82">
        <v>4802752503</v>
      </c>
      <c r="D753">
        <v>201602</v>
      </c>
      <c r="E753" s="1">
        <v>42395</v>
      </c>
      <c r="F753" s="1">
        <v>42424</v>
      </c>
      <c r="G753" t="s">
        <v>272</v>
      </c>
      <c r="H753" s="81">
        <v>1792</v>
      </c>
      <c r="I753" t="s">
        <v>6</v>
      </c>
      <c r="J753" s="3">
        <v>168.96</v>
      </c>
    </row>
    <row r="754" spans="1:10" x14ac:dyDescent="0.25">
      <c r="A754" t="s">
        <v>256</v>
      </c>
      <c r="B754" t="s">
        <v>5</v>
      </c>
      <c r="C754" s="82">
        <v>4802752503</v>
      </c>
      <c r="D754">
        <v>201603</v>
      </c>
      <c r="E754" s="1">
        <v>42424</v>
      </c>
      <c r="F754" s="1">
        <v>42453</v>
      </c>
      <c r="G754" t="s">
        <v>272</v>
      </c>
      <c r="H754" s="81">
        <v>1165</v>
      </c>
      <c r="I754" t="s">
        <v>6</v>
      </c>
      <c r="J754" s="3">
        <v>113.37</v>
      </c>
    </row>
    <row r="755" spans="1:10" x14ac:dyDescent="0.25">
      <c r="A755" t="s">
        <v>256</v>
      </c>
      <c r="B755" t="s">
        <v>5</v>
      </c>
      <c r="C755" s="82">
        <v>4802752503</v>
      </c>
      <c r="D755">
        <v>201604</v>
      </c>
      <c r="E755" s="1">
        <v>42453</v>
      </c>
      <c r="F755" s="1">
        <v>42487</v>
      </c>
      <c r="G755" t="s">
        <v>272</v>
      </c>
      <c r="H755" s="81">
        <v>1048</v>
      </c>
      <c r="I755" t="s">
        <v>6</v>
      </c>
      <c r="J755" s="3">
        <v>103.27</v>
      </c>
    </row>
    <row r="756" spans="1:10" x14ac:dyDescent="0.25">
      <c r="A756" t="s">
        <v>256</v>
      </c>
      <c r="B756" t="s">
        <v>5</v>
      </c>
      <c r="C756" s="82">
        <v>4802752503</v>
      </c>
      <c r="D756">
        <v>201605</v>
      </c>
      <c r="E756" s="1">
        <v>42487</v>
      </c>
      <c r="F756" s="1">
        <v>42514</v>
      </c>
      <c r="G756" t="s">
        <v>272</v>
      </c>
      <c r="H756" s="81">
        <v>563</v>
      </c>
      <c r="I756" t="s">
        <v>6</v>
      </c>
      <c r="J756" s="3">
        <v>60.58</v>
      </c>
    </row>
    <row r="757" spans="1:10" x14ac:dyDescent="0.25">
      <c r="A757" t="s">
        <v>256</v>
      </c>
      <c r="B757" t="s">
        <v>5</v>
      </c>
      <c r="C757" s="82">
        <v>4802752503</v>
      </c>
      <c r="D757">
        <v>201606</v>
      </c>
      <c r="E757" s="1">
        <v>42514</v>
      </c>
      <c r="F757" s="1">
        <v>42544</v>
      </c>
      <c r="G757" t="s">
        <v>272</v>
      </c>
      <c r="H757" s="81">
        <v>115</v>
      </c>
      <c r="I757" t="s">
        <v>6</v>
      </c>
      <c r="J757" s="3">
        <v>20.43</v>
      </c>
    </row>
    <row r="758" spans="1:10" x14ac:dyDescent="0.25">
      <c r="A758" t="s">
        <v>256</v>
      </c>
      <c r="B758" t="s">
        <v>5</v>
      </c>
      <c r="C758" s="82">
        <v>4812810002</v>
      </c>
      <c r="D758">
        <v>201507</v>
      </c>
      <c r="E758" s="1">
        <v>42179</v>
      </c>
      <c r="F758" s="1">
        <v>42212</v>
      </c>
      <c r="G758" t="s">
        <v>275</v>
      </c>
      <c r="H758" s="81">
        <v>510</v>
      </c>
      <c r="I758" t="s">
        <v>6</v>
      </c>
      <c r="J758" s="3">
        <v>55.84</v>
      </c>
    </row>
    <row r="759" spans="1:10" x14ac:dyDescent="0.25">
      <c r="A759" t="s">
        <v>256</v>
      </c>
      <c r="B759" t="s">
        <v>5</v>
      </c>
      <c r="C759" s="82">
        <v>4812810002</v>
      </c>
      <c r="D759">
        <v>201508</v>
      </c>
      <c r="E759" s="1">
        <v>42212</v>
      </c>
      <c r="F759" s="1">
        <v>42240</v>
      </c>
      <c r="G759" t="s">
        <v>275</v>
      </c>
      <c r="H759" s="81">
        <v>411</v>
      </c>
      <c r="I759" t="s">
        <v>6</v>
      </c>
      <c r="J759" s="3">
        <v>46.96</v>
      </c>
    </row>
    <row r="760" spans="1:10" x14ac:dyDescent="0.25">
      <c r="A760" t="s">
        <v>256</v>
      </c>
      <c r="B760" t="s">
        <v>5</v>
      </c>
      <c r="C760" s="82">
        <v>4812810002</v>
      </c>
      <c r="D760">
        <v>201509</v>
      </c>
      <c r="E760" s="1">
        <v>42240</v>
      </c>
      <c r="F760" s="1">
        <v>42271</v>
      </c>
      <c r="G760" t="s">
        <v>275</v>
      </c>
      <c r="H760" s="81">
        <v>1051</v>
      </c>
      <c r="I760" t="s">
        <v>6</v>
      </c>
      <c r="J760" s="3">
        <v>103.61</v>
      </c>
    </row>
    <row r="761" spans="1:10" x14ac:dyDescent="0.25">
      <c r="A761" t="s">
        <v>256</v>
      </c>
      <c r="B761" t="s">
        <v>5</v>
      </c>
      <c r="C761" s="82">
        <v>4812810002</v>
      </c>
      <c r="D761">
        <v>201510</v>
      </c>
      <c r="E761" s="1">
        <v>42271</v>
      </c>
      <c r="F761" s="1">
        <v>42300</v>
      </c>
      <c r="G761" t="s">
        <v>275</v>
      </c>
      <c r="H761" s="81">
        <v>822</v>
      </c>
      <c r="I761" t="s">
        <v>6</v>
      </c>
      <c r="J761" s="3">
        <v>83.1</v>
      </c>
    </row>
    <row r="762" spans="1:10" x14ac:dyDescent="0.25">
      <c r="A762" t="s">
        <v>256</v>
      </c>
      <c r="B762" t="s">
        <v>5</v>
      </c>
      <c r="C762" s="82">
        <v>4812810002</v>
      </c>
      <c r="D762">
        <v>201511</v>
      </c>
      <c r="E762" s="1">
        <v>42300</v>
      </c>
      <c r="F762" s="1">
        <v>42332</v>
      </c>
      <c r="G762" t="s">
        <v>275</v>
      </c>
      <c r="H762" s="81">
        <v>971</v>
      </c>
      <c r="I762" t="s">
        <v>6</v>
      </c>
      <c r="J762" s="3">
        <v>96.33</v>
      </c>
    </row>
    <row r="763" spans="1:10" x14ac:dyDescent="0.25">
      <c r="A763" t="s">
        <v>256</v>
      </c>
      <c r="B763" t="s">
        <v>5</v>
      </c>
      <c r="C763" s="82">
        <v>4812810002</v>
      </c>
      <c r="D763">
        <v>201512</v>
      </c>
      <c r="E763" s="1">
        <v>42332</v>
      </c>
      <c r="F763" s="1">
        <v>42361</v>
      </c>
      <c r="G763" t="s">
        <v>275</v>
      </c>
      <c r="H763" s="81">
        <v>1009</v>
      </c>
      <c r="I763" t="s">
        <v>6</v>
      </c>
      <c r="J763" s="3">
        <v>99.69</v>
      </c>
    </row>
    <row r="764" spans="1:10" x14ac:dyDescent="0.25">
      <c r="A764" t="s">
        <v>256</v>
      </c>
      <c r="B764" t="s">
        <v>5</v>
      </c>
      <c r="C764" s="82">
        <v>4812810002</v>
      </c>
      <c r="D764">
        <v>201601</v>
      </c>
      <c r="E764" s="1">
        <v>42361</v>
      </c>
      <c r="F764" s="1">
        <v>42395</v>
      </c>
      <c r="G764" t="s">
        <v>275</v>
      </c>
      <c r="H764" s="81">
        <v>801</v>
      </c>
      <c r="I764" t="s">
        <v>6</v>
      </c>
      <c r="J764" s="3">
        <v>81.16</v>
      </c>
    </row>
    <row r="765" spans="1:10" x14ac:dyDescent="0.25">
      <c r="A765" t="s">
        <v>256</v>
      </c>
      <c r="B765" t="s">
        <v>5</v>
      </c>
      <c r="C765" s="82">
        <v>4812810002</v>
      </c>
      <c r="D765">
        <v>201602</v>
      </c>
      <c r="E765" s="1">
        <v>42395</v>
      </c>
      <c r="F765" s="1">
        <v>42424</v>
      </c>
      <c r="G765" t="s">
        <v>275</v>
      </c>
      <c r="H765" s="81">
        <v>1249</v>
      </c>
      <c r="I765" t="s">
        <v>6</v>
      </c>
      <c r="J765" s="3">
        <v>120.83</v>
      </c>
    </row>
    <row r="766" spans="1:10" x14ac:dyDescent="0.25">
      <c r="A766" t="s">
        <v>256</v>
      </c>
      <c r="B766" t="s">
        <v>5</v>
      </c>
      <c r="C766" s="82">
        <v>4812810002</v>
      </c>
      <c r="D766">
        <v>201603</v>
      </c>
      <c r="E766" s="1">
        <v>42424</v>
      </c>
      <c r="F766" s="1">
        <v>42453</v>
      </c>
      <c r="G766" t="s">
        <v>275</v>
      </c>
      <c r="H766" s="81">
        <v>957</v>
      </c>
      <c r="I766" t="s">
        <v>6</v>
      </c>
      <c r="J766" s="3">
        <v>94.96</v>
      </c>
    </row>
    <row r="767" spans="1:10" x14ac:dyDescent="0.25">
      <c r="A767" t="s">
        <v>256</v>
      </c>
      <c r="B767" t="s">
        <v>5</v>
      </c>
      <c r="C767" s="82">
        <v>4812810002</v>
      </c>
      <c r="D767">
        <v>201604</v>
      </c>
      <c r="E767" s="1">
        <v>42453</v>
      </c>
      <c r="F767" s="1">
        <v>42487</v>
      </c>
      <c r="G767" t="s">
        <v>275</v>
      </c>
      <c r="H767" s="81">
        <v>1367</v>
      </c>
      <c r="I767" t="s">
        <v>6</v>
      </c>
      <c r="J767" s="3">
        <v>131.63999999999999</v>
      </c>
    </row>
    <row r="768" spans="1:10" x14ac:dyDescent="0.25">
      <c r="A768" t="s">
        <v>256</v>
      </c>
      <c r="B768" t="s">
        <v>5</v>
      </c>
      <c r="C768" s="82">
        <v>4812810002</v>
      </c>
      <c r="D768">
        <v>201605</v>
      </c>
      <c r="E768" s="1">
        <v>42487</v>
      </c>
      <c r="F768" s="1">
        <v>42514</v>
      </c>
      <c r="G768" t="s">
        <v>275</v>
      </c>
      <c r="H768" s="81">
        <v>610</v>
      </c>
      <c r="I768" t="s">
        <v>6</v>
      </c>
      <c r="J768" s="3">
        <v>64.760000000000005</v>
      </c>
    </row>
    <row r="769" spans="1:10" x14ac:dyDescent="0.25">
      <c r="A769" t="s">
        <v>256</v>
      </c>
      <c r="B769" t="s">
        <v>5</v>
      </c>
      <c r="C769" s="82">
        <v>4812810002</v>
      </c>
      <c r="D769">
        <v>201606</v>
      </c>
      <c r="E769" s="1">
        <v>42514</v>
      </c>
      <c r="F769" s="1">
        <v>42544</v>
      </c>
      <c r="G769" t="s">
        <v>275</v>
      </c>
      <c r="H769" s="81">
        <v>244</v>
      </c>
      <c r="I769" t="s">
        <v>6</v>
      </c>
      <c r="J769" s="3">
        <v>32</v>
      </c>
    </row>
    <row r="770" spans="1:10" x14ac:dyDescent="0.25">
      <c r="A770" t="s">
        <v>256</v>
      </c>
      <c r="B770" t="s">
        <v>5</v>
      </c>
      <c r="C770" s="82">
        <v>4822830008</v>
      </c>
      <c r="D770">
        <v>201507</v>
      </c>
      <c r="E770" s="1">
        <v>42185</v>
      </c>
      <c r="F770" s="1">
        <v>42216</v>
      </c>
      <c r="G770" t="s">
        <v>278</v>
      </c>
      <c r="H770" s="81">
        <v>255</v>
      </c>
      <c r="I770" t="s">
        <v>6</v>
      </c>
      <c r="J770" s="3">
        <v>32.99</v>
      </c>
    </row>
    <row r="771" spans="1:10" x14ac:dyDescent="0.25">
      <c r="A771" t="s">
        <v>256</v>
      </c>
      <c r="B771" t="s">
        <v>5</v>
      </c>
      <c r="C771" s="82">
        <v>4822830008</v>
      </c>
      <c r="D771">
        <v>201508</v>
      </c>
      <c r="E771" s="1">
        <v>42216</v>
      </c>
      <c r="F771" s="1">
        <v>42243</v>
      </c>
      <c r="G771" t="s">
        <v>278</v>
      </c>
      <c r="H771" s="81">
        <v>207</v>
      </c>
      <c r="I771" t="s">
        <v>6</v>
      </c>
      <c r="J771" s="3">
        <v>28.68</v>
      </c>
    </row>
    <row r="772" spans="1:10" x14ac:dyDescent="0.25">
      <c r="A772" t="s">
        <v>256</v>
      </c>
      <c r="B772" t="s">
        <v>5</v>
      </c>
      <c r="C772" s="82">
        <v>4822830008</v>
      </c>
      <c r="D772">
        <v>201509</v>
      </c>
      <c r="E772" s="1">
        <v>42243</v>
      </c>
      <c r="F772" s="1">
        <v>42275</v>
      </c>
      <c r="G772" t="s">
        <v>278</v>
      </c>
      <c r="H772" s="81">
        <v>700</v>
      </c>
      <c r="I772" t="s">
        <v>6</v>
      </c>
      <c r="J772" s="3">
        <v>72.36</v>
      </c>
    </row>
    <row r="773" spans="1:10" x14ac:dyDescent="0.25">
      <c r="A773" t="s">
        <v>256</v>
      </c>
      <c r="B773" t="s">
        <v>5</v>
      </c>
      <c r="C773" s="82">
        <v>4822830008</v>
      </c>
      <c r="D773">
        <v>201510</v>
      </c>
      <c r="E773" s="1">
        <v>42275</v>
      </c>
      <c r="F773" s="1">
        <v>42305</v>
      </c>
      <c r="G773" t="s">
        <v>278</v>
      </c>
      <c r="H773" s="81">
        <v>558</v>
      </c>
      <c r="I773" t="s">
        <v>6</v>
      </c>
      <c r="J773" s="3">
        <v>59.64</v>
      </c>
    </row>
    <row r="774" spans="1:10" x14ac:dyDescent="0.25">
      <c r="A774" t="s">
        <v>256</v>
      </c>
      <c r="B774" t="s">
        <v>5</v>
      </c>
      <c r="C774" s="82">
        <v>4822830008</v>
      </c>
      <c r="D774">
        <v>201511</v>
      </c>
      <c r="E774" s="1">
        <v>42305</v>
      </c>
      <c r="F774" s="1">
        <v>42340</v>
      </c>
      <c r="G774" t="s">
        <v>278</v>
      </c>
      <c r="H774" s="81">
        <v>754</v>
      </c>
      <c r="I774" t="s">
        <v>6</v>
      </c>
      <c r="J774" s="3">
        <v>77.05</v>
      </c>
    </row>
    <row r="775" spans="1:10" x14ac:dyDescent="0.25">
      <c r="A775" t="s">
        <v>256</v>
      </c>
      <c r="B775" t="s">
        <v>5</v>
      </c>
      <c r="C775" s="82">
        <v>4822830008</v>
      </c>
      <c r="D775">
        <v>201512</v>
      </c>
      <c r="E775" s="1">
        <v>42340</v>
      </c>
      <c r="F775" s="1">
        <v>42369</v>
      </c>
      <c r="G775" t="s">
        <v>278</v>
      </c>
      <c r="H775" s="81">
        <v>779</v>
      </c>
      <c r="I775" t="s">
        <v>6</v>
      </c>
      <c r="J775" s="3">
        <v>79.27</v>
      </c>
    </row>
    <row r="776" spans="1:10" x14ac:dyDescent="0.25">
      <c r="A776" t="s">
        <v>256</v>
      </c>
      <c r="B776" t="s">
        <v>5</v>
      </c>
      <c r="C776" s="82">
        <v>4822830008</v>
      </c>
      <c r="D776">
        <v>201601</v>
      </c>
      <c r="E776" s="1">
        <v>42369</v>
      </c>
      <c r="F776" s="1">
        <v>42402</v>
      </c>
      <c r="G776" t="s">
        <v>278</v>
      </c>
      <c r="H776" s="81">
        <v>1723</v>
      </c>
      <c r="I776" t="s">
        <v>6</v>
      </c>
      <c r="J776" s="3">
        <v>162.84</v>
      </c>
    </row>
    <row r="777" spans="1:10" x14ac:dyDescent="0.25">
      <c r="A777" t="s">
        <v>256</v>
      </c>
      <c r="B777" t="s">
        <v>5</v>
      </c>
      <c r="C777" s="82">
        <v>4822830008</v>
      </c>
      <c r="D777">
        <v>201602</v>
      </c>
      <c r="E777" s="1">
        <v>42402</v>
      </c>
      <c r="F777" s="1">
        <v>42429</v>
      </c>
      <c r="G777" t="s">
        <v>278</v>
      </c>
      <c r="H777" s="81">
        <v>1373</v>
      </c>
      <c r="I777" t="s">
        <v>6</v>
      </c>
      <c r="J777" s="3">
        <v>131.83000000000001</v>
      </c>
    </row>
    <row r="778" spans="1:10" x14ac:dyDescent="0.25">
      <c r="A778" t="s">
        <v>256</v>
      </c>
      <c r="B778" t="s">
        <v>5</v>
      </c>
      <c r="C778" s="82">
        <v>4822830008</v>
      </c>
      <c r="D778">
        <v>201603</v>
      </c>
      <c r="E778" s="1">
        <v>42429</v>
      </c>
      <c r="F778" s="1">
        <v>42460</v>
      </c>
      <c r="G778" t="s">
        <v>278</v>
      </c>
      <c r="H778" s="81">
        <v>900</v>
      </c>
      <c r="I778" t="s">
        <v>6</v>
      </c>
      <c r="J778" s="3">
        <v>89.91</v>
      </c>
    </row>
    <row r="779" spans="1:10" x14ac:dyDescent="0.25">
      <c r="A779" t="s">
        <v>256</v>
      </c>
      <c r="B779" t="s">
        <v>5</v>
      </c>
      <c r="C779" s="82">
        <v>4822830008</v>
      </c>
      <c r="D779">
        <v>201604</v>
      </c>
      <c r="E779" s="1">
        <v>42460</v>
      </c>
      <c r="F779" s="1">
        <v>42489</v>
      </c>
      <c r="G779" t="s">
        <v>278</v>
      </c>
      <c r="H779" s="81">
        <v>635</v>
      </c>
      <c r="I779" t="s">
        <v>6</v>
      </c>
      <c r="J779" s="3">
        <v>66.61</v>
      </c>
    </row>
    <row r="780" spans="1:10" x14ac:dyDescent="0.25">
      <c r="A780" t="s">
        <v>256</v>
      </c>
      <c r="B780" t="s">
        <v>5</v>
      </c>
      <c r="C780" s="82">
        <v>4822830008</v>
      </c>
      <c r="D780">
        <v>201605</v>
      </c>
      <c r="E780" s="1">
        <v>42489</v>
      </c>
      <c r="F780" s="1">
        <v>42521</v>
      </c>
      <c r="G780" t="s">
        <v>278</v>
      </c>
      <c r="H780" s="81">
        <v>381</v>
      </c>
      <c r="I780" t="s">
        <v>6</v>
      </c>
      <c r="J780" s="3">
        <v>44.27</v>
      </c>
    </row>
    <row r="781" spans="1:10" x14ac:dyDescent="0.25">
      <c r="A781" t="s">
        <v>256</v>
      </c>
      <c r="B781" t="s">
        <v>5</v>
      </c>
      <c r="C781" s="82">
        <v>4822830008</v>
      </c>
      <c r="D781">
        <v>201606</v>
      </c>
      <c r="E781" s="1">
        <v>42521</v>
      </c>
      <c r="F781" s="1">
        <v>42549</v>
      </c>
      <c r="G781" t="s">
        <v>278</v>
      </c>
      <c r="H781" s="81">
        <v>134</v>
      </c>
      <c r="I781" t="s">
        <v>6</v>
      </c>
      <c r="J781" s="3">
        <v>22.15</v>
      </c>
    </row>
    <row r="782" spans="1:10" x14ac:dyDescent="0.25">
      <c r="A782" t="s">
        <v>256</v>
      </c>
      <c r="B782" t="s">
        <v>5</v>
      </c>
      <c r="C782" s="82">
        <v>4832722500</v>
      </c>
      <c r="D782">
        <v>201507</v>
      </c>
      <c r="E782" s="1">
        <v>42179</v>
      </c>
      <c r="F782" s="1">
        <v>42212</v>
      </c>
      <c r="G782" t="s">
        <v>281</v>
      </c>
      <c r="H782" s="81">
        <v>503</v>
      </c>
      <c r="I782" t="s">
        <v>6</v>
      </c>
      <c r="J782" s="3">
        <v>55.21</v>
      </c>
    </row>
    <row r="783" spans="1:10" x14ac:dyDescent="0.25">
      <c r="A783" t="s">
        <v>256</v>
      </c>
      <c r="B783" t="s">
        <v>5</v>
      </c>
      <c r="C783" s="82">
        <v>4832722500</v>
      </c>
      <c r="D783">
        <v>201508</v>
      </c>
      <c r="E783" s="1">
        <v>42212</v>
      </c>
      <c r="F783" s="1">
        <v>42240</v>
      </c>
      <c r="G783" t="s">
        <v>281</v>
      </c>
      <c r="H783" s="81">
        <v>380</v>
      </c>
      <c r="I783" t="s">
        <v>6</v>
      </c>
      <c r="J783" s="3">
        <v>44.17</v>
      </c>
    </row>
    <row r="784" spans="1:10" x14ac:dyDescent="0.25">
      <c r="A784" t="s">
        <v>256</v>
      </c>
      <c r="B784" t="s">
        <v>5</v>
      </c>
      <c r="C784" s="82">
        <v>4832722500</v>
      </c>
      <c r="D784">
        <v>201509</v>
      </c>
      <c r="E784" s="1">
        <v>42240</v>
      </c>
      <c r="F784" s="1">
        <v>42271</v>
      </c>
      <c r="G784" t="s">
        <v>281</v>
      </c>
      <c r="H784" s="81">
        <v>692</v>
      </c>
      <c r="I784" t="s">
        <v>6</v>
      </c>
      <c r="J784" s="3">
        <v>71.69</v>
      </c>
    </row>
    <row r="785" spans="1:10" x14ac:dyDescent="0.25">
      <c r="A785" t="s">
        <v>256</v>
      </c>
      <c r="B785" t="s">
        <v>5</v>
      </c>
      <c r="C785" s="82">
        <v>4832722500</v>
      </c>
      <c r="D785">
        <v>201510</v>
      </c>
      <c r="E785" s="1">
        <v>42271</v>
      </c>
      <c r="F785" s="1">
        <v>42300</v>
      </c>
      <c r="G785" t="s">
        <v>281</v>
      </c>
      <c r="H785" s="81">
        <v>524</v>
      </c>
      <c r="I785" t="s">
        <v>6</v>
      </c>
      <c r="J785" s="3">
        <v>56.65</v>
      </c>
    </row>
    <row r="786" spans="1:10" x14ac:dyDescent="0.25">
      <c r="A786" t="s">
        <v>256</v>
      </c>
      <c r="B786" t="s">
        <v>5</v>
      </c>
      <c r="C786" s="82">
        <v>4832722500</v>
      </c>
      <c r="D786">
        <v>201511</v>
      </c>
      <c r="E786" s="1">
        <v>42300</v>
      </c>
      <c r="F786" s="1">
        <v>42332</v>
      </c>
      <c r="G786" t="s">
        <v>281</v>
      </c>
      <c r="H786" s="81">
        <v>725</v>
      </c>
      <c r="I786" t="s">
        <v>6</v>
      </c>
      <c r="J786" s="3">
        <v>74.48</v>
      </c>
    </row>
    <row r="787" spans="1:10" x14ac:dyDescent="0.25">
      <c r="A787" t="s">
        <v>256</v>
      </c>
      <c r="B787" t="s">
        <v>5</v>
      </c>
      <c r="C787" s="82">
        <v>4832722500</v>
      </c>
      <c r="D787">
        <v>201512</v>
      </c>
      <c r="E787" s="1">
        <v>42332</v>
      </c>
      <c r="F787" s="1">
        <v>42361</v>
      </c>
      <c r="G787" t="s">
        <v>281</v>
      </c>
      <c r="H787" s="81">
        <v>739</v>
      </c>
      <c r="I787" t="s">
        <v>6</v>
      </c>
      <c r="J787" s="3">
        <v>75.73</v>
      </c>
    </row>
    <row r="788" spans="1:10" x14ac:dyDescent="0.25">
      <c r="A788" t="s">
        <v>256</v>
      </c>
      <c r="B788" t="s">
        <v>5</v>
      </c>
      <c r="C788" s="82">
        <v>4832722500</v>
      </c>
      <c r="D788">
        <v>201601</v>
      </c>
      <c r="E788" s="1">
        <v>42361</v>
      </c>
      <c r="F788" s="1">
        <v>42395</v>
      </c>
      <c r="G788" t="s">
        <v>281</v>
      </c>
      <c r="H788" s="81">
        <v>1021</v>
      </c>
      <c r="I788" t="s">
        <v>6</v>
      </c>
      <c r="J788" s="3">
        <v>100.65</v>
      </c>
    </row>
    <row r="789" spans="1:10" x14ac:dyDescent="0.25">
      <c r="A789" t="s">
        <v>256</v>
      </c>
      <c r="B789" t="s">
        <v>5</v>
      </c>
      <c r="C789" s="82">
        <v>4832722500</v>
      </c>
      <c r="D789">
        <v>201602</v>
      </c>
      <c r="E789" s="1">
        <v>42395</v>
      </c>
      <c r="F789" s="1">
        <v>42424</v>
      </c>
      <c r="G789" t="s">
        <v>281</v>
      </c>
      <c r="H789" s="81">
        <v>1236</v>
      </c>
      <c r="I789" t="s">
        <v>6</v>
      </c>
      <c r="J789" s="3">
        <v>119.68</v>
      </c>
    </row>
    <row r="790" spans="1:10" x14ac:dyDescent="0.25">
      <c r="A790" t="s">
        <v>256</v>
      </c>
      <c r="B790" t="s">
        <v>5</v>
      </c>
      <c r="C790" s="82">
        <v>4832722500</v>
      </c>
      <c r="D790">
        <v>201603</v>
      </c>
      <c r="E790" s="1">
        <v>42424</v>
      </c>
      <c r="F790" s="1">
        <v>42453</v>
      </c>
      <c r="G790" t="s">
        <v>281</v>
      </c>
      <c r="H790" s="81">
        <v>794</v>
      </c>
      <c r="I790" t="s">
        <v>6</v>
      </c>
      <c r="J790" s="3">
        <v>80.52</v>
      </c>
    </row>
    <row r="791" spans="1:10" x14ac:dyDescent="0.25">
      <c r="A791" t="s">
        <v>256</v>
      </c>
      <c r="B791" t="s">
        <v>5</v>
      </c>
      <c r="C791" s="82">
        <v>4832722500</v>
      </c>
      <c r="D791">
        <v>201604</v>
      </c>
      <c r="E791" s="1">
        <v>42453</v>
      </c>
      <c r="F791" s="1">
        <v>42487</v>
      </c>
      <c r="G791" t="s">
        <v>281</v>
      </c>
      <c r="H791" s="81">
        <v>802</v>
      </c>
      <c r="I791" t="s">
        <v>6</v>
      </c>
      <c r="J791" s="3">
        <v>81.37</v>
      </c>
    </row>
    <row r="792" spans="1:10" x14ac:dyDescent="0.25">
      <c r="A792" t="s">
        <v>256</v>
      </c>
      <c r="B792" t="s">
        <v>5</v>
      </c>
      <c r="C792" s="82">
        <v>4832722500</v>
      </c>
      <c r="D792">
        <v>201605</v>
      </c>
      <c r="E792" s="1">
        <v>42487</v>
      </c>
      <c r="F792" s="1">
        <v>42514</v>
      </c>
      <c r="G792" t="s">
        <v>281</v>
      </c>
      <c r="H792" s="81">
        <v>403</v>
      </c>
      <c r="I792" t="s">
        <v>6</v>
      </c>
      <c r="J792" s="3">
        <v>46.23</v>
      </c>
    </row>
    <row r="793" spans="1:10" x14ac:dyDescent="0.25">
      <c r="A793" t="s">
        <v>256</v>
      </c>
      <c r="B793" t="s">
        <v>5</v>
      </c>
      <c r="C793" s="82">
        <v>4832722500</v>
      </c>
      <c r="D793">
        <v>201606</v>
      </c>
      <c r="E793" s="1">
        <v>42514</v>
      </c>
      <c r="F793" s="1">
        <v>42544</v>
      </c>
      <c r="G793" t="s">
        <v>281</v>
      </c>
      <c r="H793" s="81">
        <v>184</v>
      </c>
      <c r="I793" t="s">
        <v>6</v>
      </c>
      <c r="J793" s="3">
        <v>26.61</v>
      </c>
    </row>
    <row r="794" spans="1:10" x14ac:dyDescent="0.25">
      <c r="A794" t="s">
        <v>256</v>
      </c>
      <c r="B794" t="s">
        <v>5</v>
      </c>
      <c r="C794" s="82">
        <v>4842827505</v>
      </c>
      <c r="D794">
        <v>201507</v>
      </c>
      <c r="E794" s="1">
        <v>42179</v>
      </c>
      <c r="F794" s="1">
        <v>42212</v>
      </c>
      <c r="G794" t="s">
        <v>285</v>
      </c>
      <c r="H794" s="81">
        <v>555</v>
      </c>
      <c r="I794" t="s">
        <v>6</v>
      </c>
      <c r="J794" s="3">
        <v>59.87</v>
      </c>
    </row>
    <row r="795" spans="1:10" x14ac:dyDescent="0.25">
      <c r="A795" t="s">
        <v>256</v>
      </c>
      <c r="B795" t="s">
        <v>5</v>
      </c>
      <c r="C795" s="82">
        <v>4842827505</v>
      </c>
      <c r="D795">
        <v>201508</v>
      </c>
      <c r="E795" s="1">
        <v>42212</v>
      </c>
      <c r="F795" s="1">
        <v>42240</v>
      </c>
      <c r="G795" t="s">
        <v>285</v>
      </c>
      <c r="H795" s="81">
        <v>411</v>
      </c>
      <c r="I795" t="s">
        <v>6</v>
      </c>
      <c r="J795" s="3">
        <v>46.96</v>
      </c>
    </row>
    <row r="796" spans="1:10" x14ac:dyDescent="0.25">
      <c r="A796" t="s">
        <v>256</v>
      </c>
      <c r="B796" t="s">
        <v>5</v>
      </c>
      <c r="C796" s="82">
        <v>4842827505</v>
      </c>
      <c r="D796">
        <v>201509</v>
      </c>
      <c r="E796" s="1">
        <v>42240</v>
      </c>
      <c r="F796" s="1">
        <v>42271</v>
      </c>
      <c r="G796" t="s">
        <v>285</v>
      </c>
      <c r="H796" s="81">
        <v>1035</v>
      </c>
      <c r="I796" t="s">
        <v>6</v>
      </c>
      <c r="J796" s="3">
        <v>102.22</v>
      </c>
    </row>
    <row r="797" spans="1:10" x14ac:dyDescent="0.25">
      <c r="A797" t="s">
        <v>256</v>
      </c>
      <c r="B797" t="s">
        <v>5</v>
      </c>
      <c r="C797" s="82">
        <v>4842827505</v>
      </c>
      <c r="D797">
        <v>201510</v>
      </c>
      <c r="E797" s="1">
        <v>42271</v>
      </c>
      <c r="F797" s="1">
        <v>42300</v>
      </c>
      <c r="G797" t="s">
        <v>285</v>
      </c>
      <c r="H797" s="81">
        <v>934</v>
      </c>
      <c r="I797" t="s">
        <v>6</v>
      </c>
      <c r="J797" s="3">
        <v>93.03</v>
      </c>
    </row>
    <row r="798" spans="1:10" x14ac:dyDescent="0.25">
      <c r="A798" t="s">
        <v>256</v>
      </c>
      <c r="B798" t="s">
        <v>5</v>
      </c>
      <c r="C798" s="82">
        <v>4842827505</v>
      </c>
      <c r="D798">
        <v>201511</v>
      </c>
      <c r="E798" s="1">
        <v>42300</v>
      </c>
      <c r="F798" s="1">
        <v>42332</v>
      </c>
      <c r="G798" t="s">
        <v>285</v>
      </c>
      <c r="H798" s="81">
        <v>1238</v>
      </c>
      <c r="I798" t="s">
        <v>6</v>
      </c>
      <c r="J798" s="3">
        <v>120.02</v>
      </c>
    </row>
    <row r="799" spans="1:10" x14ac:dyDescent="0.25">
      <c r="A799" t="s">
        <v>256</v>
      </c>
      <c r="B799" t="s">
        <v>5</v>
      </c>
      <c r="C799" s="82">
        <v>4842827505</v>
      </c>
      <c r="D799">
        <v>201512</v>
      </c>
      <c r="E799" s="1">
        <v>42332</v>
      </c>
      <c r="F799" s="1">
        <v>42361</v>
      </c>
      <c r="G799" t="s">
        <v>285</v>
      </c>
      <c r="H799" s="81">
        <v>911</v>
      </c>
      <c r="I799" t="s">
        <v>6</v>
      </c>
      <c r="J799" s="3">
        <v>90.97</v>
      </c>
    </row>
    <row r="800" spans="1:10" x14ac:dyDescent="0.25">
      <c r="A800" t="s">
        <v>256</v>
      </c>
      <c r="B800" t="s">
        <v>5</v>
      </c>
      <c r="C800" s="82">
        <v>4842827505</v>
      </c>
      <c r="D800">
        <v>201601</v>
      </c>
      <c r="E800" s="1">
        <v>42361</v>
      </c>
      <c r="F800" s="1">
        <v>42395</v>
      </c>
      <c r="G800" t="s">
        <v>285</v>
      </c>
      <c r="H800" s="81">
        <v>997</v>
      </c>
      <c r="I800" t="s">
        <v>6</v>
      </c>
      <c r="J800" s="3">
        <v>98.52</v>
      </c>
    </row>
    <row r="801" spans="1:10" x14ac:dyDescent="0.25">
      <c r="A801" t="s">
        <v>256</v>
      </c>
      <c r="B801" t="s">
        <v>5</v>
      </c>
      <c r="C801" s="82">
        <v>4842827505</v>
      </c>
      <c r="D801">
        <v>201602</v>
      </c>
      <c r="E801" s="1">
        <v>42395</v>
      </c>
      <c r="F801" s="1">
        <v>42424</v>
      </c>
      <c r="G801" t="s">
        <v>285</v>
      </c>
      <c r="H801" s="81">
        <v>832</v>
      </c>
      <c r="I801" t="s">
        <v>6</v>
      </c>
      <c r="J801" s="3">
        <v>83.87</v>
      </c>
    </row>
    <row r="802" spans="1:10" x14ac:dyDescent="0.25">
      <c r="A802" t="s">
        <v>256</v>
      </c>
      <c r="B802" t="s">
        <v>5</v>
      </c>
      <c r="C802" s="82">
        <v>4842827505</v>
      </c>
      <c r="D802">
        <v>201603</v>
      </c>
      <c r="E802" s="1">
        <v>42424</v>
      </c>
      <c r="F802" s="1">
        <v>42453</v>
      </c>
      <c r="G802" t="s">
        <v>285</v>
      </c>
      <c r="H802" s="81">
        <v>616</v>
      </c>
      <c r="I802" t="s">
        <v>6</v>
      </c>
      <c r="J802" s="3">
        <v>64.72</v>
      </c>
    </row>
    <row r="803" spans="1:10" x14ac:dyDescent="0.25">
      <c r="A803" t="s">
        <v>256</v>
      </c>
      <c r="B803" t="s">
        <v>5</v>
      </c>
      <c r="C803" s="82">
        <v>4842827505</v>
      </c>
      <c r="D803">
        <v>201604</v>
      </c>
      <c r="E803" s="1">
        <v>42453</v>
      </c>
      <c r="F803" s="1">
        <v>42487</v>
      </c>
      <c r="G803" t="s">
        <v>285</v>
      </c>
      <c r="H803" s="81">
        <v>1087</v>
      </c>
      <c r="I803" t="s">
        <v>6</v>
      </c>
      <c r="J803" s="3">
        <v>106.75</v>
      </c>
    </row>
    <row r="804" spans="1:10" x14ac:dyDescent="0.25">
      <c r="A804" t="s">
        <v>256</v>
      </c>
      <c r="B804" t="s">
        <v>5</v>
      </c>
      <c r="C804" s="82">
        <v>4842827505</v>
      </c>
      <c r="D804">
        <v>201605</v>
      </c>
      <c r="E804" s="1">
        <v>42487</v>
      </c>
      <c r="F804" s="1">
        <v>42514</v>
      </c>
      <c r="G804" t="s">
        <v>285</v>
      </c>
      <c r="H804" s="81">
        <v>593</v>
      </c>
      <c r="I804" t="s">
        <v>6</v>
      </c>
      <c r="J804" s="3">
        <v>63.22</v>
      </c>
    </row>
    <row r="805" spans="1:10" x14ac:dyDescent="0.25">
      <c r="A805" t="s">
        <v>256</v>
      </c>
      <c r="B805" t="s">
        <v>5</v>
      </c>
      <c r="C805" s="82">
        <v>4842827505</v>
      </c>
      <c r="D805">
        <v>201606</v>
      </c>
      <c r="E805" s="1">
        <v>42514</v>
      </c>
      <c r="F805" s="1">
        <v>42544</v>
      </c>
      <c r="G805" t="s">
        <v>285</v>
      </c>
      <c r="H805" s="81">
        <v>245</v>
      </c>
      <c r="I805" t="s">
        <v>6</v>
      </c>
      <c r="J805" s="3">
        <v>32.11</v>
      </c>
    </row>
    <row r="806" spans="1:10" x14ac:dyDescent="0.25">
      <c r="A806" t="s">
        <v>256</v>
      </c>
      <c r="B806" t="s">
        <v>5</v>
      </c>
      <c r="C806" s="82">
        <v>4852807504</v>
      </c>
      <c r="D806">
        <v>201507</v>
      </c>
      <c r="E806" s="1">
        <v>42185</v>
      </c>
      <c r="F806" s="1">
        <v>42216</v>
      </c>
      <c r="G806" t="s">
        <v>288</v>
      </c>
      <c r="H806" s="81">
        <v>377</v>
      </c>
      <c r="I806" t="s">
        <v>6</v>
      </c>
      <c r="J806" s="3">
        <v>43.9</v>
      </c>
    </row>
    <row r="807" spans="1:10" x14ac:dyDescent="0.25">
      <c r="A807" t="s">
        <v>256</v>
      </c>
      <c r="B807" t="s">
        <v>5</v>
      </c>
      <c r="C807" s="82">
        <v>4852807504</v>
      </c>
      <c r="D807">
        <v>201508</v>
      </c>
      <c r="E807" s="1">
        <v>42216</v>
      </c>
      <c r="F807" s="1">
        <v>42243</v>
      </c>
      <c r="G807" t="s">
        <v>288</v>
      </c>
      <c r="H807" s="81">
        <v>358</v>
      </c>
      <c r="I807" t="s">
        <v>6</v>
      </c>
      <c r="J807" s="3">
        <v>42.2</v>
      </c>
    </row>
    <row r="808" spans="1:10" x14ac:dyDescent="0.25">
      <c r="A808" t="s">
        <v>256</v>
      </c>
      <c r="B808" t="s">
        <v>5</v>
      </c>
      <c r="C808" s="82">
        <v>4852807504</v>
      </c>
      <c r="D808">
        <v>201509</v>
      </c>
      <c r="E808" s="1">
        <v>42243</v>
      </c>
      <c r="F808" s="1">
        <v>42275</v>
      </c>
      <c r="G808" t="s">
        <v>288</v>
      </c>
      <c r="H808" s="81">
        <v>786</v>
      </c>
      <c r="I808" t="s">
        <v>6</v>
      </c>
      <c r="J808" s="3">
        <v>80</v>
      </c>
    </row>
    <row r="809" spans="1:10" x14ac:dyDescent="0.25">
      <c r="A809" t="s">
        <v>256</v>
      </c>
      <c r="B809" t="s">
        <v>5</v>
      </c>
      <c r="C809" s="82">
        <v>4852807504</v>
      </c>
      <c r="D809">
        <v>201510</v>
      </c>
      <c r="E809" s="1">
        <v>42275</v>
      </c>
      <c r="F809" s="1">
        <v>42305</v>
      </c>
      <c r="G809" t="s">
        <v>288</v>
      </c>
      <c r="H809" s="81">
        <v>847</v>
      </c>
      <c r="I809" t="s">
        <v>6</v>
      </c>
      <c r="J809" s="3">
        <v>85.31</v>
      </c>
    </row>
    <row r="810" spans="1:10" x14ac:dyDescent="0.25">
      <c r="A810" t="s">
        <v>256</v>
      </c>
      <c r="B810" t="s">
        <v>5</v>
      </c>
      <c r="C810" s="82">
        <v>4852807504</v>
      </c>
      <c r="D810">
        <v>201511</v>
      </c>
      <c r="E810" s="1">
        <v>42305</v>
      </c>
      <c r="F810" s="1">
        <v>42340</v>
      </c>
      <c r="G810" t="s">
        <v>288</v>
      </c>
      <c r="H810" s="81">
        <v>1161</v>
      </c>
      <c r="I810" t="s">
        <v>6</v>
      </c>
      <c r="J810" s="3">
        <v>113.19</v>
      </c>
    </row>
    <row r="811" spans="1:10" x14ac:dyDescent="0.25">
      <c r="A811" t="s">
        <v>256</v>
      </c>
      <c r="B811" t="s">
        <v>5</v>
      </c>
      <c r="C811" s="82">
        <v>4852807504</v>
      </c>
      <c r="D811">
        <v>201512</v>
      </c>
      <c r="E811" s="1">
        <v>42340</v>
      </c>
      <c r="F811" s="1">
        <v>42369</v>
      </c>
      <c r="G811" t="s">
        <v>288</v>
      </c>
      <c r="H811" s="81">
        <v>954</v>
      </c>
      <c r="I811" t="s">
        <v>6</v>
      </c>
      <c r="J811" s="3">
        <v>94.8</v>
      </c>
    </row>
    <row r="812" spans="1:10" x14ac:dyDescent="0.25">
      <c r="A812" t="s">
        <v>256</v>
      </c>
      <c r="B812" t="s">
        <v>5</v>
      </c>
      <c r="C812" s="82">
        <v>4852807504</v>
      </c>
      <c r="D812">
        <v>201601</v>
      </c>
      <c r="E812" s="1">
        <v>42369</v>
      </c>
      <c r="F812" s="1">
        <v>42402</v>
      </c>
      <c r="G812" t="s">
        <v>288</v>
      </c>
      <c r="H812" s="81">
        <v>2216</v>
      </c>
      <c r="I812" t="s">
        <v>6</v>
      </c>
      <c r="J812" s="3">
        <v>206.53</v>
      </c>
    </row>
    <row r="813" spans="1:10" x14ac:dyDescent="0.25">
      <c r="A813" t="s">
        <v>256</v>
      </c>
      <c r="B813" t="s">
        <v>5</v>
      </c>
      <c r="C813" s="82">
        <v>4852807504</v>
      </c>
      <c r="D813">
        <v>201602</v>
      </c>
      <c r="E813" s="1">
        <v>42402</v>
      </c>
      <c r="F813" s="1">
        <v>42429</v>
      </c>
      <c r="G813" t="s">
        <v>288</v>
      </c>
      <c r="H813" s="81">
        <v>1589</v>
      </c>
      <c r="I813" t="s">
        <v>6</v>
      </c>
      <c r="J813" s="3">
        <v>150.97</v>
      </c>
    </row>
    <row r="814" spans="1:10" x14ac:dyDescent="0.25">
      <c r="A814" t="s">
        <v>256</v>
      </c>
      <c r="B814" t="s">
        <v>5</v>
      </c>
      <c r="C814" s="82">
        <v>4852807504</v>
      </c>
      <c r="D814">
        <v>201603</v>
      </c>
      <c r="E814" s="1">
        <v>42429</v>
      </c>
      <c r="F814" s="1">
        <v>42460</v>
      </c>
      <c r="G814" t="s">
        <v>288</v>
      </c>
      <c r="H814" s="81">
        <v>1032</v>
      </c>
      <c r="I814" t="s">
        <v>6</v>
      </c>
      <c r="J814" s="3">
        <v>101.59</v>
      </c>
    </row>
    <row r="815" spans="1:10" x14ac:dyDescent="0.25">
      <c r="A815" t="s">
        <v>256</v>
      </c>
      <c r="B815" t="s">
        <v>5</v>
      </c>
      <c r="C815" s="82">
        <v>4852807504</v>
      </c>
      <c r="D815">
        <v>201604</v>
      </c>
      <c r="E815" s="1">
        <v>42460</v>
      </c>
      <c r="F815" s="1">
        <v>42489</v>
      </c>
      <c r="G815" t="s">
        <v>288</v>
      </c>
      <c r="H815" s="81">
        <v>901</v>
      </c>
      <c r="I815" t="s">
        <v>6</v>
      </c>
      <c r="J815" s="3">
        <v>90.27</v>
      </c>
    </row>
    <row r="816" spans="1:10" x14ac:dyDescent="0.25">
      <c r="A816" t="s">
        <v>256</v>
      </c>
      <c r="B816" t="s">
        <v>5</v>
      </c>
      <c r="C816" s="82">
        <v>4852807504</v>
      </c>
      <c r="D816">
        <v>201605</v>
      </c>
      <c r="E816" s="1">
        <v>42489</v>
      </c>
      <c r="F816" s="1">
        <v>42521</v>
      </c>
      <c r="G816" t="s">
        <v>288</v>
      </c>
      <c r="H816" s="81">
        <v>638</v>
      </c>
      <c r="I816" t="s">
        <v>6</v>
      </c>
      <c r="J816" s="3">
        <v>67.33</v>
      </c>
    </row>
    <row r="817" spans="1:10" x14ac:dyDescent="0.25">
      <c r="A817" t="s">
        <v>256</v>
      </c>
      <c r="B817" t="s">
        <v>5</v>
      </c>
      <c r="C817" s="82">
        <v>4852807504</v>
      </c>
      <c r="D817">
        <v>201606</v>
      </c>
      <c r="E817" s="1">
        <v>42521</v>
      </c>
      <c r="F817" s="1">
        <v>42549</v>
      </c>
      <c r="G817" t="s">
        <v>288</v>
      </c>
      <c r="H817" s="81">
        <v>181</v>
      </c>
      <c r="I817" t="s">
        <v>6</v>
      </c>
      <c r="J817" s="3">
        <v>26.35</v>
      </c>
    </row>
    <row r="818" spans="1:10" x14ac:dyDescent="0.25">
      <c r="A818" t="s">
        <v>256</v>
      </c>
      <c r="B818" t="s">
        <v>5</v>
      </c>
      <c r="C818" s="82">
        <v>4862815000</v>
      </c>
      <c r="D818">
        <v>201507</v>
      </c>
      <c r="E818" s="1">
        <v>42185</v>
      </c>
      <c r="F818" s="1">
        <v>42216</v>
      </c>
      <c r="G818" t="s">
        <v>291</v>
      </c>
      <c r="H818" s="81">
        <v>548</v>
      </c>
      <c r="I818" t="s">
        <v>6</v>
      </c>
      <c r="J818" s="3">
        <v>59.26</v>
      </c>
    </row>
    <row r="819" spans="1:10" x14ac:dyDescent="0.25">
      <c r="A819" t="s">
        <v>256</v>
      </c>
      <c r="B819" t="s">
        <v>5</v>
      </c>
      <c r="C819" s="82">
        <v>4862815000</v>
      </c>
      <c r="D819">
        <v>201508</v>
      </c>
      <c r="E819" s="1">
        <v>42216</v>
      </c>
      <c r="F819" s="1">
        <v>42243</v>
      </c>
      <c r="G819" t="s">
        <v>291</v>
      </c>
      <c r="H819" s="81">
        <v>618</v>
      </c>
      <c r="I819" t="s">
        <v>6</v>
      </c>
      <c r="J819" s="3">
        <v>65.52</v>
      </c>
    </row>
    <row r="820" spans="1:10" x14ac:dyDescent="0.25">
      <c r="A820" t="s">
        <v>256</v>
      </c>
      <c r="B820" t="s">
        <v>5</v>
      </c>
      <c r="C820" s="82">
        <v>4862815000</v>
      </c>
      <c r="D820">
        <v>201509</v>
      </c>
      <c r="E820" s="1">
        <v>42243</v>
      </c>
      <c r="F820" s="1">
        <v>42275</v>
      </c>
      <c r="G820" t="s">
        <v>291</v>
      </c>
      <c r="H820" s="81">
        <v>1364</v>
      </c>
      <c r="I820" t="s">
        <v>6</v>
      </c>
      <c r="J820" s="3">
        <v>131.34</v>
      </c>
    </row>
    <row r="821" spans="1:10" x14ac:dyDescent="0.25">
      <c r="A821" t="s">
        <v>256</v>
      </c>
      <c r="B821" t="s">
        <v>5</v>
      </c>
      <c r="C821" s="82">
        <v>4862815000</v>
      </c>
      <c r="D821">
        <v>201510</v>
      </c>
      <c r="E821" s="1">
        <v>42275</v>
      </c>
      <c r="F821" s="1">
        <v>42305</v>
      </c>
      <c r="G821" t="s">
        <v>291</v>
      </c>
      <c r="H821" s="81">
        <v>1071</v>
      </c>
      <c r="I821" t="s">
        <v>6</v>
      </c>
      <c r="J821" s="3">
        <v>105.19</v>
      </c>
    </row>
    <row r="822" spans="1:10" x14ac:dyDescent="0.25">
      <c r="A822" t="s">
        <v>256</v>
      </c>
      <c r="B822" t="s">
        <v>5</v>
      </c>
      <c r="C822" s="82">
        <v>4862815000</v>
      </c>
      <c r="D822">
        <v>201511</v>
      </c>
      <c r="E822" s="1">
        <v>42305</v>
      </c>
      <c r="F822" s="1">
        <v>42340</v>
      </c>
      <c r="G822" t="s">
        <v>291</v>
      </c>
      <c r="H822" s="81">
        <v>1554</v>
      </c>
      <c r="I822" t="s">
        <v>6</v>
      </c>
      <c r="J822" s="3">
        <v>148.07</v>
      </c>
    </row>
    <row r="823" spans="1:10" x14ac:dyDescent="0.25">
      <c r="A823" t="s">
        <v>256</v>
      </c>
      <c r="B823" t="s">
        <v>5</v>
      </c>
      <c r="C823" s="82">
        <v>4862815000</v>
      </c>
      <c r="D823">
        <v>201512</v>
      </c>
      <c r="E823" s="1">
        <v>42340</v>
      </c>
      <c r="F823" s="1">
        <v>42369</v>
      </c>
      <c r="G823" t="s">
        <v>291</v>
      </c>
      <c r="H823" s="81">
        <v>1273</v>
      </c>
      <c r="I823" t="s">
        <v>6</v>
      </c>
      <c r="J823" s="3">
        <v>123.13</v>
      </c>
    </row>
    <row r="824" spans="1:10" x14ac:dyDescent="0.25">
      <c r="A824" t="s">
        <v>256</v>
      </c>
      <c r="B824" t="s">
        <v>5</v>
      </c>
      <c r="C824" s="82">
        <v>4862815000</v>
      </c>
      <c r="D824">
        <v>201601</v>
      </c>
      <c r="E824" s="1">
        <v>42369</v>
      </c>
      <c r="F824" s="1">
        <v>42402</v>
      </c>
      <c r="G824" t="s">
        <v>291</v>
      </c>
      <c r="H824" s="81">
        <v>2449</v>
      </c>
      <c r="I824" t="s">
        <v>6</v>
      </c>
      <c r="J824" s="3">
        <v>227.18</v>
      </c>
    </row>
    <row r="825" spans="1:10" x14ac:dyDescent="0.25">
      <c r="A825" t="s">
        <v>256</v>
      </c>
      <c r="B825" t="s">
        <v>5</v>
      </c>
      <c r="C825" s="82">
        <v>4862815000</v>
      </c>
      <c r="D825">
        <v>201602</v>
      </c>
      <c r="E825" s="1">
        <v>42402</v>
      </c>
      <c r="F825" s="1">
        <v>42429</v>
      </c>
      <c r="G825" t="s">
        <v>291</v>
      </c>
      <c r="H825" s="81">
        <v>1709</v>
      </c>
      <c r="I825" t="s">
        <v>6</v>
      </c>
      <c r="J825" s="3">
        <v>161.6</v>
      </c>
    </row>
    <row r="826" spans="1:10" x14ac:dyDescent="0.25">
      <c r="A826" t="s">
        <v>256</v>
      </c>
      <c r="B826" t="s">
        <v>5</v>
      </c>
      <c r="C826" s="82">
        <v>4862815000</v>
      </c>
      <c r="D826">
        <v>201603</v>
      </c>
      <c r="E826" s="1">
        <v>42429</v>
      </c>
      <c r="F826" s="1">
        <v>42460</v>
      </c>
      <c r="G826" t="s">
        <v>291</v>
      </c>
      <c r="H826" s="81">
        <v>1139</v>
      </c>
      <c r="I826" t="s">
        <v>6</v>
      </c>
      <c r="J826" s="3">
        <v>111.1</v>
      </c>
    </row>
    <row r="827" spans="1:10" x14ac:dyDescent="0.25">
      <c r="A827" t="s">
        <v>256</v>
      </c>
      <c r="B827" t="s">
        <v>5</v>
      </c>
      <c r="C827" s="82">
        <v>4862815000</v>
      </c>
      <c r="D827">
        <v>201604</v>
      </c>
      <c r="E827" s="1">
        <v>42460</v>
      </c>
      <c r="F827" s="1">
        <v>42489</v>
      </c>
      <c r="G827" t="s">
        <v>291</v>
      </c>
      <c r="H827" s="81">
        <v>987</v>
      </c>
      <c r="I827" t="s">
        <v>6</v>
      </c>
      <c r="J827" s="3">
        <v>97.92</v>
      </c>
    </row>
    <row r="828" spans="1:10" x14ac:dyDescent="0.25">
      <c r="A828" t="s">
        <v>256</v>
      </c>
      <c r="B828" t="s">
        <v>5</v>
      </c>
      <c r="C828" s="82">
        <v>4862815000</v>
      </c>
      <c r="D828">
        <v>201605</v>
      </c>
      <c r="E828" s="1">
        <v>42489</v>
      </c>
      <c r="F828" s="1">
        <v>42521</v>
      </c>
      <c r="G828" t="s">
        <v>291</v>
      </c>
      <c r="H828" s="81">
        <v>527</v>
      </c>
      <c r="I828" t="s">
        <v>6</v>
      </c>
      <c r="J828" s="3">
        <v>57.35</v>
      </c>
    </row>
    <row r="829" spans="1:10" x14ac:dyDescent="0.25">
      <c r="A829" t="s">
        <v>256</v>
      </c>
      <c r="B829" t="s">
        <v>5</v>
      </c>
      <c r="C829" s="82">
        <v>4862815000</v>
      </c>
      <c r="D829">
        <v>201606</v>
      </c>
      <c r="E829" s="1">
        <v>42521</v>
      </c>
      <c r="F829" s="1">
        <v>42549</v>
      </c>
      <c r="G829" t="s">
        <v>291</v>
      </c>
      <c r="H829" s="81">
        <v>221</v>
      </c>
      <c r="I829" t="s">
        <v>6</v>
      </c>
      <c r="J829" s="3">
        <v>29.94</v>
      </c>
    </row>
    <row r="830" spans="1:10" x14ac:dyDescent="0.25">
      <c r="A830" t="s">
        <v>453</v>
      </c>
      <c r="B830" t="s">
        <v>5</v>
      </c>
      <c r="C830" s="82" t="s">
        <v>455</v>
      </c>
      <c r="D830">
        <v>201507</v>
      </c>
      <c r="E830" s="1">
        <v>42185</v>
      </c>
      <c r="F830" s="1">
        <v>42216</v>
      </c>
      <c r="G830" t="s">
        <v>456</v>
      </c>
      <c r="H830" s="81">
        <v>39732</v>
      </c>
      <c r="I830" t="s">
        <v>6</v>
      </c>
      <c r="J830" s="3">
        <v>2330.6</v>
      </c>
    </row>
    <row r="831" spans="1:10" x14ac:dyDescent="0.25">
      <c r="A831" t="s">
        <v>453</v>
      </c>
      <c r="B831" t="s">
        <v>5</v>
      </c>
      <c r="C831" s="82" t="s">
        <v>455</v>
      </c>
      <c r="D831">
        <v>201508</v>
      </c>
      <c r="E831" s="1">
        <v>42216</v>
      </c>
      <c r="F831" s="1">
        <v>42243</v>
      </c>
      <c r="G831" t="s">
        <v>456</v>
      </c>
      <c r="H831" s="81">
        <v>24117</v>
      </c>
      <c r="I831" t="s">
        <v>6</v>
      </c>
      <c r="J831" s="3">
        <v>1462.43</v>
      </c>
    </row>
    <row r="832" spans="1:10" x14ac:dyDescent="0.25">
      <c r="A832" t="s">
        <v>453</v>
      </c>
      <c r="B832" t="s">
        <v>5</v>
      </c>
      <c r="C832" s="82" t="s">
        <v>455</v>
      </c>
      <c r="D832">
        <v>201509</v>
      </c>
      <c r="E832" s="1">
        <v>42243</v>
      </c>
      <c r="F832" s="1">
        <v>42276</v>
      </c>
      <c r="G832" t="s">
        <v>456</v>
      </c>
      <c r="H832" s="81">
        <v>41586</v>
      </c>
      <c r="I832" t="s">
        <v>6</v>
      </c>
      <c r="J832" s="3">
        <v>2432.98</v>
      </c>
    </row>
    <row r="833" spans="1:10" x14ac:dyDescent="0.25">
      <c r="A833" t="s">
        <v>453</v>
      </c>
      <c r="B833" t="s">
        <v>5</v>
      </c>
      <c r="C833" s="82" t="s">
        <v>455</v>
      </c>
      <c r="D833">
        <v>201510</v>
      </c>
      <c r="E833" s="1">
        <v>42276</v>
      </c>
      <c r="F833" s="1">
        <v>42305</v>
      </c>
      <c r="G833" t="s">
        <v>456</v>
      </c>
      <c r="H833" s="81">
        <v>24024</v>
      </c>
      <c r="I833" t="s">
        <v>6</v>
      </c>
      <c r="J833" s="3">
        <v>1436.51</v>
      </c>
    </row>
    <row r="834" spans="1:10" x14ac:dyDescent="0.25">
      <c r="A834" t="s">
        <v>453</v>
      </c>
      <c r="B834" t="s">
        <v>5</v>
      </c>
      <c r="C834" s="82" t="s">
        <v>455</v>
      </c>
      <c r="D834">
        <v>201511</v>
      </c>
      <c r="E834" s="1">
        <v>42305</v>
      </c>
      <c r="F834" s="1">
        <v>42339</v>
      </c>
      <c r="G834" t="s">
        <v>456</v>
      </c>
      <c r="H834" s="81">
        <v>44970</v>
      </c>
      <c r="I834" t="s">
        <v>6</v>
      </c>
      <c r="J834" s="3">
        <v>2720.01</v>
      </c>
    </row>
    <row r="835" spans="1:10" x14ac:dyDescent="0.25">
      <c r="A835" t="s">
        <v>453</v>
      </c>
      <c r="B835" t="s">
        <v>5</v>
      </c>
      <c r="C835" s="82" t="s">
        <v>455</v>
      </c>
      <c r="D835">
        <v>201512</v>
      </c>
      <c r="E835" s="1">
        <v>42339</v>
      </c>
      <c r="F835" s="1">
        <v>42369</v>
      </c>
      <c r="G835" t="s">
        <v>456</v>
      </c>
      <c r="H835" s="81">
        <v>30522</v>
      </c>
      <c r="I835" t="s">
        <v>6</v>
      </c>
      <c r="J835" s="3">
        <v>1928.14</v>
      </c>
    </row>
    <row r="836" spans="1:10" x14ac:dyDescent="0.25">
      <c r="A836" t="s">
        <v>453</v>
      </c>
      <c r="B836" t="s">
        <v>5</v>
      </c>
      <c r="C836" s="82" t="s">
        <v>455</v>
      </c>
      <c r="D836">
        <v>201601</v>
      </c>
      <c r="E836" s="1">
        <v>42369</v>
      </c>
      <c r="F836" s="1">
        <v>42401</v>
      </c>
      <c r="G836" t="s">
        <v>456</v>
      </c>
      <c r="H836" s="81">
        <v>34066</v>
      </c>
      <c r="I836" t="s">
        <v>6</v>
      </c>
      <c r="J836" s="3">
        <v>2131.06</v>
      </c>
    </row>
    <row r="837" spans="1:10" x14ac:dyDescent="0.25">
      <c r="A837" t="s">
        <v>453</v>
      </c>
      <c r="B837" t="s">
        <v>5</v>
      </c>
      <c r="C837" s="82" t="s">
        <v>455</v>
      </c>
      <c r="D837">
        <v>201602</v>
      </c>
      <c r="E837" s="1">
        <v>42401</v>
      </c>
      <c r="F837" s="1">
        <v>42430</v>
      </c>
      <c r="G837" t="s">
        <v>456</v>
      </c>
      <c r="H837" s="81">
        <v>39040</v>
      </c>
      <c r="I837" t="s">
        <v>6</v>
      </c>
      <c r="J837" s="3">
        <v>2382.56</v>
      </c>
    </row>
    <row r="838" spans="1:10" x14ac:dyDescent="0.25">
      <c r="A838" t="s">
        <v>453</v>
      </c>
      <c r="B838" t="s">
        <v>5</v>
      </c>
      <c r="C838" s="82" t="s">
        <v>455</v>
      </c>
      <c r="D838">
        <v>201603</v>
      </c>
      <c r="E838" s="1">
        <v>42430</v>
      </c>
      <c r="F838" s="1">
        <v>42460</v>
      </c>
      <c r="G838" t="s">
        <v>456</v>
      </c>
      <c r="H838" s="81">
        <v>36882</v>
      </c>
      <c r="I838" t="s">
        <v>6</v>
      </c>
      <c r="J838" s="3">
        <v>2367.77</v>
      </c>
    </row>
    <row r="839" spans="1:10" x14ac:dyDescent="0.25">
      <c r="A839" t="s">
        <v>453</v>
      </c>
      <c r="B839" t="s">
        <v>5</v>
      </c>
      <c r="C839" s="82" t="s">
        <v>455</v>
      </c>
      <c r="D839">
        <v>201604</v>
      </c>
      <c r="E839" s="1">
        <v>42460</v>
      </c>
      <c r="F839" s="1">
        <v>42489</v>
      </c>
      <c r="G839" t="s">
        <v>456</v>
      </c>
      <c r="H839" s="81">
        <v>37559</v>
      </c>
      <c r="I839" t="s">
        <v>6</v>
      </c>
      <c r="J839" s="3">
        <v>2262.9299999999998</v>
      </c>
    </row>
    <row r="840" spans="1:10" x14ac:dyDescent="0.25">
      <c r="A840" t="s">
        <v>453</v>
      </c>
      <c r="B840" t="s">
        <v>5</v>
      </c>
      <c r="C840" s="82" t="s">
        <v>455</v>
      </c>
      <c r="D840">
        <v>201605</v>
      </c>
      <c r="E840" s="1">
        <v>42489</v>
      </c>
      <c r="F840" s="1">
        <v>42521</v>
      </c>
      <c r="G840" t="s">
        <v>456</v>
      </c>
      <c r="H840" s="81">
        <v>31248</v>
      </c>
      <c r="I840" t="s">
        <v>6</v>
      </c>
      <c r="J840" s="3">
        <v>1943.6</v>
      </c>
    </row>
    <row r="841" spans="1:10" x14ac:dyDescent="0.25">
      <c r="A841" t="s">
        <v>453</v>
      </c>
      <c r="B841" t="s">
        <v>5</v>
      </c>
      <c r="C841" s="82" t="s">
        <v>455</v>
      </c>
      <c r="D841">
        <v>201606</v>
      </c>
      <c r="E841" s="1">
        <v>42521</v>
      </c>
      <c r="F841" s="1">
        <v>42550</v>
      </c>
      <c r="G841" t="s">
        <v>456</v>
      </c>
      <c r="H841" s="81">
        <v>24678</v>
      </c>
      <c r="I841" t="s">
        <v>6</v>
      </c>
      <c r="J841" s="3">
        <v>1481.47</v>
      </c>
    </row>
    <row r="842" spans="1:10" x14ac:dyDescent="0.25">
      <c r="A842" t="s">
        <v>364</v>
      </c>
      <c r="B842" t="s">
        <v>5</v>
      </c>
      <c r="C842" s="82" t="s">
        <v>365</v>
      </c>
      <c r="D842">
        <v>201507</v>
      </c>
      <c r="E842" s="1">
        <v>42185</v>
      </c>
      <c r="F842" s="1">
        <v>42216</v>
      </c>
      <c r="G842" t="s">
        <v>366</v>
      </c>
      <c r="H842" s="81">
        <v>14533</v>
      </c>
      <c r="I842" t="s">
        <v>6</v>
      </c>
      <c r="J842" s="3">
        <v>852.48</v>
      </c>
    </row>
    <row r="843" spans="1:10" x14ac:dyDescent="0.25">
      <c r="A843" t="s">
        <v>364</v>
      </c>
      <c r="B843" t="s">
        <v>5</v>
      </c>
      <c r="C843" s="82" t="s">
        <v>365</v>
      </c>
      <c r="D843">
        <v>201508</v>
      </c>
      <c r="E843" s="1">
        <v>42216</v>
      </c>
      <c r="F843" s="1">
        <v>42243</v>
      </c>
      <c r="G843" t="s">
        <v>366</v>
      </c>
      <c r="H843" s="81">
        <v>9732</v>
      </c>
      <c r="I843" t="s">
        <v>6</v>
      </c>
      <c r="J843" s="3">
        <v>590.14</v>
      </c>
    </row>
    <row r="844" spans="1:10" x14ac:dyDescent="0.25">
      <c r="A844" t="s">
        <v>364</v>
      </c>
      <c r="B844" t="s">
        <v>5</v>
      </c>
      <c r="C844" s="82" t="s">
        <v>365</v>
      </c>
      <c r="D844">
        <v>201509</v>
      </c>
      <c r="E844" s="1">
        <v>42243</v>
      </c>
      <c r="F844" s="1">
        <v>42276</v>
      </c>
      <c r="G844" t="s">
        <v>366</v>
      </c>
      <c r="H844" s="81">
        <v>38182</v>
      </c>
      <c r="I844" t="s">
        <v>6</v>
      </c>
      <c r="J844" s="3">
        <v>2233.83</v>
      </c>
    </row>
    <row r="845" spans="1:10" x14ac:dyDescent="0.25">
      <c r="A845" t="s">
        <v>364</v>
      </c>
      <c r="B845" t="s">
        <v>5</v>
      </c>
      <c r="C845" s="82" t="s">
        <v>365</v>
      </c>
      <c r="D845">
        <v>201510</v>
      </c>
      <c r="E845" s="1">
        <v>42276</v>
      </c>
      <c r="F845" s="1">
        <v>42305</v>
      </c>
      <c r="G845" t="s">
        <v>366</v>
      </c>
      <c r="H845" s="81">
        <v>23382</v>
      </c>
      <c r="I845" t="s">
        <v>6</v>
      </c>
      <c r="J845" s="3">
        <v>1398.12</v>
      </c>
    </row>
    <row r="846" spans="1:10" x14ac:dyDescent="0.25">
      <c r="A846" t="s">
        <v>364</v>
      </c>
      <c r="B846" t="s">
        <v>5</v>
      </c>
      <c r="C846" s="82" t="s">
        <v>365</v>
      </c>
      <c r="D846">
        <v>201511</v>
      </c>
      <c r="E846" s="1">
        <v>42305</v>
      </c>
      <c r="F846" s="1">
        <v>42339</v>
      </c>
      <c r="G846" t="s">
        <v>366</v>
      </c>
      <c r="H846" s="81">
        <v>37266</v>
      </c>
      <c r="I846" t="s">
        <v>6</v>
      </c>
      <c r="J846" s="3">
        <v>2254.04</v>
      </c>
    </row>
    <row r="847" spans="1:10" x14ac:dyDescent="0.25">
      <c r="A847" t="s">
        <v>364</v>
      </c>
      <c r="B847" t="s">
        <v>5</v>
      </c>
      <c r="C847" s="82" t="s">
        <v>365</v>
      </c>
      <c r="D847">
        <v>201512</v>
      </c>
      <c r="E847" s="1">
        <v>42339</v>
      </c>
      <c r="F847" s="1">
        <v>42369</v>
      </c>
      <c r="G847" t="s">
        <v>366</v>
      </c>
      <c r="H847" s="81">
        <v>28253</v>
      </c>
      <c r="I847" t="s">
        <v>6</v>
      </c>
      <c r="J847" s="3">
        <v>1784.81</v>
      </c>
    </row>
    <row r="848" spans="1:10" x14ac:dyDescent="0.25">
      <c r="A848" t="s">
        <v>364</v>
      </c>
      <c r="B848" t="s">
        <v>5</v>
      </c>
      <c r="C848" s="82" t="s">
        <v>365</v>
      </c>
      <c r="D848">
        <v>201601</v>
      </c>
      <c r="E848" s="1">
        <v>42369</v>
      </c>
      <c r="F848" s="1">
        <v>42401</v>
      </c>
      <c r="G848" t="s">
        <v>366</v>
      </c>
      <c r="H848" s="81">
        <v>31742</v>
      </c>
      <c r="I848" t="s">
        <v>6</v>
      </c>
      <c r="J848" s="3">
        <v>1985.68</v>
      </c>
    </row>
    <row r="849" spans="1:10" x14ac:dyDescent="0.25">
      <c r="A849" t="s">
        <v>364</v>
      </c>
      <c r="B849" t="s">
        <v>5</v>
      </c>
      <c r="C849" s="82" t="s">
        <v>365</v>
      </c>
      <c r="D849">
        <v>201602</v>
      </c>
      <c r="E849" s="1">
        <v>42401</v>
      </c>
      <c r="F849" s="1">
        <v>42430</v>
      </c>
      <c r="G849" t="s">
        <v>366</v>
      </c>
      <c r="H849" s="81">
        <v>32809</v>
      </c>
      <c r="I849" t="s">
        <v>6</v>
      </c>
      <c r="J849" s="3">
        <v>2002.29</v>
      </c>
    </row>
    <row r="850" spans="1:10" x14ac:dyDescent="0.25">
      <c r="A850" t="s">
        <v>364</v>
      </c>
      <c r="B850" t="s">
        <v>5</v>
      </c>
      <c r="C850" s="82" t="s">
        <v>365</v>
      </c>
      <c r="D850">
        <v>201603</v>
      </c>
      <c r="E850" s="1">
        <v>42430</v>
      </c>
      <c r="F850" s="1">
        <v>42460</v>
      </c>
      <c r="G850" t="s">
        <v>366</v>
      </c>
      <c r="H850" s="81">
        <v>29193</v>
      </c>
      <c r="I850" t="s">
        <v>6</v>
      </c>
      <c r="J850" s="3">
        <v>1874.15</v>
      </c>
    </row>
    <row r="851" spans="1:10" x14ac:dyDescent="0.25">
      <c r="A851" t="s">
        <v>364</v>
      </c>
      <c r="B851" t="s">
        <v>5</v>
      </c>
      <c r="C851" s="82" t="s">
        <v>365</v>
      </c>
      <c r="D851">
        <v>201604</v>
      </c>
      <c r="E851" s="1">
        <v>42460</v>
      </c>
      <c r="F851" s="1">
        <v>42489</v>
      </c>
      <c r="G851" t="s">
        <v>366</v>
      </c>
      <c r="H851" s="81">
        <v>30924</v>
      </c>
      <c r="I851" t="s">
        <v>6</v>
      </c>
      <c r="J851" s="3">
        <v>1863.17</v>
      </c>
    </row>
    <row r="852" spans="1:10" x14ac:dyDescent="0.25">
      <c r="A852" t="s">
        <v>364</v>
      </c>
      <c r="B852" t="s">
        <v>5</v>
      </c>
      <c r="C852" s="82" t="s">
        <v>365</v>
      </c>
      <c r="D852">
        <v>201605</v>
      </c>
      <c r="E852" s="1">
        <v>42489</v>
      </c>
      <c r="F852" s="1">
        <v>42521</v>
      </c>
      <c r="G852" t="s">
        <v>366</v>
      </c>
      <c r="H852" s="81">
        <v>30522</v>
      </c>
      <c r="I852" t="s">
        <v>6</v>
      </c>
      <c r="J852" s="3">
        <v>1898.44</v>
      </c>
    </row>
    <row r="853" spans="1:10" x14ac:dyDescent="0.25">
      <c r="A853" t="s">
        <v>364</v>
      </c>
      <c r="B853" t="s">
        <v>5</v>
      </c>
      <c r="C853" s="82" t="s">
        <v>365</v>
      </c>
      <c r="D853">
        <v>201606</v>
      </c>
      <c r="E853" s="1">
        <v>42521</v>
      </c>
      <c r="F853" s="1">
        <v>42550</v>
      </c>
      <c r="G853" t="s">
        <v>366</v>
      </c>
      <c r="H853" s="81">
        <v>25158</v>
      </c>
      <c r="I853" t="s">
        <v>6</v>
      </c>
      <c r="J853" s="3">
        <v>1510.29</v>
      </c>
    </row>
    <row r="854" spans="1:10" x14ac:dyDescent="0.25">
      <c r="A854" t="s">
        <v>369</v>
      </c>
      <c r="B854" t="s">
        <v>5</v>
      </c>
      <c r="C854" s="82" t="s">
        <v>370</v>
      </c>
      <c r="D854">
        <v>201507</v>
      </c>
      <c r="E854" s="1">
        <v>42185</v>
      </c>
      <c r="F854" s="1">
        <v>42216</v>
      </c>
      <c r="G854" t="s">
        <v>371</v>
      </c>
      <c r="H854" s="81">
        <v>36090</v>
      </c>
      <c r="I854" t="s">
        <v>6</v>
      </c>
      <c r="J854" s="3">
        <v>2116.9699999999998</v>
      </c>
    </row>
    <row r="855" spans="1:10" x14ac:dyDescent="0.25">
      <c r="A855" t="s">
        <v>369</v>
      </c>
      <c r="B855" t="s">
        <v>5</v>
      </c>
      <c r="C855" s="82" t="s">
        <v>370</v>
      </c>
      <c r="D855">
        <v>201508</v>
      </c>
      <c r="E855" s="1">
        <v>42216</v>
      </c>
      <c r="F855" s="1">
        <v>42243</v>
      </c>
      <c r="G855" t="s">
        <v>371</v>
      </c>
      <c r="H855" s="81">
        <v>23442</v>
      </c>
      <c r="I855" t="s">
        <v>6</v>
      </c>
      <c r="J855" s="3">
        <v>1421.5</v>
      </c>
    </row>
    <row r="856" spans="1:10" x14ac:dyDescent="0.25">
      <c r="A856" t="s">
        <v>369</v>
      </c>
      <c r="B856" t="s">
        <v>5</v>
      </c>
      <c r="C856" s="82" t="s">
        <v>370</v>
      </c>
      <c r="D856">
        <v>201509</v>
      </c>
      <c r="E856" s="1">
        <v>42243</v>
      </c>
      <c r="F856" s="1">
        <v>42276</v>
      </c>
      <c r="G856" t="s">
        <v>371</v>
      </c>
      <c r="H856" s="81">
        <v>41905</v>
      </c>
      <c r="I856" t="s">
        <v>6</v>
      </c>
      <c r="J856" s="3">
        <v>2451.65</v>
      </c>
    </row>
    <row r="857" spans="1:10" x14ac:dyDescent="0.25">
      <c r="A857" t="s">
        <v>369</v>
      </c>
      <c r="B857" t="s">
        <v>5</v>
      </c>
      <c r="C857" s="82" t="s">
        <v>370</v>
      </c>
      <c r="D857">
        <v>201510</v>
      </c>
      <c r="E857" s="1">
        <v>42276</v>
      </c>
      <c r="F857" s="1">
        <v>42305</v>
      </c>
      <c r="G857" t="s">
        <v>371</v>
      </c>
      <c r="H857" s="81">
        <v>32316</v>
      </c>
      <c r="I857" t="s">
        <v>6</v>
      </c>
      <c r="J857" s="3">
        <v>1932.33</v>
      </c>
    </row>
    <row r="858" spans="1:10" x14ac:dyDescent="0.25">
      <c r="A858" t="s">
        <v>369</v>
      </c>
      <c r="B858" t="s">
        <v>5</v>
      </c>
      <c r="C858" s="82" t="s">
        <v>370</v>
      </c>
      <c r="D858">
        <v>201511</v>
      </c>
      <c r="E858" s="1">
        <v>42305</v>
      </c>
      <c r="F858" s="1">
        <v>42339</v>
      </c>
      <c r="G858" t="s">
        <v>371</v>
      </c>
      <c r="H858" s="81">
        <v>36487</v>
      </c>
      <c r="I858" t="s">
        <v>6</v>
      </c>
      <c r="J858" s="3">
        <v>2206.92</v>
      </c>
    </row>
    <row r="859" spans="1:10" x14ac:dyDescent="0.25">
      <c r="A859" t="s">
        <v>369</v>
      </c>
      <c r="B859" t="s">
        <v>5</v>
      </c>
      <c r="C859" s="82" t="s">
        <v>370</v>
      </c>
      <c r="D859">
        <v>201512</v>
      </c>
      <c r="E859" s="1">
        <v>42339</v>
      </c>
      <c r="F859" s="1">
        <v>42369</v>
      </c>
      <c r="G859" t="s">
        <v>371</v>
      </c>
      <c r="H859" s="81">
        <v>33863</v>
      </c>
      <c r="I859" t="s">
        <v>6</v>
      </c>
      <c r="J859" s="3">
        <v>2139.1999999999998</v>
      </c>
    </row>
    <row r="860" spans="1:10" x14ac:dyDescent="0.25">
      <c r="A860" t="s">
        <v>369</v>
      </c>
      <c r="B860" t="s">
        <v>5</v>
      </c>
      <c r="C860" s="82" t="s">
        <v>370</v>
      </c>
      <c r="D860">
        <v>201601</v>
      </c>
      <c r="E860" s="1">
        <v>42369</v>
      </c>
      <c r="F860" s="1">
        <v>42401</v>
      </c>
      <c r="G860" t="s">
        <v>371</v>
      </c>
      <c r="H860" s="81">
        <v>45528</v>
      </c>
      <c r="I860" t="s">
        <v>6</v>
      </c>
      <c r="J860" s="3">
        <v>2848.09</v>
      </c>
    </row>
    <row r="861" spans="1:10" x14ac:dyDescent="0.25">
      <c r="A861" t="s">
        <v>369</v>
      </c>
      <c r="B861" t="s">
        <v>5</v>
      </c>
      <c r="C861" s="82" t="s">
        <v>370</v>
      </c>
      <c r="D861">
        <v>201602</v>
      </c>
      <c r="E861" s="1">
        <v>42401</v>
      </c>
      <c r="F861" s="1">
        <v>42430</v>
      </c>
      <c r="G861" t="s">
        <v>371</v>
      </c>
      <c r="H861" s="81">
        <v>42527</v>
      </c>
      <c r="I861" t="s">
        <v>6</v>
      </c>
      <c r="J861" s="3">
        <v>2595.37</v>
      </c>
    </row>
    <row r="862" spans="1:10" x14ac:dyDescent="0.25">
      <c r="A862" t="s">
        <v>369</v>
      </c>
      <c r="B862" t="s">
        <v>5</v>
      </c>
      <c r="C862" s="82" t="s">
        <v>370</v>
      </c>
      <c r="D862">
        <v>201603</v>
      </c>
      <c r="E862" s="1">
        <v>42430</v>
      </c>
      <c r="F862" s="1">
        <v>42460</v>
      </c>
      <c r="G862" t="s">
        <v>371</v>
      </c>
      <c r="H862" s="81">
        <v>34847</v>
      </c>
      <c r="I862" t="s">
        <v>6</v>
      </c>
      <c r="J862" s="3">
        <v>2237.13</v>
      </c>
    </row>
    <row r="863" spans="1:10" x14ac:dyDescent="0.25">
      <c r="A863" t="s">
        <v>369</v>
      </c>
      <c r="B863" t="s">
        <v>5</v>
      </c>
      <c r="C863" s="82" t="s">
        <v>370</v>
      </c>
      <c r="D863">
        <v>201604</v>
      </c>
      <c r="E863" s="1">
        <v>42460</v>
      </c>
      <c r="F863" s="1">
        <v>42489</v>
      </c>
      <c r="G863" t="s">
        <v>371</v>
      </c>
      <c r="H863" s="81">
        <v>32685</v>
      </c>
      <c r="I863" t="s">
        <v>6</v>
      </c>
      <c r="J863" s="3">
        <v>1969.27</v>
      </c>
    </row>
    <row r="864" spans="1:10" x14ac:dyDescent="0.25">
      <c r="A864" t="s">
        <v>369</v>
      </c>
      <c r="B864" t="s">
        <v>5</v>
      </c>
      <c r="C864" s="82" t="s">
        <v>370</v>
      </c>
      <c r="D864">
        <v>201605</v>
      </c>
      <c r="E864" s="1">
        <v>42489</v>
      </c>
      <c r="F864" s="1">
        <v>42521</v>
      </c>
      <c r="G864" t="s">
        <v>371</v>
      </c>
      <c r="H864" s="81">
        <v>27549</v>
      </c>
      <c r="I864" t="s">
        <v>6</v>
      </c>
      <c r="J864" s="3">
        <v>1713.52</v>
      </c>
    </row>
    <row r="865" spans="1:10" x14ac:dyDescent="0.25">
      <c r="A865" t="s">
        <v>369</v>
      </c>
      <c r="B865" t="s">
        <v>5</v>
      </c>
      <c r="C865" s="82" t="s">
        <v>370</v>
      </c>
      <c r="D865">
        <v>201606</v>
      </c>
      <c r="E865" s="1">
        <v>42521</v>
      </c>
      <c r="F865" s="1">
        <v>42550</v>
      </c>
      <c r="G865" t="s">
        <v>371</v>
      </c>
      <c r="H865" s="81">
        <v>25447</v>
      </c>
      <c r="I865" t="s">
        <v>6</v>
      </c>
      <c r="J865" s="3">
        <v>1527.64</v>
      </c>
    </row>
    <row r="866" spans="1:10" x14ac:dyDescent="0.25">
      <c r="A866" t="s">
        <v>416</v>
      </c>
      <c r="B866" t="s">
        <v>5</v>
      </c>
      <c r="C866" s="82" t="s">
        <v>417</v>
      </c>
      <c r="D866">
        <v>201507</v>
      </c>
      <c r="E866" s="1">
        <v>42185</v>
      </c>
      <c r="F866" s="1">
        <v>42216</v>
      </c>
      <c r="G866" t="s">
        <v>418</v>
      </c>
      <c r="H866" s="81">
        <v>27607</v>
      </c>
      <c r="I866" t="s">
        <v>6</v>
      </c>
      <c r="J866" s="3">
        <v>1619.37</v>
      </c>
    </row>
    <row r="867" spans="1:10" x14ac:dyDescent="0.25">
      <c r="A867" t="s">
        <v>416</v>
      </c>
      <c r="B867" t="s">
        <v>5</v>
      </c>
      <c r="C867" s="82" t="s">
        <v>417</v>
      </c>
      <c r="D867">
        <v>201508</v>
      </c>
      <c r="E867" s="1">
        <v>42216</v>
      </c>
      <c r="F867" s="1">
        <v>42243</v>
      </c>
      <c r="G867" t="s">
        <v>418</v>
      </c>
      <c r="H867" s="81">
        <v>22704</v>
      </c>
      <c r="I867" t="s">
        <v>6</v>
      </c>
      <c r="J867" s="3">
        <v>1376.75</v>
      </c>
    </row>
    <row r="868" spans="1:10" x14ac:dyDescent="0.25">
      <c r="A868" t="s">
        <v>416</v>
      </c>
      <c r="B868" t="s">
        <v>5</v>
      </c>
      <c r="C868" s="82" t="s">
        <v>417</v>
      </c>
      <c r="D868">
        <v>201509</v>
      </c>
      <c r="E868" s="1">
        <v>42243</v>
      </c>
      <c r="F868" s="1">
        <v>42276</v>
      </c>
      <c r="G868" t="s">
        <v>418</v>
      </c>
      <c r="H868" s="81">
        <v>76349</v>
      </c>
      <c r="I868" t="s">
        <v>6</v>
      </c>
      <c r="J868" s="3">
        <v>4466.79</v>
      </c>
    </row>
    <row r="869" spans="1:10" x14ac:dyDescent="0.25">
      <c r="A869" t="s">
        <v>416</v>
      </c>
      <c r="B869" t="s">
        <v>5</v>
      </c>
      <c r="C869" s="82" t="s">
        <v>417</v>
      </c>
      <c r="D869">
        <v>201510</v>
      </c>
      <c r="E869" s="1">
        <v>42276</v>
      </c>
      <c r="F869" s="1">
        <v>42305</v>
      </c>
      <c r="G869" t="s">
        <v>418</v>
      </c>
      <c r="H869" s="81">
        <v>55935</v>
      </c>
      <c r="I869" t="s">
        <v>6</v>
      </c>
      <c r="J869" s="3">
        <v>3344.63</v>
      </c>
    </row>
    <row r="870" spans="1:10" x14ac:dyDescent="0.25">
      <c r="A870" t="s">
        <v>416</v>
      </c>
      <c r="B870" t="s">
        <v>5</v>
      </c>
      <c r="C870" s="82" t="s">
        <v>417</v>
      </c>
      <c r="D870">
        <v>201511</v>
      </c>
      <c r="E870" s="1">
        <v>42305</v>
      </c>
      <c r="F870" s="1">
        <v>42339</v>
      </c>
      <c r="G870" t="s">
        <v>418</v>
      </c>
      <c r="H870" s="81">
        <v>79033</v>
      </c>
      <c r="I870" t="s">
        <v>6</v>
      </c>
      <c r="J870" s="3">
        <v>4780.32</v>
      </c>
    </row>
    <row r="871" spans="1:10" x14ac:dyDescent="0.25">
      <c r="A871" t="s">
        <v>416</v>
      </c>
      <c r="B871" t="s">
        <v>5</v>
      </c>
      <c r="C871" s="82" t="s">
        <v>417</v>
      </c>
      <c r="D871">
        <v>201512</v>
      </c>
      <c r="E871" s="1">
        <v>42339</v>
      </c>
      <c r="F871" s="1">
        <v>42369</v>
      </c>
      <c r="G871" t="s">
        <v>418</v>
      </c>
      <c r="H871" s="81">
        <v>64553</v>
      </c>
      <c r="I871" t="s">
        <v>6</v>
      </c>
      <c r="J871" s="3">
        <v>4077.96</v>
      </c>
    </row>
    <row r="872" spans="1:10" x14ac:dyDescent="0.25">
      <c r="A872" t="s">
        <v>416</v>
      </c>
      <c r="B872" t="s">
        <v>5</v>
      </c>
      <c r="C872" s="82" t="s">
        <v>417</v>
      </c>
      <c r="D872">
        <v>201601</v>
      </c>
      <c r="E872" s="1">
        <v>42369</v>
      </c>
      <c r="F872" s="1">
        <v>42401</v>
      </c>
      <c r="G872" t="s">
        <v>418</v>
      </c>
      <c r="H872" s="81">
        <v>66623</v>
      </c>
      <c r="I872" t="s">
        <v>6</v>
      </c>
      <c r="J872" s="3">
        <v>4167.7299999999996</v>
      </c>
    </row>
    <row r="873" spans="1:10" x14ac:dyDescent="0.25">
      <c r="A873" t="s">
        <v>416</v>
      </c>
      <c r="B873" t="s">
        <v>5</v>
      </c>
      <c r="C873" s="82" t="s">
        <v>417</v>
      </c>
      <c r="D873">
        <v>201602</v>
      </c>
      <c r="E873" s="1">
        <v>42401</v>
      </c>
      <c r="F873" s="1">
        <v>42430</v>
      </c>
      <c r="G873" t="s">
        <v>418</v>
      </c>
      <c r="H873" s="81">
        <v>69749</v>
      </c>
      <c r="I873" t="s">
        <v>6</v>
      </c>
      <c r="J873" s="3">
        <v>4256.6899999999996</v>
      </c>
    </row>
    <row r="874" spans="1:10" x14ac:dyDescent="0.25">
      <c r="A874" t="s">
        <v>416</v>
      </c>
      <c r="B874" t="s">
        <v>5</v>
      </c>
      <c r="C874" s="82" t="s">
        <v>417</v>
      </c>
      <c r="D874">
        <v>201603</v>
      </c>
      <c r="E874" s="1">
        <v>42430</v>
      </c>
      <c r="F874" s="1">
        <v>42460</v>
      </c>
      <c r="G874" t="s">
        <v>418</v>
      </c>
      <c r="H874" s="81">
        <v>67205</v>
      </c>
      <c r="I874" t="s">
        <v>6</v>
      </c>
      <c r="J874" s="3">
        <v>4314.46</v>
      </c>
    </row>
    <row r="875" spans="1:10" x14ac:dyDescent="0.25">
      <c r="A875" t="s">
        <v>416</v>
      </c>
      <c r="B875" t="s">
        <v>5</v>
      </c>
      <c r="C875" s="82" t="s">
        <v>417</v>
      </c>
      <c r="D875">
        <v>201604</v>
      </c>
      <c r="E875" s="1">
        <v>42460</v>
      </c>
      <c r="F875" s="1">
        <v>42489</v>
      </c>
      <c r="G875" t="s">
        <v>418</v>
      </c>
      <c r="H875" s="81">
        <v>68079</v>
      </c>
      <c r="I875" t="s">
        <v>6</v>
      </c>
      <c r="J875" s="3">
        <v>4101.76</v>
      </c>
    </row>
    <row r="876" spans="1:10" x14ac:dyDescent="0.25">
      <c r="A876" t="s">
        <v>416</v>
      </c>
      <c r="B876" t="s">
        <v>5</v>
      </c>
      <c r="C876" s="82" t="s">
        <v>417</v>
      </c>
      <c r="D876">
        <v>201605</v>
      </c>
      <c r="E876" s="1">
        <v>42489</v>
      </c>
      <c r="F876" s="1">
        <v>42521</v>
      </c>
      <c r="G876" t="s">
        <v>418</v>
      </c>
      <c r="H876" s="81">
        <v>60301</v>
      </c>
      <c r="I876" t="s">
        <v>6</v>
      </c>
      <c r="J876" s="3">
        <v>3750.67</v>
      </c>
    </row>
    <row r="877" spans="1:10" x14ac:dyDescent="0.25">
      <c r="A877" t="s">
        <v>416</v>
      </c>
      <c r="B877" t="s">
        <v>5</v>
      </c>
      <c r="C877" s="82" t="s">
        <v>417</v>
      </c>
      <c r="D877">
        <v>201606</v>
      </c>
      <c r="E877" s="1">
        <v>42521</v>
      </c>
      <c r="F877" s="1">
        <v>42550</v>
      </c>
      <c r="G877" t="s">
        <v>418</v>
      </c>
      <c r="H877" s="81">
        <v>47258</v>
      </c>
      <c r="I877" t="s">
        <v>6</v>
      </c>
      <c r="J877" s="3">
        <v>2837</v>
      </c>
    </row>
    <row r="878" spans="1:10" x14ac:dyDescent="0.25">
      <c r="A878" t="s">
        <v>367</v>
      </c>
      <c r="B878" t="s">
        <v>5</v>
      </c>
      <c r="C878" s="82" t="s">
        <v>368</v>
      </c>
      <c r="D878">
        <v>201507</v>
      </c>
      <c r="E878" s="1">
        <v>42185</v>
      </c>
      <c r="F878" s="1">
        <v>42216</v>
      </c>
      <c r="G878" t="s">
        <v>368</v>
      </c>
      <c r="H878" s="81">
        <v>22516</v>
      </c>
      <c r="I878" t="s">
        <v>6</v>
      </c>
      <c r="J878" s="3">
        <v>1320.74</v>
      </c>
    </row>
    <row r="879" spans="1:10" x14ac:dyDescent="0.25">
      <c r="A879" t="s">
        <v>367</v>
      </c>
      <c r="B879" t="s">
        <v>5</v>
      </c>
      <c r="C879" s="82" t="s">
        <v>368</v>
      </c>
      <c r="D879">
        <v>201508</v>
      </c>
      <c r="E879" s="1">
        <v>42216</v>
      </c>
      <c r="F879" s="1">
        <v>42243</v>
      </c>
      <c r="G879" t="s">
        <v>368</v>
      </c>
      <c r="H879" s="81">
        <v>24628</v>
      </c>
      <c r="I879" t="s">
        <v>6</v>
      </c>
      <c r="J879" s="3">
        <v>1493.42</v>
      </c>
    </row>
    <row r="880" spans="1:10" x14ac:dyDescent="0.25">
      <c r="A880" t="s">
        <v>367</v>
      </c>
      <c r="B880" t="s">
        <v>5</v>
      </c>
      <c r="C880" s="82" t="s">
        <v>368</v>
      </c>
      <c r="D880">
        <v>201509</v>
      </c>
      <c r="E880" s="1">
        <v>42243</v>
      </c>
      <c r="F880" s="1">
        <v>42276</v>
      </c>
      <c r="G880" t="s">
        <v>368</v>
      </c>
      <c r="H880" s="81">
        <v>49689</v>
      </c>
      <c r="I880" t="s">
        <v>6</v>
      </c>
      <c r="J880" s="3">
        <v>2907.05</v>
      </c>
    </row>
    <row r="881" spans="1:12" x14ac:dyDescent="0.25">
      <c r="A881" t="s">
        <v>367</v>
      </c>
      <c r="B881" t="s">
        <v>5</v>
      </c>
      <c r="C881" s="82" t="s">
        <v>368</v>
      </c>
      <c r="D881">
        <v>201510</v>
      </c>
      <c r="E881" s="1">
        <v>42276</v>
      </c>
      <c r="F881" s="1">
        <v>42305</v>
      </c>
      <c r="G881" t="s">
        <v>368</v>
      </c>
      <c r="H881" s="81">
        <v>26372</v>
      </c>
      <c r="I881" t="s">
        <v>6</v>
      </c>
      <c r="J881" s="3">
        <v>1576.91</v>
      </c>
    </row>
    <row r="882" spans="1:12" x14ac:dyDescent="0.25">
      <c r="A882" t="s">
        <v>367</v>
      </c>
      <c r="B882" t="s">
        <v>5</v>
      </c>
      <c r="C882" s="82" t="s">
        <v>368</v>
      </c>
      <c r="D882">
        <v>201511</v>
      </c>
      <c r="E882" s="1">
        <v>42305</v>
      </c>
      <c r="F882" s="1">
        <v>42339</v>
      </c>
      <c r="G882" t="s">
        <v>368</v>
      </c>
      <c r="H882" s="81">
        <v>39256</v>
      </c>
      <c r="I882" t="s">
        <v>6</v>
      </c>
      <c r="J882" s="3">
        <v>2374.4</v>
      </c>
    </row>
    <row r="883" spans="1:12" x14ac:dyDescent="0.25">
      <c r="A883" t="s">
        <v>367</v>
      </c>
      <c r="B883" t="s">
        <v>5</v>
      </c>
      <c r="C883" s="82" t="s">
        <v>368</v>
      </c>
      <c r="D883">
        <v>201512</v>
      </c>
      <c r="E883" s="1">
        <v>42339</v>
      </c>
      <c r="F883" s="1">
        <v>42369</v>
      </c>
      <c r="G883" t="s">
        <v>368</v>
      </c>
      <c r="H883" s="81">
        <v>29699</v>
      </c>
      <c r="I883" t="s">
        <v>6</v>
      </c>
      <c r="J883" s="3">
        <v>1876.15</v>
      </c>
    </row>
    <row r="884" spans="1:12" x14ac:dyDescent="0.25">
      <c r="A884" t="s">
        <v>367</v>
      </c>
      <c r="B884" t="s">
        <v>5</v>
      </c>
      <c r="C884" s="82" t="s">
        <v>368</v>
      </c>
      <c r="D884">
        <v>201601</v>
      </c>
      <c r="E884" s="1">
        <v>42369</v>
      </c>
      <c r="F884" s="1">
        <v>42401</v>
      </c>
      <c r="G884" t="s">
        <v>368</v>
      </c>
      <c r="H884" s="81">
        <v>37714</v>
      </c>
      <c r="I884" t="s">
        <v>6</v>
      </c>
      <c r="J884" s="3">
        <v>2359.27</v>
      </c>
    </row>
    <row r="885" spans="1:12" x14ac:dyDescent="0.25">
      <c r="A885" t="s">
        <v>367</v>
      </c>
      <c r="B885" t="s">
        <v>5</v>
      </c>
      <c r="C885" s="82" t="s">
        <v>368</v>
      </c>
      <c r="D885">
        <v>201602</v>
      </c>
      <c r="E885" s="1">
        <v>42401</v>
      </c>
      <c r="F885" s="1">
        <v>42430</v>
      </c>
      <c r="G885" t="s">
        <v>368</v>
      </c>
      <c r="H885" s="81">
        <v>38693</v>
      </c>
      <c r="I885" t="s">
        <v>6</v>
      </c>
      <c r="J885" s="3">
        <v>2361.38</v>
      </c>
    </row>
    <row r="886" spans="1:12" x14ac:dyDescent="0.25">
      <c r="A886" t="s">
        <v>367</v>
      </c>
      <c r="B886" t="s">
        <v>5</v>
      </c>
      <c r="C886" s="82" t="s">
        <v>368</v>
      </c>
      <c r="D886">
        <v>201603</v>
      </c>
      <c r="E886" s="1">
        <v>42430</v>
      </c>
      <c r="F886" s="1">
        <v>42460</v>
      </c>
      <c r="G886" t="s">
        <v>368</v>
      </c>
      <c r="H886" s="81">
        <v>29614</v>
      </c>
      <c r="I886" t="s">
        <v>6</v>
      </c>
      <c r="J886" s="3">
        <v>1901.17</v>
      </c>
    </row>
    <row r="887" spans="1:12" x14ac:dyDescent="0.25">
      <c r="A887" t="s">
        <v>367</v>
      </c>
      <c r="B887" t="s">
        <v>5</v>
      </c>
      <c r="C887" s="82" t="s">
        <v>368</v>
      </c>
      <c r="D887">
        <v>201604</v>
      </c>
      <c r="E887" s="1">
        <v>42460</v>
      </c>
      <c r="F887" s="1">
        <v>42489</v>
      </c>
      <c r="G887" t="s">
        <v>368</v>
      </c>
      <c r="H887" s="81">
        <v>34234</v>
      </c>
      <c r="I887" t="s">
        <v>6</v>
      </c>
      <c r="J887" s="3">
        <v>2062.6</v>
      </c>
    </row>
    <row r="888" spans="1:12" x14ac:dyDescent="0.25">
      <c r="A888" t="s">
        <v>367</v>
      </c>
      <c r="B888" t="s">
        <v>5</v>
      </c>
      <c r="C888" s="82" t="s">
        <v>368</v>
      </c>
      <c r="D888">
        <v>201605</v>
      </c>
      <c r="E888" s="1">
        <v>42489</v>
      </c>
      <c r="F888" s="1">
        <v>42521</v>
      </c>
      <c r="G888" t="s">
        <v>368</v>
      </c>
      <c r="H888" s="81">
        <v>32136</v>
      </c>
      <c r="I888" t="s">
        <v>6</v>
      </c>
      <c r="J888" s="3">
        <v>1998.83</v>
      </c>
    </row>
    <row r="889" spans="1:12" ht="15.75" thickBot="1" x14ac:dyDescent="0.3">
      <c r="A889" t="s">
        <v>367</v>
      </c>
      <c r="B889" t="s">
        <v>5</v>
      </c>
      <c r="C889" s="82" t="s">
        <v>368</v>
      </c>
      <c r="D889">
        <v>201606</v>
      </c>
      <c r="E889" s="1">
        <v>42521</v>
      </c>
      <c r="F889" s="1">
        <v>42550</v>
      </c>
      <c r="G889" t="s">
        <v>368</v>
      </c>
      <c r="H889" s="81">
        <v>35216</v>
      </c>
      <c r="I889" t="s">
        <v>6</v>
      </c>
      <c r="J889" s="3">
        <v>2114.09</v>
      </c>
    </row>
    <row r="890" spans="1:12" ht="15.75" thickBot="1" x14ac:dyDescent="0.3">
      <c r="H890" s="85">
        <f>SUM(H2:H889)</f>
        <v>13997489.99</v>
      </c>
      <c r="I890" t="s">
        <v>6</v>
      </c>
      <c r="J890" s="86">
        <f>SUM(J2:J889)</f>
        <v>868880.47000000044</v>
      </c>
    </row>
    <row r="891" spans="1:12" ht="15.75" thickBot="1" x14ac:dyDescent="0.3">
      <c r="G891" s="20" t="s">
        <v>608</v>
      </c>
      <c r="H891" s="81">
        <v>-482813</v>
      </c>
      <c r="I891" t="s">
        <v>6</v>
      </c>
      <c r="J891" s="3">
        <v>-29624.85</v>
      </c>
      <c r="L891" s="2"/>
    </row>
    <row r="892" spans="1:12" ht="15.75" thickBot="1" x14ac:dyDescent="0.3">
      <c r="H892" s="27">
        <f>SUM(H890:H891)</f>
        <v>13514676.99</v>
      </c>
      <c r="I892" t="s">
        <v>6</v>
      </c>
      <c r="J892" s="28">
        <f>SUM(J890:J891)</f>
        <v>839255.62000000046</v>
      </c>
    </row>
    <row r="893" spans="1:12" ht="15.75" thickBot="1" x14ac:dyDescent="0.3">
      <c r="H893" s="27">
        <f>13514677*3412/1000000</f>
        <v>46112.077923999997</v>
      </c>
      <c r="I893" t="s">
        <v>12</v>
      </c>
    </row>
    <row r="895" spans="1:12" x14ac:dyDescent="0.25">
      <c r="A895" t="s">
        <v>292</v>
      </c>
      <c r="B895" t="s">
        <v>71</v>
      </c>
      <c r="C895" s="82" t="s">
        <v>380</v>
      </c>
      <c r="D895">
        <v>201507</v>
      </c>
      <c r="E895" s="1">
        <v>42185</v>
      </c>
      <c r="F895" s="1">
        <v>42216</v>
      </c>
      <c r="G895" t="s">
        <v>380</v>
      </c>
      <c r="H895" s="81">
        <v>66</v>
      </c>
      <c r="I895" t="s">
        <v>12</v>
      </c>
      <c r="J895" s="3">
        <v>744.43</v>
      </c>
    </row>
    <row r="896" spans="1:12" x14ac:dyDescent="0.25">
      <c r="A896" t="s">
        <v>292</v>
      </c>
      <c r="B896" t="s">
        <v>71</v>
      </c>
      <c r="C896" s="82" t="s">
        <v>380</v>
      </c>
      <c r="D896">
        <v>201508</v>
      </c>
      <c r="E896" s="1">
        <v>42216</v>
      </c>
      <c r="F896" s="1">
        <v>42243</v>
      </c>
      <c r="G896" t="s">
        <v>380</v>
      </c>
      <c r="H896" s="81">
        <v>66</v>
      </c>
      <c r="I896" t="s">
        <v>12</v>
      </c>
      <c r="J896" s="3">
        <v>758.18</v>
      </c>
    </row>
    <row r="897" spans="1:10" x14ac:dyDescent="0.25">
      <c r="A897" t="s">
        <v>292</v>
      </c>
      <c r="B897" t="s">
        <v>71</v>
      </c>
      <c r="C897" s="82" t="s">
        <v>380</v>
      </c>
      <c r="D897">
        <v>201509</v>
      </c>
      <c r="E897" s="1">
        <v>42243</v>
      </c>
      <c r="F897" s="1">
        <v>42276</v>
      </c>
      <c r="G897" t="s">
        <v>380</v>
      </c>
      <c r="H897" s="81">
        <v>80</v>
      </c>
      <c r="I897" t="s">
        <v>12</v>
      </c>
      <c r="J897" s="3">
        <v>910.22</v>
      </c>
    </row>
    <row r="898" spans="1:10" x14ac:dyDescent="0.25">
      <c r="A898" t="s">
        <v>292</v>
      </c>
      <c r="B898" t="s">
        <v>71</v>
      </c>
      <c r="C898" s="82" t="s">
        <v>380</v>
      </c>
      <c r="D898">
        <v>201510</v>
      </c>
      <c r="E898" s="1">
        <v>42276</v>
      </c>
      <c r="F898" s="1">
        <v>42305</v>
      </c>
      <c r="G898" t="s">
        <v>380</v>
      </c>
      <c r="H898" s="81">
        <v>91</v>
      </c>
      <c r="I898" t="s">
        <v>12</v>
      </c>
      <c r="J898" s="3">
        <v>737.06</v>
      </c>
    </row>
    <row r="899" spans="1:10" x14ac:dyDescent="0.25">
      <c r="A899" t="s">
        <v>292</v>
      </c>
      <c r="B899" t="s">
        <v>71</v>
      </c>
      <c r="C899" s="82" t="s">
        <v>380</v>
      </c>
      <c r="D899">
        <v>201511</v>
      </c>
      <c r="E899" s="1">
        <v>42305</v>
      </c>
      <c r="F899" s="1">
        <v>42339</v>
      </c>
      <c r="G899" t="s">
        <v>380</v>
      </c>
      <c r="H899" s="81">
        <v>104</v>
      </c>
      <c r="I899" t="s">
        <v>12</v>
      </c>
      <c r="J899" s="3">
        <v>697.04</v>
      </c>
    </row>
    <row r="900" spans="1:10" x14ac:dyDescent="0.25">
      <c r="A900" t="s">
        <v>292</v>
      </c>
      <c r="B900" t="s">
        <v>71</v>
      </c>
      <c r="C900" s="82" t="s">
        <v>380</v>
      </c>
      <c r="D900">
        <v>201512</v>
      </c>
      <c r="E900" s="1">
        <v>42339</v>
      </c>
      <c r="F900" s="1">
        <v>42369</v>
      </c>
      <c r="G900" t="s">
        <v>380</v>
      </c>
      <c r="H900" s="81">
        <v>109</v>
      </c>
      <c r="I900" t="s">
        <v>12</v>
      </c>
      <c r="J900" s="3">
        <v>667.73</v>
      </c>
    </row>
    <row r="901" spans="1:10" x14ac:dyDescent="0.25">
      <c r="A901" t="s">
        <v>292</v>
      </c>
      <c r="B901" t="s">
        <v>71</v>
      </c>
      <c r="C901" s="82" t="s">
        <v>380</v>
      </c>
      <c r="D901">
        <v>201601</v>
      </c>
      <c r="E901" s="1">
        <v>42369</v>
      </c>
      <c r="F901" s="1">
        <v>42401</v>
      </c>
      <c r="G901" t="s">
        <v>380</v>
      </c>
      <c r="H901" s="81">
        <v>164</v>
      </c>
      <c r="I901" t="s">
        <v>12</v>
      </c>
      <c r="J901" s="3">
        <v>872.69</v>
      </c>
    </row>
    <row r="902" spans="1:10" x14ac:dyDescent="0.25">
      <c r="A902" t="s">
        <v>292</v>
      </c>
      <c r="B902" t="s">
        <v>71</v>
      </c>
      <c r="C902" s="82" t="s">
        <v>380</v>
      </c>
      <c r="D902">
        <v>201602</v>
      </c>
      <c r="E902" s="1">
        <v>42401</v>
      </c>
      <c r="F902" s="1">
        <v>42430</v>
      </c>
      <c r="G902" t="s">
        <v>380</v>
      </c>
      <c r="H902" s="81">
        <v>128</v>
      </c>
      <c r="I902" t="s">
        <v>12</v>
      </c>
      <c r="J902" s="3">
        <v>713.1</v>
      </c>
    </row>
    <row r="903" spans="1:10" x14ac:dyDescent="0.25">
      <c r="A903" t="s">
        <v>292</v>
      </c>
      <c r="B903" t="s">
        <v>71</v>
      </c>
      <c r="C903" s="82" t="s">
        <v>380</v>
      </c>
      <c r="D903">
        <v>201603</v>
      </c>
      <c r="E903" s="1">
        <v>42430</v>
      </c>
      <c r="F903" s="1">
        <v>42460</v>
      </c>
      <c r="G903" t="s">
        <v>380</v>
      </c>
      <c r="H903" s="81">
        <v>133</v>
      </c>
      <c r="I903" t="s">
        <v>12</v>
      </c>
      <c r="J903" s="3">
        <v>720.22</v>
      </c>
    </row>
    <row r="904" spans="1:10" x14ac:dyDescent="0.25">
      <c r="A904" t="s">
        <v>292</v>
      </c>
      <c r="B904" t="s">
        <v>71</v>
      </c>
      <c r="C904" s="82" t="s">
        <v>380</v>
      </c>
      <c r="D904">
        <v>201604</v>
      </c>
      <c r="E904" s="1">
        <v>42460</v>
      </c>
      <c r="F904" s="1">
        <v>42489</v>
      </c>
      <c r="G904" t="s">
        <v>380</v>
      </c>
      <c r="H904" s="81">
        <v>87</v>
      </c>
      <c r="I904" t="s">
        <v>12</v>
      </c>
      <c r="J904" s="3">
        <v>651.23</v>
      </c>
    </row>
    <row r="905" spans="1:10" x14ac:dyDescent="0.25">
      <c r="A905" t="s">
        <v>292</v>
      </c>
      <c r="B905" t="s">
        <v>71</v>
      </c>
      <c r="C905" s="82" t="s">
        <v>380</v>
      </c>
      <c r="D905">
        <v>201605</v>
      </c>
      <c r="E905" s="1">
        <v>42489</v>
      </c>
      <c r="F905" s="1">
        <v>42521</v>
      </c>
      <c r="G905" t="s">
        <v>380</v>
      </c>
      <c r="H905" s="81">
        <v>58</v>
      </c>
      <c r="I905" t="s">
        <v>12</v>
      </c>
      <c r="J905" s="3">
        <v>534.6</v>
      </c>
    </row>
    <row r="906" spans="1:10" x14ac:dyDescent="0.25">
      <c r="A906" t="s">
        <v>292</v>
      </c>
      <c r="B906" t="s">
        <v>71</v>
      </c>
      <c r="C906" s="82" t="s">
        <v>380</v>
      </c>
      <c r="D906">
        <v>201606</v>
      </c>
      <c r="E906" s="1">
        <v>42521</v>
      </c>
      <c r="F906" s="1">
        <v>42550</v>
      </c>
      <c r="G906" t="s">
        <v>380</v>
      </c>
      <c r="H906" s="81">
        <v>66</v>
      </c>
      <c r="I906" t="s">
        <v>12</v>
      </c>
      <c r="J906" s="3">
        <v>719.46</v>
      </c>
    </row>
    <row r="907" spans="1:10" x14ac:dyDescent="0.25">
      <c r="A907" t="s">
        <v>294</v>
      </c>
      <c r="B907" t="s">
        <v>71</v>
      </c>
      <c r="C907" s="82" t="s">
        <v>381</v>
      </c>
      <c r="D907">
        <v>201507</v>
      </c>
      <c r="E907" s="1">
        <v>42185</v>
      </c>
      <c r="F907" s="1">
        <v>42216</v>
      </c>
      <c r="G907" t="s">
        <v>381</v>
      </c>
      <c r="H907" s="81">
        <v>60</v>
      </c>
      <c r="I907" t="s">
        <v>12</v>
      </c>
      <c r="J907" s="3">
        <v>676.75</v>
      </c>
    </row>
    <row r="908" spans="1:10" x14ac:dyDescent="0.25">
      <c r="A908" t="s">
        <v>294</v>
      </c>
      <c r="B908" t="s">
        <v>71</v>
      </c>
      <c r="C908" s="82" t="s">
        <v>381</v>
      </c>
      <c r="D908">
        <v>201508</v>
      </c>
      <c r="E908" s="1">
        <v>42216</v>
      </c>
      <c r="F908" s="1">
        <v>42243</v>
      </c>
      <c r="G908" t="s">
        <v>381</v>
      </c>
      <c r="H908" s="81">
        <v>60</v>
      </c>
      <c r="I908" t="s">
        <v>12</v>
      </c>
      <c r="J908" s="3">
        <v>689.26</v>
      </c>
    </row>
    <row r="909" spans="1:10" x14ac:dyDescent="0.25">
      <c r="A909" t="s">
        <v>294</v>
      </c>
      <c r="B909" t="s">
        <v>71</v>
      </c>
      <c r="C909" s="82" t="s">
        <v>381</v>
      </c>
      <c r="D909">
        <v>201509</v>
      </c>
      <c r="E909" s="1">
        <v>42243</v>
      </c>
      <c r="F909" s="1">
        <v>42276</v>
      </c>
      <c r="G909" t="s">
        <v>381</v>
      </c>
      <c r="H909" s="81">
        <v>73</v>
      </c>
      <c r="I909" t="s">
        <v>12</v>
      </c>
      <c r="J909" s="3">
        <v>830.57</v>
      </c>
    </row>
    <row r="910" spans="1:10" x14ac:dyDescent="0.25">
      <c r="A910" t="s">
        <v>294</v>
      </c>
      <c r="B910" t="s">
        <v>71</v>
      </c>
      <c r="C910" s="82" t="s">
        <v>381</v>
      </c>
      <c r="D910">
        <v>201510</v>
      </c>
      <c r="E910" s="1">
        <v>42276</v>
      </c>
      <c r="F910" s="1">
        <v>42305</v>
      </c>
      <c r="G910" t="s">
        <v>381</v>
      </c>
      <c r="H910" s="81">
        <v>82</v>
      </c>
      <c r="I910" t="s">
        <v>12</v>
      </c>
      <c r="J910" s="3">
        <v>664.16</v>
      </c>
    </row>
    <row r="911" spans="1:10" x14ac:dyDescent="0.25">
      <c r="A911" t="s">
        <v>294</v>
      </c>
      <c r="B911" t="s">
        <v>71</v>
      </c>
      <c r="C911" s="82" t="s">
        <v>381</v>
      </c>
      <c r="D911">
        <v>201511</v>
      </c>
      <c r="E911" s="1">
        <v>42305</v>
      </c>
      <c r="F911" s="1">
        <v>42339</v>
      </c>
      <c r="G911" t="s">
        <v>381</v>
      </c>
      <c r="H911" s="81">
        <v>95</v>
      </c>
      <c r="I911" t="s">
        <v>12</v>
      </c>
      <c r="J911" s="3">
        <v>636.72</v>
      </c>
    </row>
    <row r="912" spans="1:10" x14ac:dyDescent="0.25">
      <c r="A912" t="s">
        <v>294</v>
      </c>
      <c r="B912" t="s">
        <v>71</v>
      </c>
      <c r="C912" s="82" t="s">
        <v>381</v>
      </c>
      <c r="D912">
        <v>201512</v>
      </c>
      <c r="E912" s="1">
        <v>42339</v>
      </c>
      <c r="F912" s="1">
        <v>42369</v>
      </c>
      <c r="G912" t="s">
        <v>381</v>
      </c>
      <c r="H912" s="81">
        <v>99</v>
      </c>
      <c r="I912" t="s">
        <v>12</v>
      </c>
      <c r="J912" s="3">
        <v>606.47</v>
      </c>
    </row>
    <row r="913" spans="1:10" x14ac:dyDescent="0.25">
      <c r="A913" t="s">
        <v>294</v>
      </c>
      <c r="B913" t="s">
        <v>71</v>
      </c>
      <c r="C913" s="82" t="s">
        <v>381</v>
      </c>
      <c r="D913">
        <v>201601</v>
      </c>
      <c r="E913" s="1">
        <v>42369</v>
      </c>
      <c r="F913" s="1">
        <v>42401</v>
      </c>
      <c r="G913" t="s">
        <v>381</v>
      </c>
      <c r="H913" s="81">
        <v>149</v>
      </c>
      <c r="I913" t="s">
        <v>12</v>
      </c>
      <c r="J913" s="3">
        <v>792.87</v>
      </c>
    </row>
    <row r="914" spans="1:10" x14ac:dyDescent="0.25">
      <c r="A914" t="s">
        <v>294</v>
      </c>
      <c r="B914" t="s">
        <v>71</v>
      </c>
      <c r="C914" s="82" t="s">
        <v>381</v>
      </c>
      <c r="D914">
        <v>201602</v>
      </c>
      <c r="E914" s="1">
        <v>42401</v>
      </c>
      <c r="F914" s="1">
        <v>42430</v>
      </c>
      <c r="G914" t="s">
        <v>381</v>
      </c>
      <c r="H914" s="81">
        <v>116</v>
      </c>
      <c r="I914" t="s">
        <v>12</v>
      </c>
      <c r="J914" s="3">
        <v>646.25</v>
      </c>
    </row>
    <row r="915" spans="1:10" x14ac:dyDescent="0.25">
      <c r="A915" t="s">
        <v>294</v>
      </c>
      <c r="B915" t="s">
        <v>71</v>
      </c>
      <c r="C915" s="82" t="s">
        <v>381</v>
      </c>
      <c r="D915">
        <v>201603</v>
      </c>
      <c r="E915" s="1">
        <v>42430</v>
      </c>
      <c r="F915" s="1">
        <v>42460</v>
      </c>
      <c r="G915" t="s">
        <v>381</v>
      </c>
      <c r="H915" s="81">
        <v>121</v>
      </c>
      <c r="I915" t="s">
        <v>12</v>
      </c>
      <c r="J915" s="3">
        <v>655.24</v>
      </c>
    </row>
    <row r="916" spans="1:10" x14ac:dyDescent="0.25">
      <c r="A916" t="s">
        <v>294</v>
      </c>
      <c r="B916" t="s">
        <v>71</v>
      </c>
      <c r="C916" s="82" t="s">
        <v>381</v>
      </c>
      <c r="D916">
        <v>201604</v>
      </c>
      <c r="E916" s="1">
        <v>42460</v>
      </c>
      <c r="F916" s="1">
        <v>42489</v>
      </c>
      <c r="G916" t="s">
        <v>381</v>
      </c>
      <c r="H916" s="81">
        <v>79</v>
      </c>
      <c r="I916" t="s">
        <v>12</v>
      </c>
      <c r="J916" s="3">
        <v>591.35</v>
      </c>
    </row>
    <row r="917" spans="1:10" x14ac:dyDescent="0.25">
      <c r="A917" t="s">
        <v>294</v>
      </c>
      <c r="B917" t="s">
        <v>71</v>
      </c>
      <c r="C917" s="82" t="s">
        <v>381</v>
      </c>
      <c r="D917">
        <v>201605</v>
      </c>
      <c r="E917" s="1">
        <v>42489</v>
      </c>
      <c r="F917" s="1">
        <v>42521</v>
      </c>
      <c r="G917" t="s">
        <v>381</v>
      </c>
      <c r="H917" s="81">
        <v>52</v>
      </c>
      <c r="I917" t="s">
        <v>12</v>
      </c>
      <c r="J917" s="3">
        <v>479.29</v>
      </c>
    </row>
    <row r="918" spans="1:10" x14ac:dyDescent="0.25">
      <c r="A918" t="s">
        <v>294</v>
      </c>
      <c r="B918" t="s">
        <v>71</v>
      </c>
      <c r="C918" s="82" t="s">
        <v>381</v>
      </c>
      <c r="D918">
        <v>201606</v>
      </c>
      <c r="E918" s="1">
        <v>42521</v>
      </c>
      <c r="F918" s="1">
        <v>42550</v>
      </c>
      <c r="G918" t="s">
        <v>381</v>
      </c>
      <c r="H918" s="81">
        <v>60</v>
      </c>
      <c r="I918" t="s">
        <v>12</v>
      </c>
      <c r="J918" s="3">
        <v>654.05999999999995</v>
      </c>
    </row>
    <row r="919" spans="1:10" x14ac:dyDescent="0.25">
      <c r="A919" t="s">
        <v>61</v>
      </c>
      <c r="B919" t="s">
        <v>71</v>
      </c>
      <c r="C919" s="82" t="s">
        <v>404</v>
      </c>
      <c r="D919">
        <v>201507</v>
      </c>
      <c r="E919" s="1">
        <v>42185</v>
      </c>
      <c r="F919" s="1">
        <v>42216</v>
      </c>
      <c r="G919" t="s">
        <v>404</v>
      </c>
      <c r="H919" s="81">
        <v>471</v>
      </c>
      <c r="I919" t="s">
        <v>12</v>
      </c>
      <c r="J919" s="3">
        <v>5312.51</v>
      </c>
    </row>
    <row r="920" spans="1:10" x14ac:dyDescent="0.25">
      <c r="A920" t="s">
        <v>61</v>
      </c>
      <c r="B920" t="s">
        <v>71</v>
      </c>
      <c r="C920" s="82" t="s">
        <v>404</v>
      </c>
      <c r="D920">
        <v>201508</v>
      </c>
      <c r="E920" s="1">
        <v>42216</v>
      </c>
      <c r="F920" s="1">
        <v>42243</v>
      </c>
      <c r="G920" t="s">
        <v>404</v>
      </c>
      <c r="H920" s="81">
        <v>467</v>
      </c>
      <c r="I920" t="s">
        <v>12</v>
      </c>
      <c r="J920" s="3">
        <v>5364.73</v>
      </c>
    </row>
    <row r="921" spans="1:10" x14ac:dyDescent="0.25">
      <c r="A921" t="s">
        <v>61</v>
      </c>
      <c r="B921" t="s">
        <v>71</v>
      </c>
      <c r="C921" s="82" t="s">
        <v>404</v>
      </c>
      <c r="D921">
        <v>201509</v>
      </c>
      <c r="E921" s="1">
        <v>42243</v>
      </c>
      <c r="F921" s="1">
        <v>42276</v>
      </c>
      <c r="G921" t="s">
        <v>404</v>
      </c>
      <c r="H921" s="81">
        <v>570</v>
      </c>
      <c r="I921" t="s">
        <v>12</v>
      </c>
      <c r="J921" s="3">
        <v>6485.3</v>
      </c>
    </row>
    <row r="922" spans="1:10" x14ac:dyDescent="0.25">
      <c r="A922" t="s">
        <v>61</v>
      </c>
      <c r="B922" t="s">
        <v>71</v>
      </c>
      <c r="C922" s="82" t="s">
        <v>404</v>
      </c>
      <c r="D922">
        <v>201510</v>
      </c>
      <c r="E922" s="1">
        <v>42276</v>
      </c>
      <c r="F922" s="1">
        <v>42305</v>
      </c>
      <c r="G922" t="s">
        <v>404</v>
      </c>
      <c r="H922" s="81">
        <v>645</v>
      </c>
      <c r="I922" t="s">
        <v>12</v>
      </c>
      <c r="J922" s="3">
        <v>5224.18</v>
      </c>
    </row>
    <row r="923" spans="1:10" x14ac:dyDescent="0.25">
      <c r="A923" t="s">
        <v>61</v>
      </c>
      <c r="B923" t="s">
        <v>71</v>
      </c>
      <c r="C923" s="82" t="s">
        <v>404</v>
      </c>
      <c r="D923">
        <v>201511</v>
      </c>
      <c r="E923" s="1">
        <v>42305</v>
      </c>
      <c r="F923" s="1">
        <v>42339</v>
      </c>
      <c r="G923" t="s">
        <v>404</v>
      </c>
      <c r="H923" s="81">
        <v>740</v>
      </c>
      <c r="I923" t="s">
        <v>12</v>
      </c>
      <c r="J923" s="3">
        <v>4959.7299999999996</v>
      </c>
    </row>
    <row r="924" spans="1:10" x14ac:dyDescent="0.25">
      <c r="A924" t="s">
        <v>61</v>
      </c>
      <c r="B924" t="s">
        <v>71</v>
      </c>
      <c r="C924" s="82" t="s">
        <v>404</v>
      </c>
      <c r="D924">
        <v>201512</v>
      </c>
      <c r="E924" s="1">
        <v>42339</v>
      </c>
      <c r="F924" s="1">
        <v>42369</v>
      </c>
      <c r="G924" t="s">
        <v>404</v>
      </c>
      <c r="H924" s="81">
        <v>772</v>
      </c>
      <c r="I924" t="s">
        <v>12</v>
      </c>
      <c r="J924" s="3">
        <v>4729.24</v>
      </c>
    </row>
    <row r="925" spans="1:10" x14ac:dyDescent="0.25">
      <c r="A925" t="s">
        <v>61</v>
      </c>
      <c r="B925" t="s">
        <v>71</v>
      </c>
      <c r="C925" s="82" t="s">
        <v>404</v>
      </c>
      <c r="D925">
        <v>201601</v>
      </c>
      <c r="E925" s="1">
        <v>42369</v>
      </c>
      <c r="F925" s="1">
        <v>42401</v>
      </c>
      <c r="G925" t="s">
        <v>404</v>
      </c>
      <c r="H925" s="81">
        <v>1165</v>
      </c>
      <c r="I925" t="s">
        <v>12</v>
      </c>
      <c r="J925" s="3">
        <v>6199.29</v>
      </c>
    </row>
    <row r="926" spans="1:10" x14ac:dyDescent="0.25">
      <c r="A926" t="s">
        <v>61</v>
      </c>
      <c r="B926" t="s">
        <v>71</v>
      </c>
      <c r="C926" s="82" t="s">
        <v>404</v>
      </c>
      <c r="D926">
        <v>201602</v>
      </c>
      <c r="E926" s="1">
        <v>42401</v>
      </c>
      <c r="F926" s="1">
        <v>42430</v>
      </c>
      <c r="G926" t="s">
        <v>404</v>
      </c>
      <c r="H926" s="81">
        <v>911</v>
      </c>
      <c r="I926" t="s">
        <v>12</v>
      </c>
      <c r="J926" s="3">
        <v>5075.28</v>
      </c>
    </row>
    <row r="927" spans="1:10" x14ac:dyDescent="0.25">
      <c r="A927" t="s">
        <v>61</v>
      </c>
      <c r="B927" t="s">
        <v>71</v>
      </c>
      <c r="C927" s="82" t="s">
        <v>404</v>
      </c>
      <c r="D927">
        <v>201603</v>
      </c>
      <c r="E927" s="1">
        <v>42430</v>
      </c>
      <c r="F927" s="1">
        <v>42460</v>
      </c>
      <c r="G927" t="s">
        <v>404</v>
      </c>
      <c r="H927" s="81">
        <v>947</v>
      </c>
      <c r="I927" t="s">
        <v>12</v>
      </c>
      <c r="J927" s="3">
        <v>5128.1899999999996</v>
      </c>
    </row>
    <row r="928" spans="1:10" x14ac:dyDescent="0.25">
      <c r="A928" t="s">
        <v>61</v>
      </c>
      <c r="B928" t="s">
        <v>71</v>
      </c>
      <c r="C928" s="82" t="s">
        <v>404</v>
      </c>
      <c r="D928">
        <v>201604</v>
      </c>
      <c r="E928" s="1">
        <v>42460</v>
      </c>
      <c r="F928" s="1">
        <v>42489</v>
      </c>
      <c r="G928" t="s">
        <v>404</v>
      </c>
      <c r="H928" s="81">
        <v>615</v>
      </c>
      <c r="I928" t="s">
        <v>12</v>
      </c>
      <c r="J928" s="3">
        <v>4603.53</v>
      </c>
    </row>
    <row r="929" spans="1:10" x14ac:dyDescent="0.25">
      <c r="A929" t="s">
        <v>61</v>
      </c>
      <c r="B929" t="s">
        <v>71</v>
      </c>
      <c r="C929" s="82" t="s">
        <v>404</v>
      </c>
      <c r="D929">
        <v>201605</v>
      </c>
      <c r="E929" s="1">
        <v>42489</v>
      </c>
      <c r="F929" s="1">
        <v>42521</v>
      </c>
      <c r="G929" t="s">
        <v>404</v>
      </c>
      <c r="H929" s="81">
        <v>410</v>
      </c>
      <c r="I929" t="s">
        <v>12</v>
      </c>
      <c r="J929" s="3">
        <v>3779.04</v>
      </c>
    </row>
    <row r="930" spans="1:10" x14ac:dyDescent="0.25">
      <c r="A930" t="s">
        <v>61</v>
      </c>
      <c r="B930" t="s">
        <v>71</v>
      </c>
      <c r="C930" s="82" t="s">
        <v>404</v>
      </c>
      <c r="D930">
        <v>201606</v>
      </c>
      <c r="E930" s="1">
        <v>42521</v>
      </c>
      <c r="F930" s="1">
        <v>42550</v>
      </c>
      <c r="G930" t="s">
        <v>404</v>
      </c>
      <c r="H930" s="81">
        <v>472</v>
      </c>
      <c r="I930" t="s">
        <v>12</v>
      </c>
      <c r="J930" s="3">
        <v>5145.25</v>
      </c>
    </row>
    <row r="931" spans="1:10" x14ac:dyDescent="0.25">
      <c r="A931" t="s">
        <v>296</v>
      </c>
      <c r="B931" t="s">
        <v>71</v>
      </c>
      <c r="C931" s="82" t="s">
        <v>382</v>
      </c>
      <c r="D931">
        <v>201507</v>
      </c>
      <c r="E931" s="1">
        <v>42185</v>
      </c>
      <c r="F931" s="1">
        <v>42216</v>
      </c>
      <c r="G931" t="s">
        <v>382</v>
      </c>
      <c r="H931" s="81">
        <v>63</v>
      </c>
      <c r="I931" t="s">
        <v>12</v>
      </c>
      <c r="J931" s="3">
        <v>710.59</v>
      </c>
    </row>
    <row r="932" spans="1:10" x14ac:dyDescent="0.25">
      <c r="A932" t="s">
        <v>296</v>
      </c>
      <c r="B932" t="s">
        <v>71</v>
      </c>
      <c r="C932" s="82" t="s">
        <v>382</v>
      </c>
      <c r="D932">
        <v>201508</v>
      </c>
      <c r="E932" s="1">
        <v>42216</v>
      </c>
      <c r="F932" s="1">
        <v>42243</v>
      </c>
      <c r="G932" t="s">
        <v>382</v>
      </c>
      <c r="H932" s="81">
        <v>62</v>
      </c>
      <c r="I932" t="s">
        <v>12</v>
      </c>
      <c r="J932" s="3">
        <v>712.23</v>
      </c>
    </row>
    <row r="933" spans="1:10" x14ac:dyDescent="0.25">
      <c r="A933" t="s">
        <v>296</v>
      </c>
      <c r="B933" t="s">
        <v>71</v>
      </c>
      <c r="C933" s="82" t="s">
        <v>382</v>
      </c>
      <c r="D933">
        <v>201509</v>
      </c>
      <c r="E933" s="1">
        <v>42243</v>
      </c>
      <c r="F933" s="1">
        <v>42276</v>
      </c>
      <c r="G933" t="s">
        <v>382</v>
      </c>
      <c r="H933" s="81">
        <v>76</v>
      </c>
      <c r="I933" t="s">
        <v>12</v>
      </c>
      <c r="J933" s="3">
        <v>864.71</v>
      </c>
    </row>
    <row r="934" spans="1:10" x14ac:dyDescent="0.25">
      <c r="A934" t="s">
        <v>296</v>
      </c>
      <c r="B934" t="s">
        <v>71</v>
      </c>
      <c r="C934" s="82" t="s">
        <v>382</v>
      </c>
      <c r="D934">
        <v>201510</v>
      </c>
      <c r="E934" s="1">
        <v>42276</v>
      </c>
      <c r="F934" s="1">
        <v>42305</v>
      </c>
      <c r="G934" t="s">
        <v>382</v>
      </c>
      <c r="H934" s="81">
        <v>86</v>
      </c>
      <c r="I934" t="s">
        <v>12</v>
      </c>
      <c r="J934" s="3">
        <v>696.56</v>
      </c>
    </row>
    <row r="935" spans="1:10" x14ac:dyDescent="0.25">
      <c r="A935" t="s">
        <v>296</v>
      </c>
      <c r="B935" t="s">
        <v>71</v>
      </c>
      <c r="C935" s="82" t="s">
        <v>382</v>
      </c>
      <c r="D935">
        <v>201511</v>
      </c>
      <c r="E935" s="1">
        <v>42305</v>
      </c>
      <c r="F935" s="1">
        <v>42339</v>
      </c>
      <c r="G935" t="s">
        <v>382</v>
      </c>
      <c r="H935" s="81">
        <v>98</v>
      </c>
      <c r="I935" t="s">
        <v>12</v>
      </c>
      <c r="J935" s="3">
        <v>656.83</v>
      </c>
    </row>
    <row r="936" spans="1:10" x14ac:dyDescent="0.25">
      <c r="A936" t="s">
        <v>296</v>
      </c>
      <c r="B936" t="s">
        <v>71</v>
      </c>
      <c r="C936" s="82" t="s">
        <v>382</v>
      </c>
      <c r="D936">
        <v>201512</v>
      </c>
      <c r="E936" s="1">
        <v>42339</v>
      </c>
      <c r="F936" s="1">
        <v>42369</v>
      </c>
      <c r="G936" t="s">
        <v>382</v>
      </c>
      <c r="H936" s="81">
        <v>102</v>
      </c>
      <c r="I936" t="s">
        <v>12</v>
      </c>
      <c r="J936" s="3">
        <v>624.85</v>
      </c>
    </row>
    <row r="937" spans="1:10" x14ac:dyDescent="0.25">
      <c r="A937" t="s">
        <v>296</v>
      </c>
      <c r="B937" t="s">
        <v>71</v>
      </c>
      <c r="C937" s="82" t="s">
        <v>382</v>
      </c>
      <c r="D937">
        <v>201601</v>
      </c>
      <c r="E937" s="1">
        <v>42369</v>
      </c>
      <c r="F937" s="1">
        <v>42401</v>
      </c>
      <c r="G937" t="s">
        <v>382</v>
      </c>
      <c r="H937" s="81">
        <v>155</v>
      </c>
      <c r="I937" t="s">
        <v>12</v>
      </c>
      <c r="J937" s="3">
        <v>824.8</v>
      </c>
    </row>
    <row r="938" spans="1:10" x14ac:dyDescent="0.25">
      <c r="A938" t="s">
        <v>296</v>
      </c>
      <c r="B938" t="s">
        <v>71</v>
      </c>
      <c r="C938" s="82" t="s">
        <v>382</v>
      </c>
      <c r="D938">
        <v>201602</v>
      </c>
      <c r="E938" s="1">
        <v>42401</v>
      </c>
      <c r="F938" s="1">
        <v>42430</v>
      </c>
      <c r="G938" t="s">
        <v>382</v>
      </c>
      <c r="H938" s="81">
        <v>121</v>
      </c>
      <c r="I938" t="s">
        <v>12</v>
      </c>
      <c r="J938" s="3">
        <v>674.1</v>
      </c>
    </row>
    <row r="939" spans="1:10" x14ac:dyDescent="0.25">
      <c r="A939" t="s">
        <v>296</v>
      </c>
      <c r="B939" t="s">
        <v>71</v>
      </c>
      <c r="C939" s="82" t="s">
        <v>382</v>
      </c>
      <c r="D939">
        <v>201603</v>
      </c>
      <c r="E939" s="1">
        <v>42430</v>
      </c>
      <c r="F939" s="1">
        <v>42460</v>
      </c>
      <c r="G939" t="s">
        <v>382</v>
      </c>
      <c r="H939" s="81">
        <v>126</v>
      </c>
      <c r="I939" t="s">
        <v>12</v>
      </c>
      <c r="J939" s="3">
        <v>682.32</v>
      </c>
    </row>
    <row r="940" spans="1:10" x14ac:dyDescent="0.25">
      <c r="A940" t="s">
        <v>296</v>
      </c>
      <c r="B940" t="s">
        <v>71</v>
      </c>
      <c r="C940" s="82" t="s">
        <v>382</v>
      </c>
      <c r="D940">
        <v>201604</v>
      </c>
      <c r="E940" s="1">
        <v>42460</v>
      </c>
      <c r="F940" s="1">
        <v>42489</v>
      </c>
      <c r="G940" t="s">
        <v>382</v>
      </c>
      <c r="H940" s="81">
        <v>82</v>
      </c>
      <c r="I940" t="s">
        <v>12</v>
      </c>
      <c r="J940" s="3">
        <v>613.79999999999995</v>
      </c>
    </row>
    <row r="941" spans="1:10" x14ac:dyDescent="0.25">
      <c r="A941" t="s">
        <v>296</v>
      </c>
      <c r="B941" t="s">
        <v>71</v>
      </c>
      <c r="C941" s="82" t="s">
        <v>382</v>
      </c>
      <c r="D941">
        <v>201605</v>
      </c>
      <c r="E941" s="1">
        <v>42489</v>
      </c>
      <c r="F941" s="1">
        <v>42521</v>
      </c>
      <c r="G941" t="s">
        <v>382</v>
      </c>
      <c r="H941" s="81">
        <v>54</v>
      </c>
      <c r="I941" t="s">
        <v>12</v>
      </c>
      <c r="J941" s="3">
        <v>497.73</v>
      </c>
    </row>
    <row r="942" spans="1:10" x14ac:dyDescent="0.25">
      <c r="A942" t="s">
        <v>296</v>
      </c>
      <c r="B942" t="s">
        <v>71</v>
      </c>
      <c r="C942" s="82" t="s">
        <v>382</v>
      </c>
      <c r="D942">
        <v>201606</v>
      </c>
      <c r="E942" s="1">
        <v>42521</v>
      </c>
      <c r="F942" s="1">
        <v>42550</v>
      </c>
      <c r="G942" t="s">
        <v>382</v>
      </c>
      <c r="H942" s="81">
        <v>63</v>
      </c>
      <c r="I942" t="s">
        <v>12</v>
      </c>
      <c r="J942" s="3">
        <v>686.76</v>
      </c>
    </row>
    <row r="943" spans="1:10" x14ac:dyDescent="0.25">
      <c r="A943" t="s">
        <v>299</v>
      </c>
      <c r="B943" t="s">
        <v>71</v>
      </c>
      <c r="C943" s="82" t="s">
        <v>424</v>
      </c>
      <c r="D943">
        <v>201507</v>
      </c>
      <c r="E943" s="1">
        <v>42185</v>
      </c>
      <c r="F943" s="1">
        <v>42216</v>
      </c>
      <c r="G943" t="s">
        <v>425</v>
      </c>
      <c r="H943" s="81">
        <v>62</v>
      </c>
      <c r="I943" t="s">
        <v>12</v>
      </c>
      <c r="J943" s="3">
        <v>699.31</v>
      </c>
    </row>
    <row r="944" spans="1:10" x14ac:dyDescent="0.25">
      <c r="A944" t="s">
        <v>299</v>
      </c>
      <c r="B944" t="s">
        <v>71</v>
      </c>
      <c r="C944" s="82" t="s">
        <v>424</v>
      </c>
      <c r="D944">
        <v>201508</v>
      </c>
      <c r="E944" s="1">
        <v>42216</v>
      </c>
      <c r="F944" s="1">
        <v>42243</v>
      </c>
      <c r="G944" t="s">
        <v>425</v>
      </c>
      <c r="H944" s="81">
        <v>62</v>
      </c>
      <c r="I944" t="s">
        <v>12</v>
      </c>
      <c r="J944" s="3">
        <v>712.23</v>
      </c>
    </row>
    <row r="945" spans="1:10" x14ac:dyDescent="0.25">
      <c r="A945" t="s">
        <v>299</v>
      </c>
      <c r="B945" t="s">
        <v>71</v>
      </c>
      <c r="C945" s="82" t="s">
        <v>424</v>
      </c>
      <c r="D945">
        <v>201509</v>
      </c>
      <c r="E945" s="1">
        <v>42243</v>
      </c>
      <c r="F945" s="1">
        <v>42276</v>
      </c>
      <c r="G945" t="s">
        <v>425</v>
      </c>
      <c r="H945" s="81">
        <v>75</v>
      </c>
      <c r="I945" t="s">
        <v>12</v>
      </c>
      <c r="J945" s="3">
        <v>853.33</v>
      </c>
    </row>
    <row r="946" spans="1:10" x14ac:dyDescent="0.25">
      <c r="A946" t="s">
        <v>299</v>
      </c>
      <c r="B946" t="s">
        <v>71</v>
      </c>
      <c r="C946" s="82" t="s">
        <v>424</v>
      </c>
      <c r="D946">
        <v>201510</v>
      </c>
      <c r="E946" s="1">
        <v>42276</v>
      </c>
      <c r="F946" s="1">
        <v>42305</v>
      </c>
      <c r="G946" t="s">
        <v>425</v>
      </c>
      <c r="H946" s="81">
        <v>85</v>
      </c>
      <c r="I946" t="s">
        <v>12</v>
      </c>
      <c r="J946" s="3">
        <v>688.46</v>
      </c>
    </row>
    <row r="947" spans="1:10" x14ac:dyDescent="0.25">
      <c r="A947" t="s">
        <v>299</v>
      </c>
      <c r="B947" t="s">
        <v>71</v>
      </c>
      <c r="C947" s="82" t="s">
        <v>424</v>
      </c>
      <c r="D947">
        <v>201511</v>
      </c>
      <c r="E947" s="1">
        <v>42305</v>
      </c>
      <c r="F947" s="1">
        <v>42339</v>
      </c>
      <c r="G947" t="s">
        <v>425</v>
      </c>
      <c r="H947" s="81">
        <v>98</v>
      </c>
      <c r="I947" t="s">
        <v>12</v>
      </c>
      <c r="J947" s="3">
        <v>656.83</v>
      </c>
    </row>
    <row r="948" spans="1:10" x14ac:dyDescent="0.25">
      <c r="A948" t="s">
        <v>299</v>
      </c>
      <c r="B948" t="s">
        <v>71</v>
      </c>
      <c r="C948" s="82" t="s">
        <v>424</v>
      </c>
      <c r="D948">
        <v>201512</v>
      </c>
      <c r="E948" s="1">
        <v>42339</v>
      </c>
      <c r="F948" s="1">
        <v>42369</v>
      </c>
      <c r="G948" t="s">
        <v>425</v>
      </c>
      <c r="H948" s="81">
        <v>102</v>
      </c>
      <c r="I948" t="s">
        <v>12</v>
      </c>
      <c r="J948" s="3">
        <v>624.85</v>
      </c>
    </row>
    <row r="949" spans="1:10" x14ac:dyDescent="0.25">
      <c r="A949" t="s">
        <v>299</v>
      </c>
      <c r="B949" t="s">
        <v>71</v>
      </c>
      <c r="C949" s="82" t="s">
        <v>424</v>
      </c>
      <c r="D949">
        <v>201601</v>
      </c>
      <c r="E949" s="1">
        <v>42369</v>
      </c>
      <c r="F949" s="1">
        <v>42401</v>
      </c>
      <c r="G949" t="s">
        <v>425</v>
      </c>
      <c r="H949" s="81">
        <v>154</v>
      </c>
      <c r="I949" t="s">
        <v>12</v>
      </c>
      <c r="J949" s="3">
        <v>819.48</v>
      </c>
    </row>
    <row r="950" spans="1:10" x14ac:dyDescent="0.25">
      <c r="A950" t="s">
        <v>299</v>
      </c>
      <c r="B950" t="s">
        <v>71</v>
      </c>
      <c r="C950" s="82" t="s">
        <v>424</v>
      </c>
      <c r="D950">
        <v>201602</v>
      </c>
      <c r="E950" s="1">
        <v>42401</v>
      </c>
      <c r="F950" s="1">
        <v>42430</v>
      </c>
      <c r="G950" t="s">
        <v>425</v>
      </c>
      <c r="H950" s="81">
        <v>120</v>
      </c>
      <c r="I950" t="s">
        <v>12</v>
      </c>
      <c r="J950" s="3">
        <v>668.53</v>
      </c>
    </row>
    <row r="951" spans="1:10" x14ac:dyDescent="0.25">
      <c r="A951" t="s">
        <v>299</v>
      </c>
      <c r="B951" t="s">
        <v>71</v>
      </c>
      <c r="C951" s="82" t="s">
        <v>424</v>
      </c>
      <c r="D951">
        <v>201603</v>
      </c>
      <c r="E951" s="1">
        <v>42430</v>
      </c>
      <c r="F951" s="1">
        <v>42460</v>
      </c>
      <c r="G951" t="s">
        <v>425</v>
      </c>
      <c r="H951" s="81">
        <v>125</v>
      </c>
      <c r="I951" t="s">
        <v>12</v>
      </c>
      <c r="J951" s="3">
        <v>676.9</v>
      </c>
    </row>
    <row r="952" spans="1:10" x14ac:dyDescent="0.25">
      <c r="A952" t="s">
        <v>299</v>
      </c>
      <c r="B952" t="s">
        <v>71</v>
      </c>
      <c r="C952" s="82" t="s">
        <v>424</v>
      </c>
      <c r="D952">
        <v>201604</v>
      </c>
      <c r="E952" s="1">
        <v>42460</v>
      </c>
      <c r="F952" s="1">
        <v>42489</v>
      </c>
      <c r="G952" t="s">
        <v>425</v>
      </c>
      <c r="H952" s="81">
        <v>81</v>
      </c>
      <c r="I952" t="s">
        <v>12</v>
      </c>
      <c r="J952" s="3">
        <v>606.32000000000005</v>
      </c>
    </row>
    <row r="953" spans="1:10" x14ac:dyDescent="0.25">
      <c r="A953" t="s">
        <v>299</v>
      </c>
      <c r="B953" t="s">
        <v>71</v>
      </c>
      <c r="C953" s="82" t="s">
        <v>424</v>
      </c>
      <c r="D953">
        <v>201605</v>
      </c>
      <c r="E953" s="1">
        <v>42489</v>
      </c>
      <c r="F953" s="1">
        <v>42521</v>
      </c>
      <c r="G953" t="s">
        <v>425</v>
      </c>
      <c r="H953" s="81">
        <v>54</v>
      </c>
      <c r="I953" t="s">
        <v>12</v>
      </c>
      <c r="J953" s="3">
        <v>497.73</v>
      </c>
    </row>
    <row r="954" spans="1:10" x14ac:dyDescent="0.25">
      <c r="A954" t="s">
        <v>299</v>
      </c>
      <c r="B954" t="s">
        <v>71</v>
      </c>
      <c r="C954" s="82" t="s">
        <v>424</v>
      </c>
      <c r="D954">
        <v>201606</v>
      </c>
      <c r="E954" s="1">
        <v>42521</v>
      </c>
      <c r="F954" s="1">
        <v>42550</v>
      </c>
      <c r="G954" t="s">
        <v>425</v>
      </c>
      <c r="H954" s="81">
        <v>62</v>
      </c>
      <c r="I954" t="s">
        <v>12</v>
      </c>
      <c r="J954" s="3">
        <v>675.86</v>
      </c>
    </row>
    <row r="955" spans="1:10" x14ac:dyDescent="0.25">
      <c r="A955" t="s">
        <v>331</v>
      </c>
      <c r="B955" t="s">
        <v>71</v>
      </c>
      <c r="C955" s="82" t="s">
        <v>383</v>
      </c>
      <c r="D955">
        <v>201507</v>
      </c>
      <c r="E955" s="1">
        <v>42185</v>
      </c>
      <c r="F955" s="1">
        <v>42216</v>
      </c>
      <c r="G955" t="s">
        <v>383</v>
      </c>
      <c r="H955" s="81">
        <v>203</v>
      </c>
      <c r="I955" t="s">
        <v>12</v>
      </c>
      <c r="J955" s="3">
        <v>2289.6799999999998</v>
      </c>
    </row>
    <row r="956" spans="1:10" x14ac:dyDescent="0.25">
      <c r="A956" t="s">
        <v>331</v>
      </c>
      <c r="B956" t="s">
        <v>71</v>
      </c>
      <c r="C956" s="82" t="s">
        <v>383</v>
      </c>
      <c r="D956">
        <v>201508</v>
      </c>
      <c r="E956" s="1">
        <v>42216</v>
      </c>
      <c r="F956" s="1">
        <v>42243</v>
      </c>
      <c r="G956" t="s">
        <v>383</v>
      </c>
      <c r="H956" s="81">
        <v>201</v>
      </c>
      <c r="I956" t="s">
        <v>12</v>
      </c>
      <c r="J956" s="3">
        <v>2309.02</v>
      </c>
    </row>
    <row r="957" spans="1:10" x14ac:dyDescent="0.25">
      <c r="A957" t="s">
        <v>331</v>
      </c>
      <c r="B957" t="s">
        <v>71</v>
      </c>
      <c r="C957" s="82" t="s">
        <v>383</v>
      </c>
      <c r="D957">
        <v>201509</v>
      </c>
      <c r="E957" s="1">
        <v>42243</v>
      </c>
      <c r="F957" s="1">
        <v>42276</v>
      </c>
      <c r="G957" t="s">
        <v>383</v>
      </c>
      <c r="H957" s="81">
        <v>246</v>
      </c>
      <c r="I957" t="s">
        <v>12</v>
      </c>
      <c r="J957" s="3">
        <v>2798.92</v>
      </c>
    </row>
    <row r="958" spans="1:10" x14ac:dyDescent="0.25">
      <c r="A958" t="s">
        <v>331</v>
      </c>
      <c r="B958" t="s">
        <v>71</v>
      </c>
      <c r="C958" s="82" t="s">
        <v>383</v>
      </c>
      <c r="D958">
        <v>201510</v>
      </c>
      <c r="E958" s="1">
        <v>42276</v>
      </c>
      <c r="F958" s="1">
        <v>42305</v>
      </c>
      <c r="G958" t="s">
        <v>383</v>
      </c>
      <c r="H958" s="81">
        <v>278</v>
      </c>
      <c r="I958" t="s">
        <v>12</v>
      </c>
      <c r="J958" s="3">
        <v>2251.66</v>
      </c>
    </row>
    <row r="959" spans="1:10" x14ac:dyDescent="0.25">
      <c r="A959" t="s">
        <v>331</v>
      </c>
      <c r="B959" t="s">
        <v>71</v>
      </c>
      <c r="C959" s="82" t="s">
        <v>383</v>
      </c>
      <c r="D959">
        <v>201511</v>
      </c>
      <c r="E959" s="1">
        <v>42305</v>
      </c>
      <c r="F959" s="1">
        <v>42339</v>
      </c>
      <c r="G959" t="s">
        <v>383</v>
      </c>
      <c r="H959" s="81">
        <v>319</v>
      </c>
      <c r="I959" t="s">
        <v>12</v>
      </c>
      <c r="J959" s="3">
        <v>2138.04</v>
      </c>
    </row>
    <row r="960" spans="1:10" x14ac:dyDescent="0.25">
      <c r="A960" t="s">
        <v>331</v>
      </c>
      <c r="B960" t="s">
        <v>71</v>
      </c>
      <c r="C960" s="82" t="s">
        <v>383</v>
      </c>
      <c r="D960">
        <v>201512</v>
      </c>
      <c r="E960" s="1">
        <v>42339</v>
      </c>
      <c r="F960" s="1">
        <v>42369</v>
      </c>
      <c r="G960" t="s">
        <v>383</v>
      </c>
      <c r="H960" s="81">
        <v>332</v>
      </c>
      <c r="I960" t="s">
        <v>12</v>
      </c>
      <c r="J960" s="3">
        <v>2033.82</v>
      </c>
    </row>
    <row r="961" spans="1:10" x14ac:dyDescent="0.25">
      <c r="A961" t="s">
        <v>331</v>
      </c>
      <c r="B961" t="s">
        <v>71</v>
      </c>
      <c r="C961" s="82" t="s">
        <v>383</v>
      </c>
      <c r="D961">
        <v>201601</v>
      </c>
      <c r="E961" s="1">
        <v>42369</v>
      </c>
      <c r="F961" s="1">
        <v>42401</v>
      </c>
      <c r="G961" t="s">
        <v>383</v>
      </c>
      <c r="H961" s="81">
        <v>502</v>
      </c>
      <c r="I961" t="s">
        <v>12</v>
      </c>
      <c r="J961" s="3">
        <v>2671.28</v>
      </c>
    </row>
    <row r="962" spans="1:10" x14ac:dyDescent="0.25">
      <c r="A962" t="s">
        <v>331</v>
      </c>
      <c r="B962" t="s">
        <v>71</v>
      </c>
      <c r="C962" s="82" t="s">
        <v>383</v>
      </c>
      <c r="D962">
        <v>201602</v>
      </c>
      <c r="E962" s="1">
        <v>42401</v>
      </c>
      <c r="F962" s="1">
        <v>42430</v>
      </c>
      <c r="G962" t="s">
        <v>383</v>
      </c>
      <c r="H962" s="81">
        <v>392</v>
      </c>
      <c r="I962" t="s">
        <v>12</v>
      </c>
      <c r="J962" s="3">
        <v>2183.87</v>
      </c>
    </row>
    <row r="963" spans="1:10" x14ac:dyDescent="0.25">
      <c r="A963" t="s">
        <v>331</v>
      </c>
      <c r="B963" t="s">
        <v>71</v>
      </c>
      <c r="C963" s="82" t="s">
        <v>383</v>
      </c>
      <c r="D963">
        <v>201603</v>
      </c>
      <c r="E963" s="1">
        <v>42430</v>
      </c>
      <c r="F963" s="1">
        <v>42460</v>
      </c>
      <c r="G963" t="s">
        <v>383</v>
      </c>
      <c r="H963" s="81">
        <v>408</v>
      </c>
      <c r="I963" t="s">
        <v>12</v>
      </c>
      <c r="J963" s="3">
        <v>2209.4</v>
      </c>
    </row>
    <row r="964" spans="1:10" x14ac:dyDescent="0.25">
      <c r="A964" t="s">
        <v>331</v>
      </c>
      <c r="B964" t="s">
        <v>71</v>
      </c>
      <c r="C964" s="82" t="s">
        <v>383</v>
      </c>
      <c r="D964">
        <v>201604</v>
      </c>
      <c r="E964" s="1">
        <v>42460</v>
      </c>
      <c r="F964" s="1">
        <v>42489</v>
      </c>
      <c r="G964" t="s">
        <v>383</v>
      </c>
      <c r="H964" s="81">
        <v>265</v>
      </c>
      <c r="I964" t="s">
        <v>12</v>
      </c>
      <c r="J964" s="3">
        <v>1983.64</v>
      </c>
    </row>
    <row r="965" spans="1:10" x14ac:dyDescent="0.25">
      <c r="A965" t="s">
        <v>331</v>
      </c>
      <c r="B965" t="s">
        <v>71</v>
      </c>
      <c r="C965" s="82" t="s">
        <v>383</v>
      </c>
      <c r="D965">
        <v>201605</v>
      </c>
      <c r="E965" s="1">
        <v>42489</v>
      </c>
      <c r="F965" s="1">
        <v>42521</v>
      </c>
      <c r="G965" t="s">
        <v>383</v>
      </c>
      <c r="H965" s="81">
        <v>177</v>
      </c>
      <c r="I965" t="s">
        <v>12</v>
      </c>
      <c r="J965" s="3">
        <v>1631.44</v>
      </c>
    </row>
    <row r="966" spans="1:10" x14ac:dyDescent="0.25">
      <c r="A966" t="s">
        <v>331</v>
      </c>
      <c r="B966" t="s">
        <v>71</v>
      </c>
      <c r="C966" s="82" t="s">
        <v>383</v>
      </c>
      <c r="D966">
        <v>201606</v>
      </c>
      <c r="E966" s="1">
        <v>42521</v>
      </c>
      <c r="F966" s="1">
        <v>42550</v>
      </c>
      <c r="G966" t="s">
        <v>383</v>
      </c>
      <c r="H966" s="81">
        <v>203</v>
      </c>
      <c r="I966" t="s">
        <v>12</v>
      </c>
      <c r="J966" s="3">
        <v>2212.89</v>
      </c>
    </row>
    <row r="967" spans="1:10" x14ac:dyDescent="0.25">
      <c r="A967" t="s">
        <v>335</v>
      </c>
      <c r="B967" t="s">
        <v>71</v>
      </c>
      <c r="C967" s="82" t="s">
        <v>384</v>
      </c>
      <c r="D967">
        <v>201507</v>
      </c>
      <c r="E967" s="1">
        <v>42185</v>
      </c>
      <c r="F967" s="1">
        <v>42216</v>
      </c>
      <c r="G967" t="s">
        <v>384</v>
      </c>
      <c r="H967" s="81">
        <v>59</v>
      </c>
      <c r="I967" t="s">
        <v>12</v>
      </c>
      <c r="J967" s="3">
        <v>665.47</v>
      </c>
    </row>
    <row r="968" spans="1:10" x14ac:dyDescent="0.25">
      <c r="A968" t="s">
        <v>335</v>
      </c>
      <c r="B968" t="s">
        <v>71</v>
      </c>
      <c r="C968" s="82" t="s">
        <v>384</v>
      </c>
      <c r="D968">
        <v>201508</v>
      </c>
      <c r="E968" s="1">
        <v>42216</v>
      </c>
      <c r="F968" s="1">
        <v>42243</v>
      </c>
      <c r="G968" t="s">
        <v>384</v>
      </c>
      <c r="H968" s="81">
        <v>59</v>
      </c>
      <c r="I968" t="s">
        <v>12</v>
      </c>
      <c r="J968" s="3">
        <v>677.77</v>
      </c>
    </row>
    <row r="969" spans="1:10" x14ac:dyDescent="0.25">
      <c r="A969" t="s">
        <v>335</v>
      </c>
      <c r="B969" t="s">
        <v>71</v>
      </c>
      <c r="C969" s="82" t="s">
        <v>384</v>
      </c>
      <c r="D969">
        <v>201509</v>
      </c>
      <c r="E969" s="1">
        <v>42243</v>
      </c>
      <c r="F969" s="1">
        <v>42276</v>
      </c>
      <c r="G969" t="s">
        <v>384</v>
      </c>
      <c r="H969" s="81">
        <v>72</v>
      </c>
      <c r="I969" t="s">
        <v>12</v>
      </c>
      <c r="J969" s="3">
        <v>819.2</v>
      </c>
    </row>
    <row r="970" spans="1:10" x14ac:dyDescent="0.25">
      <c r="A970" t="s">
        <v>335</v>
      </c>
      <c r="B970" t="s">
        <v>71</v>
      </c>
      <c r="C970" s="82" t="s">
        <v>384</v>
      </c>
      <c r="D970">
        <v>201510</v>
      </c>
      <c r="E970" s="1">
        <v>42276</v>
      </c>
      <c r="F970" s="1">
        <v>42305</v>
      </c>
      <c r="G970" t="s">
        <v>384</v>
      </c>
      <c r="H970" s="81">
        <v>81</v>
      </c>
      <c r="I970" t="s">
        <v>12</v>
      </c>
      <c r="J970" s="3">
        <v>656.06</v>
      </c>
    </row>
    <row r="971" spans="1:10" x14ac:dyDescent="0.25">
      <c r="A971" t="s">
        <v>335</v>
      </c>
      <c r="B971" t="s">
        <v>71</v>
      </c>
      <c r="C971" s="82" t="s">
        <v>384</v>
      </c>
      <c r="D971">
        <v>201511</v>
      </c>
      <c r="E971" s="1">
        <v>42305</v>
      </c>
      <c r="F971" s="1">
        <v>42339</v>
      </c>
      <c r="G971" t="s">
        <v>384</v>
      </c>
      <c r="H971" s="81">
        <v>93</v>
      </c>
      <c r="I971" t="s">
        <v>12</v>
      </c>
      <c r="J971" s="3">
        <v>623.32000000000005</v>
      </c>
    </row>
    <row r="972" spans="1:10" x14ac:dyDescent="0.25">
      <c r="A972" t="s">
        <v>335</v>
      </c>
      <c r="B972" t="s">
        <v>71</v>
      </c>
      <c r="C972" s="82" t="s">
        <v>384</v>
      </c>
      <c r="D972">
        <v>201512</v>
      </c>
      <c r="E972" s="1">
        <v>42339</v>
      </c>
      <c r="F972" s="1">
        <v>42369</v>
      </c>
      <c r="G972" t="s">
        <v>384</v>
      </c>
      <c r="H972" s="81">
        <v>97</v>
      </c>
      <c r="I972" t="s">
        <v>12</v>
      </c>
      <c r="J972" s="3">
        <v>594.22</v>
      </c>
    </row>
    <row r="973" spans="1:10" x14ac:dyDescent="0.25">
      <c r="A973" t="s">
        <v>335</v>
      </c>
      <c r="B973" t="s">
        <v>71</v>
      </c>
      <c r="C973" s="82" t="s">
        <v>384</v>
      </c>
      <c r="D973">
        <v>201601</v>
      </c>
      <c r="E973" s="1">
        <v>42369</v>
      </c>
      <c r="F973" s="1">
        <v>42401</v>
      </c>
      <c r="G973" t="s">
        <v>384</v>
      </c>
      <c r="H973" s="81">
        <v>147</v>
      </c>
      <c r="I973" t="s">
        <v>12</v>
      </c>
      <c r="J973" s="3">
        <v>782.23</v>
      </c>
    </row>
    <row r="974" spans="1:10" x14ac:dyDescent="0.25">
      <c r="A974" t="s">
        <v>335</v>
      </c>
      <c r="B974" t="s">
        <v>71</v>
      </c>
      <c r="C974" s="82" t="s">
        <v>384</v>
      </c>
      <c r="D974">
        <v>201602</v>
      </c>
      <c r="E974" s="1">
        <v>42401</v>
      </c>
      <c r="F974" s="1">
        <v>42430</v>
      </c>
      <c r="G974" t="s">
        <v>384</v>
      </c>
      <c r="H974" s="81">
        <v>114</v>
      </c>
      <c r="I974" t="s">
        <v>12</v>
      </c>
      <c r="J974" s="3">
        <v>635.11</v>
      </c>
    </row>
    <row r="975" spans="1:10" x14ac:dyDescent="0.25">
      <c r="A975" t="s">
        <v>335</v>
      </c>
      <c r="B975" t="s">
        <v>71</v>
      </c>
      <c r="C975" s="82" t="s">
        <v>384</v>
      </c>
      <c r="D975">
        <v>201603</v>
      </c>
      <c r="E975" s="1">
        <v>42430</v>
      </c>
      <c r="F975" s="1">
        <v>42460</v>
      </c>
      <c r="G975" t="s">
        <v>384</v>
      </c>
      <c r="H975" s="81">
        <v>119</v>
      </c>
      <c r="I975" t="s">
        <v>12</v>
      </c>
      <c r="J975" s="3">
        <v>644.41</v>
      </c>
    </row>
    <row r="976" spans="1:10" x14ac:dyDescent="0.25">
      <c r="A976" t="s">
        <v>335</v>
      </c>
      <c r="B976" t="s">
        <v>71</v>
      </c>
      <c r="C976" s="82" t="s">
        <v>384</v>
      </c>
      <c r="D976">
        <v>201604</v>
      </c>
      <c r="E976" s="1">
        <v>42460</v>
      </c>
      <c r="F976" s="1">
        <v>42489</v>
      </c>
      <c r="G976" t="s">
        <v>384</v>
      </c>
      <c r="H976" s="81">
        <v>77</v>
      </c>
      <c r="I976" t="s">
        <v>12</v>
      </c>
      <c r="J976" s="3">
        <v>576.38</v>
      </c>
    </row>
    <row r="977" spans="1:10" x14ac:dyDescent="0.25">
      <c r="A977" t="s">
        <v>335</v>
      </c>
      <c r="B977" t="s">
        <v>71</v>
      </c>
      <c r="C977" s="82" t="s">
        <v>384</v>
      </c>
      <c r="D977">
        <v>201605</v>
      </c>
      <c r="E977" s="1">
        <v>42489</v>
      </c>
      <c r="F977" s="1">
        <v>42521</v>
      </c>
      <c r="G977" t="s">
        <v>384</v>
      </c>
      <c r="H977" s="81">
        <v>52</v>
      </c>
      <c r="I977" t="s">
        <v>12</v>
      </c>
      <c r="J977" s="3">
        <v>479.29</v>
      </c>
    </row>
    <row r="978" spans="1:10" x14ac:dyDescent="0.25">
      <c r="A978" t="s">
        <v>335</v>
      </c>
      <c r="B978" t="s">
        <v>71</v>
      </c>
      <c r="C978" s="82" t="s">
        <v>384</v>
      </c>
      <c r="D978">
        <v>201606</v>
      </c>
      <c r="E978" s="1">
        <v>42521</v>
      </c>
      <c r="F978" s="1">
        <v>42550</v>
      </c>
      <c r="G978" t="s">
        <v>384</v>
      </c>
      <c r="H978" s="81">
        <v>59</v>
      </c>
      <c r="I978" t="s">
        <v>12</v>
      </c>
      <c r="J978" s="3">
        <v>643.16</v>
      </c>
    </row>
    <row r="979" spans="1:10" x14ac:dyDescent="0.25">
      <c r="A979" t="s">
        <v>333</v>
      </c>
      <c r="B979" t="s">
        <v>71</v>
      </c>
      <c r="C979" s="82" t="s">
        <v>385</v>
      </c>
      <c r="D979">
        <v>201507</v>
      </c>
      <c r="E979" s="1">
        <v>42185</v>
      </c>
      <c r="F979" s="1">
        <v>42216</v>
      </c>
      <c r="G979" t="s">
        <v>385</v>
      </c>
      <c r="H979" s="81">
        <v>204</v>
      </c>
      <c r="I979" t="s">
        <v>12</v>
      </c>
      <c r="J979" s="3">
        <v>2300.96</v>
      </c>
    </row>
    <row r="980" spans="1:10" x14ac:dyDescent="0.25">
      <c r="A980" t="s">
        <v>333</v>
      </c>
      <c r="B980" t="s">
        <v>71</v>
      </c>
      <c r="C980" s="82" t="s">
        <v>385</v>
      </c>
      <c r="D980">
        <v>201508</v>
      </c>
      <c r="E980" s="1">
        <v>42216</v>
      </c>
      <c r="F980" s="1">
        <v>42243</v>
      </c>
      <c r="G980" t="s">
        <v>385</v>
      </c>
      <c r="H980" s="81">
        <v>202</v>
      </c>
      <c r="I980" t="s">
        <v>12</v>
      </c>
      <c r="J980" s="3">
        <v>2320.5</v>
      </c>
    </row>
    <row r="981" spans="1:10" x14ac:dyDescent="0.25">
      <c r="A981" t="s">
        <v>333</v>
      </c>
      <c r="B981" t="s">
        <v>71</v>
      </c>
      <c r="C981" s="82" t="s">
        <v>385</v>
      </c>
      <c r="D981">
        <v>201509</v>
      </c>
      <c r="E981" s="1">
        <v>42243</v>
      </c>
      <c r="F981" s="1">
        <v>42276</v>
      </c>
      <c r="G981" t="s">
        <v>385</v>
      </c>
      <c r="H981" s="81">
        <v>247</v>
      </c>
      <c r="I981" t="s">
        <v>12</v>
      </c>
      <c r="J981" s="3">
        <v>2810.3</v>
      </c>
    </row>
    <row r="982" spans="1:10" x14ac:dyDescent="0.25">
      <c r="A982" t="s">
        <v>333</v>
      </c>
      <c r="B982" t="s">
        <v>71</v>
      </c>
      <c r="C982" s="82" t="s">
        <v>385</v>
      </c>
      <c r="D982">
        <v>201510</v>
      </c>
      <c r="E982" s="1">
        <v>42276</v>
      </c>
      <c r="F982" s="1">
        <v>42305</v>
      </c>
      <c r="G982" t="s">
        <v>385</v>
      </c>
      <c r="H982" s="81">
        <v>279</v>
      </c>
      <c r="I982" t="s">
        <v>12</v>
      </c>
      <c r="J982" s="3">
        <v>2259.7600000000002</v>
      </c>
    </row>
    <row r="983" spans="1:10" x14ac:dyDescent="0.25">
      <c r="A983" t="s">
        <v>333</v>
      </c>
      <c r="B983" t="s">
        <v>71</v>
      </c>
      <c r="C983" s="82" t="s">
        <v>385</v>
      </c>
      <c r="D983">
        <v>201511</v>
      </c>
      <c r="E983" s="1">
        <v>42305</v>
      </c>
      <c r="F983" s="1">
        <v>42339</v>
      </c>
      <c r="G983" t="s">
        <v>385</v>
      </c>
      <c r="H983" s="81">
        <v>320</v>
      </c>
      <c r="I983" t="s">
        <v>12</v>
      </c>
      <c r="J983" s="3">
        <v>2144.75</v>
      </c>
    </row>
    <row r="984" spans="1:10" x14ac:dyDescent="0.25">
      <c r="A984" t="s">
        <v>333</v>
      </c>
      <c r="B984" t="s">
        <v>71</v>
      </c>
      <c r="C984" s="82" t="s">
        <v>385</v>
      </c>
      <c r="D984">
        <v>201512</v>
      </c>
      <c r="E984" s="1">
        <v>42339</v>
      </c>
      <c r="F984" s="1">
        <v>42369</v>
      </c>
      <c r="G984" t="s">
        <v>385</v>
      </c>
      <c r="H984" s="81">
        <v>334</v>
      </c>
      <c r="I984" t="s">
        <v>12</v>
      </c>
      <c r="J984" s="3">
        <v>2046.07</v>
      </c>
    </row>
    <row r="985" spans="1:10" x14ac:dyDescent="0.25">
      <c r="A985" t="s">
        <v>333</v>
      </c>
      <c r="B985" t="s">
        <v>71</v>
      </c>
      <c r="C985" s="82" t="s">
        <v>385</v>
      </c>
      <c r="D985">
        <v>201601</v>
      </c>
      <c r="E985" s="1">
        <v>42369</v>
      </c>
      <c r="F985" s="1">
        <v>42401</v>
      </c>
      <c r="G985" t="s">
        <v>385</v>
      </c>
      <c r="H985" s="81">
        <v>504</v>
      </c>
      <c r="I985" t="s">
        <v>12</v>
      </c>
      <c r="J985" s="3">
        <v>2681.92</v>
      </c>
    </row>
    <row r="986" spans="1:10" x14ac:dyDescent="0.25">
      <c r="A986" t="s">
        <v>333</v>
      </c>
      <c r="B986" t="s">
        <v>71</v>
      </c>
      <c r="C986" s="82" t="s">
        <v>385</v>
      </c>
      <c r="D986">
        <v>201602</v>
      </c>
      <c r="E986" s="1">
        <v>42401</v>
      </c>
      <c r="F986" s="1">
        <v>42430</v>
      </c>
      <c r="G986" t="s">
        <v>385</v>
      </c>
      <c r="H986" s="81">
        <v>394</v>
      </c>
      <c r="I986" t="s">
        <v>12</v>
      </c>
      <c r="J986" s="3">
        <v>2195.0100000000002</v>
      </c>
    </row>
    <row r="987" spans="1:10" x14ac:dyDescent="0.25">
      <c r="A987" t="s">
        <v>333</v>
      </c>
      <c r="B987" t="s">
        <v>71</v>
      </c>
      <c r="C987" s="82" t="s">
        <v>385</v>
      </c>
      <c r="D987">
        <v>201603</v>
      </c>
      <c r="E987" s="1">
        <v>42430</v>
      </c>
      <c r="F987" s="1">
        <v>42460</v>
      </c>
      <c r="G987" t="s">
        <v>385</v>
      </c>
      <c r="H987" s="81">
        <v>410</v>
      </c>
      <c r="I987" t="s">
        <v>12</v>
      </c>
      <c r="J987" s="3">
        <v>2220.23</v>
      </c>
    </row>
    <row r="988" spans="1:10" x14ac:dyDescent="0.25">
      <c r="A988" t="s">
        <v>333</v>
      </c>
      <c r="B988" t="s">
        <v>71</v>
      </c>
      <c r="C988" s="82" t="s">
        <v>385</v>
      </c>
      <c r="D988">
        <v>201604</v>
      </c>
      <c r="E988" s="1">
        <v>42460</v>
      </c>
      <c r="F988" s="1">
        <v>42489</v>
      </c>
      <c r="G988" t="s">
        <v>385</v>
      </c>
      <c r="H988" s="81">
        <v>266</v>
      </c>
      <c r="I988" t="s">
        <v>12</v>
      </c>
      <c r="J988" s="3">
        <v>1991.12</v>
      </c>
    </row>
    <row r="989" spans="1:10" x14ac:dyDescent="0.25">
      <c r="A989" t="s">
        <v>333</v>
      </c>
      <c r="B989" t="s">
        <v>71</v>
      </c>
      <c r="C989" s="82" t="s">
        <v>385</v>
      </c>
      <c r="D989">
        <v>201605</v>
      </c>
      <c r="E989" s="1">
        <v>42489</v>
      </c>
      <c r="F989" s="1">
        <v>42521</v>
      </c>
      <c r="G989" t="s">
        <v>385</v>
      </c>
      <c r="H989" s="81">
        <v>177</v>
      </c>
      <c r="I989" t="s">
        <v>12</v>
      </c>
      <c r="J989" s="3">
        <v>1631.44</v>
      </c>
    </row>
    <row r="990" spans="1:10" x14ac:dyDescent="0.25">
      <c r="A990" t="s">
        <v>333</v>
      </c>
      <c r="B990" t="s">
        <v>71</v>
      </c>
      <c r="C990" s="82" t="s">
        <v>385</v>
      </c>
      <c r="D990">
        <v>201606</v>
      </c>
      <c r="E990" s="1">
        <v>42521</v>
      </c>
      <c r="F990" s="1">
        <v>42550</v>
      </c>
      <c r="G990" t="s">
        <v>385</v>
      </c>
      <c r="H990" s="81">
        <v>204</v>
      </c>
      <c r="I990" t="s">
        <v>12</v>
      </c>
      <c r="J990" s="3">
        <v>2223.79</v>
      </c>
    </row>
    <row r="991" spans="1:10" x14ac:dyDescent="0.25">
      <c r="A991" t="s">
        <v>374</v>
      </c>
      <c r="B991" t="s">
        <v>71</v>
      </c>
      <c r="C991" s="82" t="s">
        <v>386</v>
      </c>
      <c r="D991">
        <v>201507</v>
      </c>
      <c r="E991" s="1">
        <v>42185</v>
      </c>
      <c r="F991" s="1">
        <v>42216</v>
      </c>
      <c r="G991" t="s">
        <v>386</v>
      </c>
      <c r="H991" s="81">
        <v>268</v>
      </c>
      <c r="I991" t="s">
        <v>12</v>
      </c>
      <c r="J991" s="3">
        <v>3022.83</v>
      </c>
    </row>
    <row r="992" spans="1:10" x14ac:dyDescent="0.25">
      <c r="A992" t="s">
        <v>374</v>
      </c>
      <c r="B992" t="s">
        <v>71</v>
      </c>
      <c r="C992" s="82" t="s">
        <v>386</v>
      </c>
      <c r="D992">
        <v>201508</v>
      </c>
      <c r="E992" s="1">
        <v>42216</v>
      </c>
      <c r="F992" s="1">
        <v>42243</v>
      </c>
      <c r="G992" t="s">
        <v>386</v>
      </c>
      <c r="H992" s="81">
        <v>265</v>
      </c>
      <c r="I992" t="s">
        <v>12</v>
      </c>
      <c r="J992" s="3">
        <v>3044.22</v>
      </c>
    </row>
    <row r="993" spans="1:10" x14ac:dyDescent="0.25">
      <c r="A993" t="s">
        <v>374</v>
      </c>
      <c r="B993" t="s">
        <v>71</v>
      </c>
      <c r="C993" s="82" t="s">
        <v>386</v>
      </c>
      <c r="D993">
        <v>201509</v>
      </c>
      <c r="E993" s="1">
        <v>42243</v>
      </c>
      <c r="F993" s="1">
        <v>42276</v>
      </c>
      <c r="G993" t="s">
        <v>386</v>
      </c>
      <c r="H993" s="81">
        <v>324</v>
      </c>
      <c r="I993" t="s">
        <v>12</v>
      </c>
      <c r="J993" s="3">
        <v>3686.38</v>
      </c>
    </row>
    <row r="994" spans="1:10" x14ac:dyDescent="0.25">
      <c r="A994" t="s">
        <v>374</v>
      </c>
      <c r="B994" t="s">
        <v>71</v>
      </c>
      <c r="C994" s="82" t="s">
        <v>386</v>
      </c>
      <c r="D994">
        <v>201510</v>
      </c>
      <c r="E994" s="1">
        <v>42276</v>
      </c>
      <c r="F994" s="1">
        <v>42305</v>
      </c>
      <c r="G994" t="s">
        <v>386</v>
      </c>
      <c r="H994" s="81">
        <v>366</v>
      </c>
      <c r="I994" t="s">
        <v>12</v>
      </c>
      <c r="J994" s="3">
        <v>2964.42</v>
      </c>
    </row>
    <row r="995" spans="1:10" x14ac:dyDescent="0.25">
      <c r="A995" t="s">
        <v>374</v>
      </c>
      <c r="B995" t="s">
        <v>71</v>
      </c>
      <c r="C995" s="82" t="s">
        <v>386</v>
      </c>
      <c r="D995">
        <v>201511</v>
      </c>
      <c r="E995" s="1">
        <v>42305</v>
      </c>
      <c r="F995" s="1">
        <v>42339</v>
      </c>
      <c r="G995" t="s">
        <v>386</v>
      </c>
      <c r="H995" s="81">
        <v>421</v>
      </c>
      <c r="I995" t="s">
        <v>12</v>
      </c>
      <c r="J995" s="3">
        <v>2821.68</v>
      </c>
    </row>
    <row r="996" spans="1:10" x14ac:dyDescent="0.25">
      <c r="A996" t="s">
        <v>374</v>
      </c>
      <c r="B996" t="s">
        <v>71</v>
      </c>
      <c r="C996" s="82" t="s">
        <v>386</v>
      </c>
      <c r="D996">
        <v>201512</v>
      </c>
      <c r="E996" s="1">
        <v>42339</v>
      </c>
      <c r="F996" s="1">
        <v>42369</v>
      </c>
      <c r="G996" t="s">
        <v>386</v>
      </c>
      <c r="H996" s="81">
        <v>439</v>
      </c>
      <c r="I996" t="s">
        <v>12</v>
      </c>
      <c r="J996" s="3">
        <v>2689.29</v>
      </c>
    </row>
    <row r="997" spans="1:10" x14ac:dyDescent="0.25">
      <c r="A997" t="s">
        <v>374</v>
      </c>
      <c r="B997" t="s">
        <v>71</v>
      </c>
      <c r="C997" s="82" t="s">
        <v>386</v>
      </c>
      <c r="D997">
        <v>201601</v>
      </c>
      <c r="E997" s="1">
        <v>42369</v>
      </c>
      <c r="F997" s="1">
        <v>42401</v>
      </c>
      <c r="G997" t="s">
        <v>386</v>
      </c>
      <c r="H997" s="81">
        <v>662</v>
      </c>
      <c r="I997" t="s">
        <v>12</v>
      </c>
      <c r="J997" s="3">
        <v>3522.69</v>
      </c>
    </row>
    <row r="998" spans="1:10" x14ac:dyDescent="0.25">
      <c r="A998" t="s">
        <v>374</v>
      </c>
      <c r="B998" t="s">
        <v>71</v>
      </c>
      <c r="C998" s="82" t="s">
        <v>386</v>
      </c>
      <c r="D998">
        <v>201602</v>
      </c>
      <c r="E998" s="1">
        <v>42401</v>
      </c>
      <c r="F998" s="1">
        <v>42430</v>
      </c>
      <c r="G998" t="s">
        <v>386</v>
      </c>
      <c r="H998" s="81">
        <v>518</v>
      </c>
      <c r="I998" t="s">
        <v>12</v>
      </c>
      <c r="J998" s="3">
        <v>2885.83</v>
      </c>
    </row>
    <row r="999" spans="1:10" x14ac:dyDescent="0.25">
      <c r="A999" t="s">
        <v>374</v>
      </c>
      <c r="B999" t="s">
        <v>71</v>
      </c>
      <c r="C999" s="82" t="s">
        <v>386</v>
      </c>
      <c r="D999">
        <v>201603</v>
      </c>
      <c r="E999" s="1">
        <v>42430</v>
      </c>
      <c r="F999" s="1">
        <v>42460</v>
      </c>
      <c r="G999" t="s">
        <v>386</v>
      </c>
      <c r="H999" s="81">
        <v>538</v>
      </c>
      <c r="I999" t="s">
        <v>12</v>
      </c>
      <c r="J999" s="3">
        <v>2913.38</v>
      </c>
    </row>
    <row r="1000" spans="1:10" x14ac:dyDescent="0.25">
      <c r="A1000" t="s">
        <v>374</v>
      </c>
      <c r="B1000" t="s">
        <v>71</v>
      </c>
      <c r="C1000" s="82" t="s">
        <v>386</v>
      </c>
      <c r="D1000">
        <v>201604</v>
      </c>
      <c r="E1000" s="1">
        <v>42460</v>
      </c>
      <c r="F1000" s="1">
        <v>42489</v>
      </c>
      <c r="G1000" t="s">
        <v>386</v>
      </c>
      <c r="H1000" s="81">
        <v>349</v>
      </c>
      <c r="I1000" t="s">
        <v>12</v>
      </c>
      <c r="J1000" s="3">
        <v>2612.41</v>
      </c>
    </row>
    <row r="1001" spans="1:10" x14ac:dyDescent="0.25">
      <c r="A1001" t="s">
        <v>374</v>
      </c>
      <c r="B1001" t="s">
        <v>71</v>
      </c>
      <c r="C1001" s="82" t="s">
        <v>386</v>
      </c>
      <c r="D1001">
        <v>201605</v>
      </c>
      <c r="E1001" s="1">
        <v>42489</v>
      </c>
      <c r="F1001" s="1">
        <v>42521</v>
      </c>
      <c r="G1001" t="s">
        <v>386</v>
      </c>
      <c r="H1001" s="81">
        <v>233</v>
      </c>
      <c r="I1001" t="s">
        <v>12</v>
      </c>
      <c r="J1001" s="3">
        <v>2147.6</v>
      </c>
    </row>
    <row r="1002" spans="1:10" x14ac:dyDescent="0.25">
      <c r="A1002" t="s">
        <v>374</v>
      </c>
      <c r="B1002" t="s">
        <v>71</v>
      </c>
      <c r="C1002" s="82" t="s">
        <v>386</v>
      </c>
      <c r="D1002">
        <v>201606</v>
      </c>
      <c r="E1002" s="1">
        <v>42521</v>
      </c>
      <c r="F1002" s="1">
        <v>42550</v>
      </c>
      <c r="G1002" t="s">
        <v>386</v>
      </c>
      <c r="H1002" s="81">
        <v>268</v>
      </c>
      <c r="I1002" t="s">
        <v>12</v>
      </c>
      <c r="J1002" s="3">
        <v>2921.45</v>
      </c>
    </row>
    <row r="1003" spans="1:10" x14ac:dyDescent="0.25">
      <c r="A1003" t="s">
        <v>337</v>
      </c>
      <c r="B1003" t="s">
        <v>71</v>
      </c>
      <c r="C1003" s="82" t="s">
        <v>387</v>
      </c>
      <c r="D1003">
        <v>201507</v>
      </c>
      <c r="E1003" s="1">
        <v>42185</v>
      </c>
      <c r="F1003" s="1">
        <v>42216</v>
      </c>
      <c r="G1003" t="s">
        <v>387</v>
      </c>
      <c r="H1003" s="81">
        <v>51</v>
      </c>
      <c r="I1003" t="s">
        <v>12</v>
      </c>
      <c r="J1003" s="3">
        <v>575.24</v>
      </c>
    </row>
    <row r="1004" spans="1:10" x14ac:dyDescent="0.25">
      <c r="A1004" t="s">
        <v>337</v>
      </c>
      <c r="B1004" t="s">
        <v>71</v>
      </c>
      <c r="C1004" s="82" t="s">
        <v>387</v>
      </c>
      <c r="D1004">
        <v>201508</v>
      </c>
      <c r="E1004" s="1">
        <v>42216</v>
      </c>
      <c r="F1004" s="1">
        <v>42243</v>
      </c>
      <c r="G1004" t="s">
        <v>387</v>
      </c>
      <c r="H1004" s="81">
        <v>50</v>
      </c>
      <c r="I1004" t="s">
        <v>12</v>
      </c>
      <c r="J1004" s="3">
        <v>574.38</v>
      </c>
    </row>
    <row r="1005" spans="1:10" x14ac:dyDescent="0.25">
      <c r="A1005" t="s">
        <v>337</v>
      </c>
      <c r="B1005" t="s">
        <v>71</v>
      </c>
      <c r="C1005" s="82" t="s">
        <v>387</v>
      </c>
      <c r="D1005">
        <v>201509</v>
      </c>
      <c r="E1005" s="1">
        <v>42243</v>
      </c>
      <c r="F1005" s="1">
        <v>42276</v>
      </c>
      <c r="G1005" t="s">
        <v>387</v>
      </c>
      <c r="H1005" s="81">
        <v>61</v>
      </c>
      <c r="I1005" t="s">
        <v>12</v>
      </c>
      <c r="J1005" s="3">
        <v>694.04</v>
      </c>
    </row>
    <row r="1006" spans="1:10" x14ac:dyDescent="0.25">
      <c r="A1006" t="s">
        <v>337</v>
      </c>
      <c r="B1006" t="s">
        <v>71</v>
      </c>
      <c r="C1006" s="82" t="s">
        <v>387</v>
      </c>
      <c r="D1006">
        <v>201510</v>
      </c>
      <c r="E1006" s="1">
        <v>42276</v>
      </c>
      <c r="F1006" s="1">
        <v>42305</v>
      </c>
      <c r="G1006" t="s">
        <v>387</v>
      </c>
      <c r="H1006" s="81">
        <v>69</v>
      </c>
      <c r="I1006" t="s">
        <v>12</v>
      </c>
      <c r="J1006" s="3">
        <v>558.87</v>
      </c>
    </row>
    <row r="1007" spans="1:10" x14ac:dyDescent="0.25">
      <c r="A1007" t="s">
        <v>337</v>
      </c>
      <c r="B1007" t="s">
        <v>71</v>
      </c>
      <c r="C1007" s="82" t="s">
        <v>387</v>
      </c>
      <c r="D1007">
        <v>201511</v>
      </c>
      <c r="E1007" s="1">
        <v>42305</v>
      </c>
      <c r="F1007" s="1">
        <v>42339</v>
      </c>
      <c r="G1007" t="s">
        <v>387</v>
      </c>
      <c r="H1007" s="81">
        <v>80</v>
      </c>
      <c r="I1007" t="s">
        <v>12</v>
      </c>
      <c r="J1007" s="3">
        <v>536.19000000000005</v>
      </c>
    </row>
    <row r="1008" spans="1:10" x14ac:dyDescent="0.25">
      <c r="A1008" t="s">
        <v>337</v>
      </c>
      <c r="B1008" t="s">
        <v>71</v>
      </c>
      <c r="C1008" s="82" t="s">
        <v>387</v>
      </c>
      <c r="D1008">
        <v>201512</v>
      </c>
      <c r="E1008" s="1">
        <v>42339</v>
      </c>
      <c r="F1008" s="1">
        <v>42369</v>
      </c>
      <c r="G1008" t="s">
        <v>387</v>
      </c>
      <c r="H1008" s="81">
        <v>83</v>
      </c>
      <c r="I1008" t="s">
        <v>12</v>
      </c>
      <c r="J1008" s="3">
        <v>508.45</v>
      </c>
    </row>
    <row r="1009" spans="1:10" x14ac:dyDescent="0.25">
      <c r="A1009" t="s">
        <v>337</v>
      </c>
      <c r="B1009" t="s">
        <v>71</v>
      </c>
      <c r="C1009" s="82" t="s">
        <v>387</v>
      </c>
      <c r="D1009">
        <v>201601</v>
      </c>
      <c r="E1009" s="1">
        <v>42369</v>
      </c>
      <c r="F1009" s="1">
        <v>42401</v>
      </c>
      <c r="G1009" t="s">
        <v>387</v>
      </c>
      <c r="H1009" s="81">
        <v>125</v>
      </c>
      <c r="I1009" t="s">
        <v>12</v>
      </c>
      <c r="J1009" s="3">
        <v>665.16</v>
      </c>
    </row>
    <row r="1010" spans="1:10" x14ac:dyDescent="0.25">
      <c r="A1010" t="s">
        <v>337</v>
      </c>
      <c r="B1010" t="s">
        <v>71</v>
      </c>
      <c r="C1010" s="82" t="s">
        <v>387</v>
      </c>
      <c r="D1010">
        <v>201602</v>
      </c>
      <c r="E1010" s="1">
        <v>42401</v>
      </c>
      <c r="F1010" s="1">
        <v>42430</v>
      </c>
      <c r="G1010" t="s">
        <v>387</v>
      </c>
      <c r="H1010" s="81">
        <v>98</v>
      </c>
      <c r="I1010" t="s">
        <v>12</v>
      </c>
      <c r="J1010" s="3">
        <v>545.97</v>
      </c>
    </row>
    <row r="1011" spans="1:10" x14ac:dyDescent="0.25">
      <c r="A1011" t="s">
        <v>337</v>
      </c>
      <c r="B1011" t="s">
        <v>71</v>
      </c>
      <c r="C1011" s="82" t="s">
        <v>387</v>
      </c>
      <c r="D1011">
        <v>201603</v>
      </c>
      <c r="E1011" s="1">
        <v>42430</v>
      </c>
      <c r="F1011" s="1">
        <v>42460</v>
      </c>
      <c r="G1011" t="s">
        <v>387</v>
      </c>
      <c r="H1011" s="81">
        <v>102</v>
      </c>
      <c r="I1011" t="s">
        <v>12</v>
      </c>
      <c r="J1011" s="3">
        <v>552.35</v>
      </c>
    </row>
    <row r="1012" spans="1:10" x14ac:dyDescent="0.25">
      <c r="A1012" t="s">
        <v>337</v>
      </c>
      <c r="B1012" t="s">
        <v>71</v>
      </c>
      <c r="C1012" s="82" t="s">
        <v>387</v>
      </c>
      <c r="D1012">
        <v>201604</v>
      </c>
      <c r="E1012" s="1">
        <v>42460</v>
      </c>
      <c r="F1012" s="1">
        <v>42489</v>
      </c>
      <c r="G1012" t="s">
        <v>387</v>
      </c>
      <c r="H1012" s="81">
        <v>66</v>
      </c>
      <c r="I1012" t="s">
        <v>12</v>
      </c>
      <c r="J1012" s="3">
        <v>494.04</v>
      </c>
    </row>
    <row r="1013" spans="1:10" x14ac:dyDescent="0.25">
      <c r="A1013" t="s">
        <v>337</v>
      </c>
      <c r="B1013" t="s">
        <v>71</v>
      </c>
      <c r="C1013" s="82" t="s">
        <v>387</v>
      </c>
      <c r="D1013">
        <v>201605</v>
      </c>
      <c r="E1013" s="1">
        <v>42489</v>
      </c>
      <c r="F1013" s="1">
        <v>42521</v>
      </c>
      <c r="G1013" t="s">
        <v>387</v>
      </c>
      <c r="H1013" s="81">
        <v>44</v>
      </c>
      <c r="I1013" t="s">
        <v>12</v>
      </c>
      <c r="J1013" s="3">
        <v>405.56</v>
      </c>
    </row>
    <row r="1014" spans="1:10" x14ac:dyDescent="0.25">
      <c r="A1014" t="s">
        <v>337</v>
      </c>
      <c r="B1014" t="s">
        <v>71</v>
      </c>
      <c r="C1014" s="82" t="s">
        <v>387</v>
      </c>
      <c r="D1014">
        <v>201606</v>
      </c>
      <c r="E1014" s="1">
        <v>42521</v>
      </c>
      <c r="F1014" s="1">
        <v>42550</v>
      </c>
      <c r="G1014" t="s">
        <v>387</v>
      </c>
      <c r="H1014" s="81">
        <v>51</v>
      </c>
      <c r="I1014" t="s">
        <v>12</v>
      </c>
      <c r="J1014" s="3">
        <v>555.95000000000005</v>
      </c>
    </row>
    <row r="1015" spans="1:10" x14ac:dyDescent="0.25">
      <c r="A1015" t="s">
        <v>340</v>
      </c>
      <c r="B1015" t="s">
        <v>71</v>
      </c>
      <c r="C1015" s="82" t="s">
        <v>388</v>
      </c>
      <c r="D1015">
        <v>201507</v>
      </c>
      <c r="E1015" s="1">
        <v>42185</v>
      </c>
      <c r="F1015" s="1">
        <v>42216</v>
      </c>
      <c r="G1015" t="s">
        <v>388</v>
      </c>
      <c r="H1015" s="81">
        <v>60</v>
      </c>
      <c r="I1015" t="s">
        <v>12</v>
      </c>
      <c r="J1015" s="3">
        <v>676.75</v>
      </c>
    </row>
    <row r="1016" spans="1:10" x14ac:dyDescent="0.25">
      <c r="A1016" t="s">
        <v>340</v>
      </c>
      <c r="B1016" t="s">
        <v>71</v>
      </c>
      <c r="C1016" s="82" t="s">
        <v>388</v>
      </c>
      <c r="D1016">
        <v>201508</v>
      </c>
      <c r="E1016" s="1">
        <v>42216</v>
      </c>
      <c r="F1016" s="1">
        <v>42243</v>
      </c>
      <c r="G1016" t="s">
        <v>388</v>
      </c>
      <c r="H1016" s="81">
        <v>59</v>
      </c>
      <c r="I1016" t="s">
        <v>12</v>
      </c>
      <c r="J1016" s="3">
        <v>677.77</v>
      </c>
    </row>
    <row r="1017" spans="1:10" x14ac:dyDescent="0.25">
      <c r="A1017" t="s">
        <v>340</v>
      </c>
      <c r="B1017" t="s">
        <v>71</v>
      </c>
      <c r="C1017" s="82" t="s">
        <v>388</v>
      </c>
      <c r="D1017">
        <v>201509</v>
      </c>
      <c r="E1017" s="1">
        <v>42243</v>
      </c>
      <c r="F1017" s="1">
        <v>42276</v>
      </c>
      <c r="G1017" t="s">
        <v>388</v>
      </c>
      <c r="H1017" s="81">
        <v>73</v>
      </c>
      <c r="I1017" t="s">
        <v>12</v>
      </c>
      <c r="J1017" s="3">
        <v>830.57</v>
      </c>
    </row>
    <row r="1018" spans="1:10" x14ac:dyDescent="0.25">
      <c r="A1018" t="s">
        <v>340</v>
      </c>
      <c r="B1018" t="s">
        <v>71</v>
      </c>
      <c r="C1018" s="82" t="s">
        <v>388</v>
      </c>
      <c r="D1018">
        <v>201510</v>
      </c>
      <c r="E1018" s="1">
        <v>42276</v>
      </c>
      <c r="F1018" s="1">
        <v>42305</v>
      </c>
      <c r="G1018" t="s">
        <v>388</v>
      </c>
      <c r="H1018" s="81">
        <v>82</v>
      </c>
      <c r="I1018" t="s">
        <v>12</v>
      </c>
      <c r="J1018" s="3">
        <v>664.16</v>
      </c>
    </row>
    <row r="1019" spans="1:10" x14ac:dyDescent="0.25">
      <c r="A1019" t="s">
        <v>340</v>
      </c>
      <c r="B1019" t="s">
        <v>71</v>
      </c>
      <c r="C1019" s="82" t="s">
        <v>388</v>
      </c>
      <c r="D1019">
        <v>201511</v>
      </c>
      <c r="E1019" s="1">
        <v>42305</v>
      </c>
      <c r="F1019" s="1">
        <v>42339</v>
      </c>
      <c r="G1019" t="s">
        <v>388</v>
      </c>
      <c r="H1019" s="81">
        <v>94</v>
      </c>
      <c r="I1019" t="s">
        <v>12</v>
      </c>
      <c r="J1019" s="3">
        <v>630.02</v>
      </c>
    </row>
    <row r="1020" spans="1:10" x14ac:dyDescent="0.25">
      <c r="A1020" t="s">
        <v>340</v>
      </c>
      <c r="B1020" t="s">
        <v>71</v>
      </c>
      <c r="C1020" s="82" t="s">
        <v>388</v>
      </c>
      <c r="D1020">
        <v>201512</v>
      </c>
      <c r="E1020" s="1">
        <v>42339</v>
      </c>
      <c r="F1020" s="1">
        <v>42369</v>
      </c>
      <c r="G1020" t="s">
        <v>388</v>
      </c>
      <c r="H1020" s="81">
        <v>98</v>
      </c>
      <c r="I1020" t="s">
        <v>12</v>
      </c>
      <c r="J1020" s="3">
        <v>600.34</v>
      </c>
    </row>
    <row r="1021" spans="1:10" x14ac:dyDescent="0.25">
      <c r="A1021" t="s">
        <v>340</v>
      </c>
      <c r="B1021" t="s">
        <v>71</v>
      </c>
      <c r="C1021" s="82" t="s">
        <v>388</v>
      </c>
      <c r="D1021">
        <v>201601</v>
      </c>
      <c r="E1021" s="1">
        <v>42369</v>
      </c>
      <c r="F1021" s="1">
        <v>42401</v>
      </c>
      <c r="G1021" t="s">
        <v>388</v>
      </c>
      <c r="H1021" s="81">
        <v>148</v>
      </c>
      <c r="I1021" t="s">
        <v>12</v>
      </c>
      <c r="J1021" s="3">
        <v>787.55</v>
      </c>
    </row>
    <row r="1022" spans="1:10" x14ac:dyDescent="0.25">
      <c r="A1022" t="s">
        <v>340</v>
      </c>
      <c r="B1022" t="s">
        <v>71</v>
      </c>
      <c r="C1022" s="82" t="s">
        <v>388</v>
      </c>
      <c r="D1022">
        <v>201602</v>
      </c>
      <c r="E1022" s="1">
        <v>42401</v>
      </c>
      <c r="F1022" s="1">
        <v>42430</v>
      </c>
      <c r="G1022" t="s">
        <v>388</v>
      </c>
      <c r="H1022" s="81">
        <v>116</v>
      </c>
      <c r="I1022" t="s">
        <v>12</v>
      </c>
      <c r="J1022" s="3">
        <v>646.25</v>
      </c>
    </row>
    <row r="1023" spans="1:10" x14ac:dyDescent="0.25">
      <c r="A1023" t="s">
        <v>340</v>
      </c>
      <c r="B1023" t="s">
        <v>71</v>
      </c>
      <c r="C1023" s="82" t="s">
        <v>388</v>
      </c>
      <c r="D1023">
        <v>201603</v>
      </c>
      <c r="E1023" s="1">
        <v>42430</v>
      </c>
      <c r="F1023" s="1">
        <v>42460</v>
      </c>
      <c r="G1023" t="s">
        <v>388</v>
      </c>
      <c r="H1023" s="81">
        <v>121</v>
      </c>
      <c r="I1023" t="s">
        <v>12</v>
      </c>
      <c r="J1023" s="3">
        <v>655.24</v>
      </c>
    </row>
    <row r="1024" spans="1:10" x14ac:dyDescent="0.25">
      <c r="A1024" t="s">
        <v>340</v>
      </c>
      <c r="B1024" t="s">
        <v>71</v>
      </c>
      <c r="C1024" s="82" t="s">
        <v>388</v>
      </c>
      <c r="D1024">
        <v>201604</v>
      </c>
      <c r="E1024" s="1">
        <v>42460</v>
      </c>
      <c r="F1024" s="1">
        <v>42489</v>
      </c>
      <c r="G1024" t="s">
        <v>388</v>
      </c>
      <c r="H1024" s="81">
        <v>78</v>
      </c>
      <c r="I1024" t="s">
        <v>12</v>
      </c>
      <c r="J1024" s="3">
        <v>583.86</v>
      </c>
    </row>
    <row r="1025" spans="1:10" x14ac:dyDescent="0.25">
      <c r="A1025" t="s">
        <v>340</v>
      </c>
      <c r="B1025" t="s">
        <v>71</v>
      </c>
      <c r="C1025" s="82" t="s">
        <v>388</v>
      </c>
      <c r="D1025">
        <v>201605</v>
      </c>
      <c r="E1025" s="1">
        <v>42489</v>
      </c>
      <c r="F1025" s="1">
        <v>42521</v>
      </c>
      <c r="G1025" t="s">
        <v>388</v>
      </c>
      <c r="H1025" s="81">
        <v>52</v>
      </c>
      <c r="I1025" t="s">
        <v>12</v>
      </c>
      <c r="J1025" s="3">
        <v>479.29</v>
      </c>
    </row>
    <row r="1026" spans="1:10" x14ac:dyDescent="0.25">
      <c r="A1026" t="s">
        <v>340</v>
      </c>
      <c r="B1026" t="s">
        <v>71</v>
      </c>
      <c r="C1026" s="82" t="s">
        <v>388</v>
      </c>
      <c r="D1026">
        <v>201606</v>
      </c>
      <c r="E1026" s="1">
        <v>42521</v>
      </c>
      <c r="F1026" s="1">
        <v>42550</v>
      </c>
      <c r="G1026" t="s">
        <v>388</v>
      </c>
      <c r="H1026" s="81">
        <v>60</v>
      </c>
      <c r="I1026" t="s">
        <v>12</v>
      </c>
      <c r="J1026" s="3">
        <v>654.05999999999995</v>
      </c>
    </row>
    <row r="1027" spans="1:10" x14ac:dyDescent="0.25">
      <c r="A1027" t="s">
        <v>343</v>
      </c>
      <c r="B1027" t="s">
        <v>71</v>
      </c>
      <c r="C1027" s="82" t="s">
        <v>389</v>
      </c>
      <c r="D1027">
        <v>201507</v>
      </c>
      <c r="E1027" s="1">
        <v>42185</v>
      </c>
      <c r="F1027" s="1">
        <v>42216</v>
      </c>
      <c r="G1027" t="s">
        <v>389</v>
      </c>
      <c r="H1027" s="81">
        <v>41</v>
      </c>
      <c r="I1027" t="s">
        <v>12</v>
      </c>
      <c r="J1027" s="3">
        <v>462.45</v>
      </c>
    </row>
    <row r="1028" spans="1:10" x14ac:dyDescent="0.25">
      <c r="A1028" t="s">
        <v>343</v>
      </c>
      <c r="B1028" t="s">
        <v>71</v>
      </c>
      <c r="C1028" s="82" t="s">
        <v>389</v>
      </c>
      <c r="D1028">
        <v>201508</v>
      </c>
      <c r="E1028" s="1">
        <v>42216</v>
      </c>
      <c r="F1028" s="1">
        <v>42243</v>
      </c>
      <c r="G1028" t="s">
        <v>389</v>
      </c>
      <c r="H1028" s="81">
        <v>40</v>
      </c>
      <c r="I1028" t="s">
        <v>12</v>
      </c>
      <c r="J1028" s="3">
        <v>459.51</v>
      </c>
    </row>
    <row r="1029" spans="1:10" x14ac:dyDescent="0.25">
      <c r="A1029" t="s">
        <v>343</v>
      </c>
      <c r="B1029" t="s">
        <v>71</v>
      </c>
      <c r="C1029" s="82" t="s">
        <v>389</v>
      </c>
      <c r="D1029">
        <v>201509</v>
      </c>
      <c r="E1029" s="1">
        <v>42243</v>
      </c>
      <c r="F1029" s="1">
        <v>42276</v>
      </c>
      <c r="G1029" t="s">
        <v>389</v>
      </c>
      <c r="H1029" s="81">
        <v>49</v>
      </c>
      <c r="I1029" t="s">
        <v>12</v>
      </c>
      <c r="J1029" s="3">
        <v>557.51</v>
      </c>
    </row>
    <row r="1030" spans="1:10" x14ac:dyDescent="0.25">
      <c r="A1030" t="s">
        <v>343</v>
      </c>
      <c r="B1030" t="s">
        <v>71</v>
      </c>
      <c r="C1030" s="82" t="s">
        <v>389</v>
      </c>
      <c r="D1030">
        <v>201510</v>
      </c>
      <c r="E1030" s="1">
        <v>42276</v>
      </c>
      <c r="F1030" s="1">
        <v>42305</v>
      </c>
      <c r="G1030" t="s">
        <v>389</v>
      </c>
      <c r="H1030" s="81">
        <v>56</v>
      </c>
      <c r="I1030" t="s">
        <v>12</v>
      </c>
      <c r="J1030" s="3">
        <v>453.57</v>
      </c>
    </row>
    <row r="1031" spans="1:10" x14ac:dyDescent="0.25">
      <c r="A1031" t="s">
        <v>343</v>
      </c>
      <c r="B1031" t="s">
        <v>71</v>
      </c>
      <c r="C1031" s="82" t="s">
        <v>389</v>
      </c>
      <c r="D1031">
        <v>201511</v>
      </c>
      <c r="E1031" s="1">
        <v>42305</v>
      </c>
      <c r="F1031" s="1">
        <v>42339</v>
      </c>
      <c r="G1031" t="s">
        <v>389</v>
      </c>
      <c r="H1031" s="81">
        <v>64</v>
      </c>
      <c r="I1031" t="s">
        <v>12</v>
      </c>
      <c r="J1031" s="3">
        <v>428.95</v>
      </c>
    </row>
    <row r="1032" spans="1:10" x14ac:dyDescent="0.25">
      <c r="A1032" t="s">
        <v>343</v>
      </c>
      <c r="B1032" t="s">
        <v>71</v>
      </c>
      <c r="C1032" s="82" t="s">
        <v>389</v>
      </c>
      <c r="D1032">
        <v>201512</v>
      </c>
      <c r="E1032" s="1">
        <v>42339</v>
      </c>
      <c r="F1032" s="1">
        <v>42369</v>
      </c>
      <c r="G1032" t="s">
        <v>389</v>
      </c>
      <c r="H1032" s="81">
        <v>66</v>
      </c>
      <c r="I1032" t="s">
        <v>12</v>
      </c>
      <c r="J1032" s="3">
        <v>404.31</v>
      </c>
    </row>
    <row r="1033" spans="1:10" x14ac:dyDescent="0.25">
      <c r="A1033" t="s">
        <v>343</v>
      </c>
      <c r="B1033" t="s">
        <v>71</v>
      </c>
      <c r="C1033" s="82" t="s">
        <v>389</v>
      </c>
      <c r="D1033">
        <v>201601</v>
      </c>
      <c r="E1033" s="1">
        <v>42369</v>
      </c>
      <c r="F1033" s="1">
        <v>42401</v>
      </c>
      <c r="G1033" t="s">
        <v>389</v>
      </c>
      <c r="H1033" s="81">
        <v>100</v>
      </c>
      <c r="I1033" t="s">
        <v>12</v>
      </c>
      <c r="J1033" s="3">
        <v>532.13</v>
      </c>
    </row>
    <row r="1034" spans="1:10" x14ac:dyDescent="0.25">
      <c r="A1034" t="s">
        <v>343</v>
      </c>
      <c r="B1034" t="s">
        <v>71</v>
      </c>
      <c r="C1034" s="82" t="s">
        <v>389</v>
      </c>
      <c r="D1034">
        <v>201602</v>
      </c>
      <c r="E1034" s="1">
        <v>42401</v>
      </c>
      <c r="F1034" s="1">
        <v>42430</v>
      </c>
      <c r="G1034" t="s">
        <v>389</v>
      </c>
      <c r="H1034" s="81">
        <v>78</v>
      </c>
      <c r="I1034" t="s">
        <v>12</v>
      </c>
      <c r="J1034" s="3">
        <v>434.55</v>
      </c>
    </row>
    <row r="1035" spans="1:10" x14ac:dyDescent="0.25">
      <c r="A1035" t="s">
        <v>343</v>
      </c>
      <c r="B1035" t="s">
        <v>71</v>
      </c>
      <c r="C1035" s="82" t="s">
        <v>389</v>
      </c>
      <c r="D1035">
        <v>201603</v>
      </c>
      <c r="E1035" s="1">
        <v>42430</v>
      </c>
      <c r="F1035" s="1">
        <v>42460</v>
      </c>
      <c r="G1035" t="s">
        <v>389</v>
      </c>
      <c r="H1035" s="81">
        <v>82</v>
      </c>
      <c r="I1035" t="s">
        <v>12</v>
      </c>
      <c r="J1035" s="3">
        <v>444.05</v>
      </c>
    </row>
    <row r="1036" spans="1:10" x14ac:dyDescent="0.25">
      <c r="A1036" t="s">
        <v>343</v>
      </c>
      <c r="B1036" t="s">
        <v>71</v>
      </c>
      <c r="C1036" s="82" t="s">
        <v>389</v>
      </c>
      <c r="D1036">
        <v>201604</v>
      </c>
      <c r="E1036" s="1">
        <v>42460</v>
      </c>
      <c r="F1036" s="1">
        <v>42489</v>
      </c>
      <c r="G1036" t="s">
        <v>389</v>
      </c>
      <c r="H1036" s="81">
        <v>53</v>
      </c>
      <c r="I1036" t="s">
        <v>12</v>
      </c>
      <c r="J1036" s="3">
        <v>396.73</v>
      </c>
    </row>
    <row r="1037" spans="1:10" x14ac:dyDescent="0.25">
      <c r="A1037" t="s">
        <v>343</v>
      </c>
      <c r="B1037" t="s">
        <v>71</v>
      </c>
      <c r="C1037" s="82" t="s">
        <v>389</v>
      </c>
      <c r="D1037">
        <v>201605</v>
      </c>
      <c r="E1037" s="1">
        <v>42489</v>
      </c>
      <c r="F1037" s="1">
        <v>42521</v>
      </c>
      <c r="G1037" t="s">
        <v>389</v>
      </c>
      <c r="H1037" s="81">
        <v>35</v>
      </c>
      <c r="I1037" t="s">
        <v>12</v>
      </c>
      <c r="J1037" s="3">
        <v>322.60000000000002</v>
      </c>
    </row>
    <row r="1038" spans="1:10" x14ac:dyDescent="0.25">
      <c r="A1038" t="s">
        <v>343</v>
      </c>
      <c r="B1038" t="s">
        <v>71</v>
      </c>
      <c r="C1038" s="82" t="s">
        <v>389</v>
      </c>
      <c r="D1038">
        <v>201606</v>
      </c>
      <c r="E1038" s="1">
        <v>42521</v>
      </c>
      <c r="F1038" s="1">
        <v>42550</v>
      </c>
      <c r="G1038" t="s">
        <v>389</v>
      </c>
      <c r="H1038" s="81">
        <v>41</v>
      </c>
      <c r="I1038" t="s">
        <v>12</v>
      </c>
      <c r="J1038" s="3">
        <v>446.94</v>
      </c>
    </row>
    <row r="1039" spans="1:10" x14ac:dyDescent="0.25">
      <c r="A1039" t="s">
        <v>346</v>
      </c>
      <c r="B1039" t="s">
        <v>71</v>
      </c>
      <c r="C1039" s="82" t="s">
        <v>390</v>
      </c>
      <c r="D1039">
        <v>201507</v>
      </c>
      <c r="E1039" s="1">
        <v>42185</v>
      </c>
      <c r="F1039" s="1">
        <v>42216</v>
      </c>
      <c r="G1039" t="s">
        <v>390</v>
      </c>
      <c r="H1039" s="81">
        <v>43</v>
      </c>
      <c r="I1039" t="s">
        <v>12</v>
      </c>
      <c r="J1039" s="3">
        <v>485.01</v>
      </c>
    </row>
    <row r="1040" spans="1:10" x14ac:dyDescent="0.25">
      <c r="A1040" t="s">
        <v>346</v>
      </c>
      <c r="B1040" t="s">
        <v>71</v>
      </c>
      <c r="C1040" s="82" t="s">
        <v>390</v>
      </c>
      <c r="D1040">
        <v>201508</v>
      </c>
      <c r="E1040" s="1">
        <v>42216</v>
      </c>
      <c r="F1040" s="1">
        <v>42243</v>
      </c>
      <c r="G1040" t="s">
        <v>390</v>
      </c>
      <c r="H1040" s="81">
        <v>42</v>
      </c>
      <c r="I1040" t="s">
        <v>12</v>
      </c>
      <c r="J1040" s="3">
        <v>482.48</v>
      </c>
    </row>
    <row r="1041" spans="1:10" x14ac:dyDescent="0.25">
      <c r="A1041" t="s">
        <v>346</v>
      </c>
      <c r="B1041" t="s">
        <v>71</v>
      </c>
      <c r="C1041" s="82" t="s">
        <v>390</v>
      </c>
      <c r="D1041">
        <v>201509</v>
      </c>
      <c r="E1041" s="1">
        <v>42243</v>
      </c>
      <c r="F1041" s="1">
        <v>42276</v>
      </c>
      <c r="G1041" t="s">
        <v>390</v>
      </c>
      <c r="H1041" s="81">
        <v>52</v>
      </c>
      <c r="I1041" t="s">
        <v>12</v>
      </c>
      <c r="J1041" s="3">
        <v>591.64</v>
      </c>
    </row>
    <row r="1042" spans="1:10" x14ac:dyDescent="0.25">
      <c r="A1042" t="s">
        <v>346</v>
      </c>
      <c r="B1042" t="s">
        <v>71</v>
      </c>
      <c r="C1042" s="82" t="s">
        <v>390</v>
      </c>
      <c r="D1042">
        <v>201510</v>
      </c>
      <c r="E1042" s="1">
        <v>42276</v>
      </c>
      <c r="F1042" s="1">
        <v>42305</v>
      </c>
      <c r="G1042" t="s">
        <v>390</v>
      </c>
      <c r="H1042" s="81">
        <v>58</v>
      </c>
      <c r="I1042" t="s">
        <v>12</v>
      </c>
      <c r="J1042" s="3">
        <v>469.77</v>
      </c>
    </row>
    <row r="1043" spans="1:10" x14ac:dyDescent="0.25">
      <c r="A1043" t="s">
        <v>346</v>
      </c>
      <c r="B1043" t="s">
        <v>71</v>
      </c>
      <c r="C1043" s="82" t="s">
        <v>390</v>
      </c>
      <c r="D1043">
        <v>201511</v>
      </c>
      <c r="E1043" s="1">
        <v>42305</v>
      </c>
      <c r="F1043" s="1">
        <v>42339</v>
      </c>
      <c r="G1043" t="s">
        <v>390</v>
      </c>
      <c r="H1043" s="81">
        <v>67</v>
      </c>
      <c r="I1043" t="s">
        <v>12</v>
      </c>
      <c r="J1043" s="3">
        <v>449.06</v>
      </c>
    </row>
    <row r="1044" spans="1:10" x14ac:dyDescent="0.25">
      <c r="A1044" t="s">
        <v>346</v>
      </c>
      <c r="B1044" t="s">
        <v>71</v>
      </c>
      <c r="C1044" s="82" t="s">
        <v>390</v>
      </c>
      <c r="D1044">
        <v>201512</v>
      </c>
      <c r="E1044" s="1">
        <v>42339</v>
      </c>
      <c r="F1044" s="1">
        <v>42369</v>
      </c>
      <c r="G1044" t="s">
        <v>390</v>
      </c>
      <c r="H1044" s="81">
        <v>70</v>
      </c>
      <c r="I1044" t="s">
        <v>12</v>
      </c>
      <c r="J1044" s="3">
        <v>428.82</v>
      </c>
    </row>
    <row r="1045" spans="1:10" x14ac:dyDescent="0.25">
      <c r="A1045" t="s">
        <v>346</v>
      </c>
      <c r="B1045" t="s">
        <v>71</v>
      </c>
      <c r="C1045" s="82" t="s">
        <v>390</v>
      </c>
      <c r="D1045">
        <v>201601</v>
      </c>
      <c r="E1045" s="1">
        <v>42369</v>
      </c>
      <c r="F1045" s="1">
        <v>42401</v>
      </c>
      <c r="G1045" t="s">
        <v>390</v>
      </c>
      <c r="H1045" s="81">
        <v>105</v>
      </c>
      <c r="I1045" t="s">
        <v>12</v>
      </c>
      <c r="J1045" s="3">
        <v>558.73</v>
      </c>
    </row>
    <row r="1046" spans="1:10" x14ac:dyDescent="0.25">
      <c r="A1046" t="s">
        <v>346</v>
      </c>
      <c r="B1046" t="s">
        <v>71</v>
      </c>
      <c r="C1046" s="82" t="s">
        <v>390</v>
      </c>
      <c r="D1046">
        <v>201602</v>
      </c>
      <c r="E1046" s="1">
        <v>42401</v>
      </c>
      <c r="F1046" s="1">
        <v>42430</v>
      </c>
      <c r="G1046" t="s">
        <v>390</v>
      </c>
      <c r="H1046" s="81">
        <v>82</v>
      </c>
      <c r="I1046" t="s">
        <v>12</v>
      </c>
      <c r="J1046" s="3">
        <v>456.83</v>
      </c>
    </row>
    <row r="1047" spans="1:10" x14ac:dyDescent="0.25">
      <c r="A1047" t="s">
        <v>346</v>
      </c>
      <c r="B1047" t="s">
        <v>71</v>
      </c>
      <c r="C1047" s="82" t="s">
        <v>390</v>
      </c>
      <c r="D1047">
        <v>201603</v>
      </c>
      <c r="E1047" s="1">
        <v>42430</v>
      </c>
      <c r="F1047" s="1">
        <v>42460</v>
      </c>
      <c r="G1047" t="s">
        <v>390</v>
      </c>
      <c r="H1047" s="81">
        <v>86</v>
      </c>
      <c r="I1047" t="s">
        <v>12</v>
      </c>
      <c r="J1047" s="3">
        <v>465.71</v>
      </c>
    </row>
    <row r="1048" spans="1:10" x14ac:dyDescent="0.25">
      <c r="A1048" t="s">
        <v>346</v>
      </c>
      <c r="B1048" t="s">
        <v>71</v>
      </c>
      <c r="C1048" s="82" t="s">
        <v>390</v>
      </c>
      <c r="D1048">
        <v>201604</v>
      </c>
      <c r="E1048" s="1">
        <v>42460</v>
      </c>
      <c r="F1048" s="1">
        <v>42489</v>
      </c>
      <c r="G1048" t="s">
        <v>390</v>
      </c>
      <c r="H1048" s="81">
        <v>56</v>
      </c>
      <c r="I1048" t="s">
        <v>12</v>
      </c>
      <c r="J1048" s="3">
        <v>419.18</v>
      </c>
    </row>
    <row r="1049" spans="1:10" x14ac:dyDescent="0.25">
      <c r="A1049" t="s">
        <v>346</v>
      </c>
      <c r="B1049" t="s">
        <v>71</v>
      </c>
      <c r="C1049" s="82" t="s">
        <v>390</v>
      </c>
      <c r="D1049">
        <v>201605</v>
      </c>
      <c r="E1049" s="1">
        <v>42489</v>
      </c>
      <c r="F1049" s="1">
        <v>42521</v>
      </c>
      <c r="G1049" t="s">
        <v>390</v>
      </c>
      <c r="H1049" s="81">
        <v>37</v>
      </c>
      <c r="I1049" t="s">
        <v>12</v>
      </c>
      <c r="J1049" s="3">
        <v>341.04</v>
      </c>
    </row>
    <row r="1050" spans="1:10" x14ac:dyDescent="0.25">
      <c r="A1050" t="s">
        <v>346</v>
      </c>
      <c r="B1050" t="s">
        <v>71</v>
      </c>
      <c r="C1050" s="82" t="s">
        <v>390</v>
      </c>
      <c r="D1050">
        <v>201606</v>
      </c>
      <c r="E1050" s="1">
        <v>42521</v>
      </c>
      <c r="F1050" s="1">
        <v>42550</v>
      </c>
      <c r="G1050" t="s">
        <v>390</v>
      </c>
      <c r="H1050" s="81">
        <v>43</v>
      </c>
      <c r="I1050" t="s">
        <v>12</v>
      </c>
      <c r="J1050" s="3">
        <v>468.74</v>
      </c>
    </row>
    <row r="1051" spans="1:10" x14ac:dyDescent="0.25">
      <c r="A1051" t="s">
        <v>377</v>
      </c>
      <c r="B1051" t="s">
        <v>71</v>
      </c>
      <c r="C1051" s="82" t="s">
        <v>391</v>
      </c>
      <c r="D1051">
        <v>201507</v>
      </c>
      <c r="E1051" s="1">
        <v>42185</v>
      </c>
      <c r="F1051" s="1">
        <v>42216</v>
      </c>
      <c r="G1051" t="s">
        <v>391</v>
      </c>
      <c r="H1051" s="81">
        <v>482</v>
      </c>
      <c r="I1051" t="s">
        <v>12</v>
      </c>
      <c r="J1051" s="3">
        <v>5436.58</v>
      </c>
    </row>
    <row r="1052" spans="1:10" x14ac:dyDescent="0.25">
      <c r="A1052" t="s">
        <v>377</v>
      </c>
      <c r="B1052" t="s">
        <v>71</v>
      </c>
      <c r="C1052" s="82" t="s">
        <v>391</v>
      </c>
      <c r="D1052">
        <v>201508</v>
      </c>
      <c r="E1052" s="1">
        <v>42216</v>
      </c>
      <c r="F1052" s="1">
        <v>42243</v>
      </c>
      <c r="G1052" t="s">
        <v>391</v>
      </c>
      <c r="H1052" s="81">
        <v>478</v>
      </c>
      <c r="I1052" t="s">
        <v>12</v>
      </c>
      <c r="J1052" s="3">
        <v>5491.09</v>
      </c>
    </row>
    <row r="1053" spans="1:10" x14ac:dyDescent="0.25">
      <c r="A1053" t="s">
        <v>377</v>
      </c>
      <c r="B1053" t="s">
        <v>71</v>
      </c>
      <c r="C1053" s="82" t="s">
        <v>391</v>
      </c>
      <c r="D1053">
        <v>201509</v>
      </c>
      <c r="E1053" s="1">
        <v>42243</v>
      </c>
      <c r="F1053" s="1">
        <v>42276</v>
      </c>
      <c r="G1053" t="s">
        <v>391</v>
      </c>
      <c r="H1053" s="81">
        <v>583</v>
      </c>
      <c r="I1053" t="s">
        <v>12</v>
      </c>
      <c r="J1053" s="3">
        <v>6633.21</v>
      </c>
    </row>
    <row r="1054" spans="1:10" x14ac:dyDescent="0.25">
      <c r="A1054" t="s">
        <v>377</v>
      </c>
      <c r="B1054" t="s">
        <v>71</v>
      </c>
      <c r="C1054" s="82" t="s">
        <v>391</v>
      </c>
      <c r="D1054">
        <v>201510</v>
      </c>
      <c r="E1054" s="1">
        <v>42276</v>
      </c>
      <c r="F1054" s="1">
        <v>42305</v>
      </c>
      <c r="G1054" t="s">
        <v>391</v>
      </c>
      <c r="H1054" s="81">
        <v>659</v>
      </c>
      <c r="I1054" t="s">
        <v>12</v>
      </c>
      <c r="J1054" s="3">
        <v>5337.58</v>
      </c>
    </row>
    <row r="1055" spans="1:10" x14ac:dyDescent="0.25">
      <c r="A1055" t="s">
        <v>377</v>
      </c>
      <c r="B1055" t="s">
        <v>71</v>
      </c>
      <c r="C1055" s="82" t="s">
        <v>391</v>
      </c>
      <c r="D1055">
        <v>201511</v>
      </c>
      <c r="E1055" s="1">
        <v>42305</v>
      </c>
      <c r="F1055" s="1">
        <v>42339</v>
      </c>
      <c r="G1055" t="s">
        <v>391</v>
      </c>
      <c r="H1055" s="81">
        <v>757</v>
      </c>
      <c r="I1055" t="s">
        <v>12</v>
      </c>
      <c r="J1055" s="3">
        <v>5073.67</v>
      </c>
    </row>
    <row r="1056" spans="1:10" x14ac:dyDescent="0.25">
      <c r="A1056" t="s">
        <v>377</v>
      </c>
      <c r="B1056" t="s">
        <v>71</v>
      </c>
      <c r="C1056" s="82" t="s">
        <v>391</v>
      </c>
      <c r="D1056">
        <v>201512</v>
      </c>
      <c r="E1056" s="1">
        <v>42339</v>
      </c>
      <c r="F1056" s="1">
        <v>42369</v>
      </c>
      <c r="G1056" t="s">
        <v>391</v>
      </c>
      <c r="H1056" s="81">
        <v>789</v>
      </c>
      <c r="I1056" t="s">
        <v>12</v>
      </c>
      <c r="J1056" s="3">
        <v>4833.38</v>
      </c>
    </row>
    <row r="1057" spans="1:10" x14ac:dyDescent="0.25">
      <c r="A1057" t="s">
        <v>377</v>
      </c>
      <c r="B1057" t="s">
        <v>71</v>
      </c>
      <c r="C1057" s="82" t="s">
        <v>391</v>
      </c>
      <c r="D1057">
        <v>201601</v>
      </c>
      <c r="E1057" s="1">
        <v>42369</v>
      </c>
      <c r="F1057" s="1">
        <v>42401</v>
      </c>
      <c r="G1057" t="s">
        <v>391</v>
      </c>
      <c r="H1057" s="81">
        <v>1192</v>
      </c>
      <c r="I1057" t="s">
        <v>12</v>
      </c>
      <c r="J1057" s="3">
        <v>6342.96</v>
      </c>
    </row>
    <row r="1058" spans="1:10" x14ac:dyDescent="0.25">
      <c r="A1058" t="s">
        <v>377</v>
      </c>
      <c r="B1058" t="s">
        <v>71</v>
      </c>
      <c r="C1058" s="82" t="s">
        <v>391</v>
      </c>
      <c r="D1058">
        <v>201602</v>
      </c>
      <c r="E1058" s="1">
        <v>42401</v>
      </c>
      <c r="F1058" s="1">
        <v>42430</v>
      </c>
      <c r="G1058" t="s">
        <v>391</v>
      </c>
      <c r="H1058" s="81">
        <v>931</v>
      </c>
      <c r="I1058" t="s">
        <v>12</v>
      </c>
      <c r="J1058" s="3">
        <v>5186.7</v>
      </c>
    </row>
    <row r="1059" spans="1:10" x14ac:dyDescent="0.25">
      <c r="A1059" t="s">
        <v>377</v>
      </c>
      <c r="B1059" t="s">
        <v>71</v>
      </c>
      <c r="C1059" s="82" t="s">
        <v>391</v>
      </c>
      <c r="D1059">
        <v>201603</v>
      </c>
      <c r="E1059" s="1">
        <v>42430</v>
      </c>
      <c r="F1059" s="1">
        <v>42460</v>
      </c>
      <c r="G1059" t="s">
        <v>391</v>
      </c>
      <c r="H1059" s="81">
        <v>969</v>
      </c>
      <c r="I1059" t="s">
        <v>12</v>
      </c>
      <c r="J1059" s="3">
        <v>5247.33</v>
      </c>
    </row>
    <row r="1060" spans="1:10" x14ac:dyDescent="0.25">
      <c r="A1060" t="s">
        <v>377</v>
      </c>
      <c r="B1060" t="s">
        <v>71</v>
      </c>
      <c r="C1060" s="82" t="s">
        <v>391</v>
      </c>
      <c r="D1060">
        <v>201604</v>
      </c>
      <c r="E1060" s="1">
        <v>42460</v>
      </c>
      <c r="F1060" s="1">
        <v>42489</v>
      </c>
      <c r="G1060" t="s">
        <v>391</v>
      </c>
      <c r="H1060" s="81">
        <v>629</v>
      </c>
      <c r="I1060" t="s">
        <v>12</v>
      </c>
      <c r="J1060" s="3">
        <v>4708.33</v>
      </c>
    </row>
    <row r="1061" spans="1:10" x14ac:dyDescent="0.25">
      <c r="A1061" t="s">
        <v>377</v>
      </c>
      <c r="B1061" t="s">
        <v>71</v>
      </c>
      <c r="C1061" s="82" t="s">
        <v>391</v>
      </c>
      <c r="D1061">
        <v>201605</v>
      </c>
      <c r="E1061" s="1">
        <v>42489</v>
      </c>
      <c r="F1061" s="1">
        <v>42521</v>
      </c>
      <c r="G1061" t="s">
        <v>391</v>
      </c>
      <c r="H1061" s="81">
        <v>419</v>
      </c>
      <c r="I1061" t="s">
        <v>12</v>
      </c>
      <c r="J1061" s="3">
        <v>3861.99</v>
      </c>
    </row>
    <row r="1062" spans="1:10" x14ac:dyDescent="0.25">
      <c r="A1062" t="s">
        <v>377</v>
      </c>
      <c r="B1062" t="s">
        <v>71</v>
      </c>
      <c r="C1062" s="82" t="s">
        <v>391</v>
      </c>
      <c r="D1062">
        <v>201606</v>
      </c>
      <c r="E1062" s="1">
        <v>42521</v>
      </c>
      <c r="F1062" s="1">
        <v>42550</v>
      </c>
      <c r="G1062" t="s">
        <v>391</v>
      </c>
      <c r="H1062" s="81">
        <v>483</v>
      </c>
      <c r="I1062" t="s">
        <v>12</v>
      </c>
      <c r="J1062" s="3">
        <v>5265.16</v>
      </c>
    </row>
    <row r="1063" spans="1:10" x14ac:dyDescent="0.25">
      <c r="A1063" t="s">
        <v>352</v>
      </c>
      <c r="B1063" t="s">
        <v>71</v>
      </c>
      <c r="C1063" s="82" t="s">
        <v>392</v>
      </c>
      <c r="D1063">
        <v>201507</v>
      </c>
      <c r="E1063" s="1">
        <v>42185</v>
      </c>
      <c r="F1063" s="1">
        <v>42216</v>
      </c>
      <c r="G1063" t="s">
        <v>392</v>
      </c>
      <c r="H1063" s="81">
        <v>44</v>
      </c>
      <c r="I1063" t="s">
        <v>12</v>
      </c>
      <c r="J1063" s="3">
        <v>496.29</v>
      </c>
    </row>
    <row r="1064" spans="1:10" x14ac:dyDescent="0.25">
      <c r="A1064" t="s">
        <v>352</v>
      </c>
      <c r="B1064" t="s">
        <v>71</v>
      </c>
      <c r="C1064" s="82" t="s">
        <v>392</v>
      </c>
      <c r="D1064">
        <v>201508</v>
      </c>
      <c r="E1064" s="1">
        <v>42216</v>
      </c>
      <c r="F1064" s="1">
        <v>42243</v>
      </c>
      <c r="G1064" t="s">
        <v>392</v>
      </c>
      <c r="H1064" s="81">
        <v>44</v>
      </c>
      <c r="I1064" t="s">
        <v>12</v>
      </c>
      <c r="J1064" s="3">
        <v>505.46</v>
      </c>
    </row>
    <row r="1065" spans="1:10" x14ac:dyDescent="0.25">
      <c r="A1065" t="s">
        <v>352</v>
      </c>
      <c r="B1065" t="s">
        <v>71</v>
      </c>
      <c r="C1065" s="82" t="s">
        <v>392</v>
      </c>
      <c r="D1065">
        <v>201509</v>
      </c>
      <c r="E1065" s="1">
        <v>42243</v>
      </c>
      <c r="F1065" s="1">
        <v>42276</v>
      </c>
      <c r="G1065" t="s">
        <v>392</v>
      </c>
      <c r="H1065" s="81">
        <v>54</v>
      </c>
      <c r="I1065" t="s">
        <v>12</v>
      </c>
      <c r="J1065" s="3">
        <v>614.4</v>
      </c>
    </row>
    <row r="1066" spans="1:10" x14ac:dyDescent="0.25">
      <c r="A1066" t="s">
        <v>352</v>
      </c>
      <c r="B1066" t="s">
        <v>71</v>
      </c>
      <c r="C1066" s="82" t="s">
        <v>392</v>
      </c>
      <c r="D1066">
        <v>201510</v>
      </c>
      <c r="E1066" s="1">
        <v>42276</v>
      </c>
      <c r="F1066" s="1">
        <v>42305</v>
      </c>
      <c r="G1066" t="s">
        <v>392</v>
      </c>
      <c r="H1066" s="81">
        <v>61</v>
      </c>
      <c r="I1066" t="s">
        <v>12</v>
      </c>
      <c r="J1066" s="3">
        <v>494.07</v>
      </c>
    </row>
    <row r="1067" spans="1:10" x14ac:dyDescent="0.25">
      <c r="A1067" t="s">
        <v>352</v>
      </c>
      <c r="B1067" t="s">
        <v>71</v>
      </c>
      <c r="C1067" s="82" t="s">
        <v>392</v>
      </c>
      <c r="D1067">
        <v>201511</v>
      </c>
      <c r="E1067" s="1">
        <v>42305</v>
      </c>
      <c r="F1067" s="1">
        <v>42339</v>
      </c>
      <c r="G1067" t="s">
        <v>392</v>
      </c>
      <c r="H1067" s="81">
        <v>69</v>
      </c>
      <c r="I1067" t="s">
        <v>12</v>
      </c>
      <c r="J1067" s="3">
        <v>462.46</v>
      </c>
    </row>
    <row r="1068" spans="1:10" x14ac:dyDescent="0.25">
      <c r="A1068" t="s">
        <v>352</v>
      </c>
      <c r="B1068" t="s">
        <v>71</v>
      </c>
      <c r="C1068" s="82" t="s">
        <v>392</v>
      </c>
      <c r="D1068">
        <v>201512</v>
      </c>
      <c r="E1068" s="1">
        <v>42339</v>
      </c>
      <c r="F1068" s="1">
        <v>42369</v>
      </c>
      <c r="G1068" t="s">
        <v>392</v>
      </c>
      <c r="H1068" s="81">
        <v>72</v>
      </c>
      <c r="I1068" t="s">
        <v>12</v>
      </c>
      <c r="J1068" s="3">
        <v>441.07</v>
      </c>
    </row>
    <row r="1069" spans="1:10" x14ac:dyDescent="0.25">
      <c r="A1069" t="s">
        <v>352</v>
      </c>
      <c r="B1069" t="s">
        <v>71</v>
      </c>
      <c r="C1069" s="82" t="s">
        <v>392</v>
      </c>
      <c r="D1069">
        <v>201601</v>
      </c>
      <c r="E1069" s="1">
        <v>42369</v>
      </c>
      <c r="F1069" s="1">
        <v>42401</v>
      </c>
      <c r="G1069" t="s">
        <v>392</v>
      </c>
      <c r="H1069" s="81">
        <v>109</v>
      </c>
      <c r="I1069" t="s">
        <v>12</v>
      </c>
      <c r="J1069" s="3">
        <v>580.02</v>
      </c>
    </row>
    <row r="1070" spans="1:10" x14ac:dyDescent="0.25">
      <c r="A1070" t="s">
        <v>352</v>
      </c>
      <c r="B1070" t="s">
        <v>71</v>
      </c>
      <c r="C1070" s="82" t="s">
        <v>392</v>
      </c>
      <c r="D1070">
        <v>201602</v>
      </c>
      <c r="E1070" s="1">
        <v>42401</v>
      </c>
      <c r="F1070" s="1">
        <v>42430</v>
      </c>
      <c r="G1070" t="s">
        <v>392</v>
      </c>
      <c r="H1070" s="81">
        <v>85</v>
      </c>
      <c r="I1070" t="s">
        <v>12</v>
      </c>
      <c r="J1070" s="3">
        <v>473.54</v>
      </c>
    </row>
    <row r="1071" spans="1:10" x14ac:dyDescent="0.25">
      <c r="A1071" t="s">
        <v>352</v>
      </c>
      <c r="B1071" t="s">
        <v>71</v>
      </c>
      <c r="C1071" s="82" t="s">
        <v>392</v>
      </c>
      <c r="D1071">
        <v>201603</v>
      </c>
      <c r="E1071" s="1">
        <v>42430</v>
      </c>
      <c r="F1071" s="1">
        <v>42460</v>
      </c>
      <c r="G1071" t="s">
        <v>392</v>
      </c>
      <c r="H1071" s="81">
        <v>89</v>
      </c>
      <c r="I1071" t="s">
        <v>12</v>
      </c>
      <c r="J1071" s="3">
        <v>481.95</v>
      </c>
    </row>
    <row r="1072" spans="1:10" x14ac:dyDescent="0.25">
      <c r="A1072" t="s">
        <v>352</v>
      </c>
      <c r="B1072" t="s">
        <v>71</v>
      </c>
      <c r="C1072" s="82" t="s">
        <v>392</v>
      </c>
      <c r="D1072">
        <v>201604</v>
      </c>
      <c r="E1072" s="1">
        <v>42460</v>
      </c>
      <c r="F1072" s="1">
        <v>42489</v>
      </c>
      <c r="G1072" t="s">
        <v>392</v>
      </c>
      <c r="H1072" s="81">
        <v>58</v>
      </c>
      <c r="I1072" t="s">
        <v>12</v>
      </c>
      <c r="J1072" s="3">
        <v>434.15</v>
      </c>
    </row>
    <row r="1073" spans="1:10" x14ac:dyDescent="0.25">
      <c r="A1073" t="s">
        <v>352</v>
      </c>
      <c r="B1073" t="s">
        <v>71</v>
      </c>
      <c r="C1073" s="82" t="s">
        <v>392</v>
      </c>
      <c r="D1073">
        <v>201605</v>
      </c>
      <c r="E1073" s="1">
        <v>42489</v>
      </c>
      <c r="F1073" s="1">
        <v>42521</v>
      </c>
      <c r="G1073" t="s">
        <v>392</v>
      </c>
      <c r="H1073" s="81">
        <v>38</v>
      </c>
      <c r="I1073" t="s">
        <v>12</v>
      </c>
      <c r="J1073" s="3">
        <v>350.25</v>
      </c>
    </row>
    <row r="1074" spans="1:10" x14ac:dyDescent="0.25">
      <c r="A1074" t="s">
        <v>352</v>
      </c>
      <c r="B1074" t="s">
        <v>71</v>
      </c>
      <c r="C1074" s="82" t="s">
        <v>392</v>
      </c>
      <c r="D1074">
        <v>201606</v>
      </c>
      <c r="E1074" s="1">
        <v>42521</v>
      </c>
      <c r="F1074" s="1">
        <v>42550</v>
      </c>
      <c r="G1074" t="s">
        <v>392</v>
      </c>
      <c r="H1074" s="81">
        <v>44</v>
      </c>
      <c r="I1074" t="s">
        <v>12</v>
      </c>
      <c r="J1074" s="3">
        <v>479.64</v>
      </c>
    </row>
    <row r="1075" spans="1:10" x14ac:dyDescent="0.25">
      <c r="A1075" t="s">
        <v>393</v>
      </c>
      <c r="B1075" t="s">
        <v>71</v>
      </c>
      <c r="C1075" s="82" t="s">
        <v>394</v>
      </c>
      <c r="D1075">
        <v>201507</v>
      </c>
      <c r="E1075" s="1">
        <v>42185</v>
      </c>
      <c r="F1075" s="1">
        <v>42216</v>
      </c>
      <c r="G1075" t="s">
        <v>394</v>
      </c>
      <c r="H1075" s="81">
        <v>65</v>
      </c>
      <c r="I1075" t="s">
        <v>12</v>
      </c>
      <c r="J1075" s="3">
        <v>733.15</v>
      </c>
    </row>
    <row r="1076" spans="1:10" x14ac:dyDescent="0.25">
      <c r="A1076" t="s">
        <v>393</v>
      </c>
      <c r="B1076" t="s">
        <v>71</v>
      </c>
      <c r="C1076" s="82" t="s">
        <v>394</v>
      </c>
      <c r="D1076">
        <v>201508</v>
      </c>
      <c r="E1076" s="1">
        <v>42216</v>
      </c>
      <c r="F1076" s="1">
        <v>42243</v>
      </c>
      <c r="G1076" t="s">
        <v>394</v>
      </c>
      <c r="H1076" s="81">
        <v>65</v>
      </c>
      <c r="I1076" t="s">
        <v>12</v>
      </c>
      <c r="J1076" s="3">
        <v>746.7</v>
      </c>
    </row>
    <row r="1077" spans="1:10" x14ac:dyDescent="0.25">
      <c r="A1077" t="s">
        <v>393</v>
      </c>
      <c r="B1077" t="s">
        <v>71</v>
      </c>
      <c r="C1077" s="82" t="s">
        <v>394</v>
      </c>
      <c r="D1077">
        <v>201509</v>
      </c>
      <c r="E1077" s="1">
        <v>42243</v>
      </c>
      <c r="F1077" s="1">
        <v>42276</v>
      </c>
      <c r="G1077" t="s">
        <v>394</v>
      </c>
      <c r="H1077" s="81">
        <v>79</v>
      </c>
      <c r="I1077" t="s">
        <v>12</v>
      </c>
      <c r="J1077" s="3">
        <v>898.84</v>
      </c>
    </row>
    <row r="1078" spans="1:10" x14ac:dyDescent="0.25">
      <c r="A1078" t="s">
        <v>393</v>
      </c>
      <c r="B1078" t="s">
        <v>71</v>
      </c>
      <c r="C1078" s="82" t="s">
        <v>394</v>
      </c>
      <c r="D1078">
        <v>201510</v>
      </c>
      <c r="E1078" s="1">
        <v>42276</v>
      </c>
      <c r="F1078" s="1">
        <v>42305</v>
      </c>
      <c r="G1078" t="s">
        <v>394</v>
      </c>
      <c r="H1078" s="81">
        <v>89</v>
      </c>
      <c r="I1078" t="s">
        <v>12</v>
      </c>
      <c r="J1078" s="3">
        <v>720.86</v>
      </c>
    </row>
    <row r="1079" spans="1:10" x14ac:dyDescent="0.25">
      <c r="A1079" t="s">
        <v>393</v>
      </c>
      <c r="B1079" t="s">
        <v>71</v>
      </c>
      <c r="C1079" s="82" t="s">
        <v>394</v>
      </c>
      <c r="D1079">
        <v>201511</v>
      </c>
      <c r="E1079" s="1">
        <v>42305</v>
      </c>
      <c r="F1079" s="1">
        <v>42339</v>
      </c>
      <c r="G1079" t="s">
        <v>394</v>
      </c>
      <c r="H1079" s="81">
        <v>103</v>
      </c>
      <c r="I1079" t="s">
        <v>12</v>
      </c>
      <c r="J1079" s="3">
        <v>690.34</v>
      </c>
    </row>
    <row r="1080" spans="1:10" x14ac:dyDescent="0.25">
      <c r="A1080" t="s">
        <v>393</v>
      </c>
      <c r="B1080" t="s">
        <v>71</v>
      </c>
      <c r="C1080" s="82" t="s">
        <v>394</v>
      </c>
      <c r="D1080">
        <v>201512</v>
      </c>
      <c r="E1080" s="1">
        <v>42339</v>
      </c>
      <c r="F1080" s="1">
        <v>42369</v>
      </c>
      <c r="G1080" t="s">
        <v>394</v>
      </c>
      <c r="H1080" s="81">
        <v>107</v>
      </c>
      <c r="I1080" t="s">
        <v>12</v>
      </c>
      <c r="J1080" s="3">
        <v>655.48</v>
      </c>
    </row>
    <row r="1081" spans="1:10" x14ac:dyDescent="0.25">
      <c r="A1081" t="s">
        <v>393</v>
      </c>
      <c r="B1081" t="s">
        <v>71</v>
      </c>
      <c r="C1081" s="82" t="s">
        <v>394</v>
      </c>
      <c r="D1081">
        <v>201601</v>
      </c>
      <c r="E1081" s="1">
        <v>42369</v>
      </c>
      <c r="F1081" s="1">
        <v>42401</v>
      </c>
      <c r="G1081" t="s">
        <v>394</v>
      </c>
      <c r="H1081" s="81">
        <v>162</v>
      </c>
      <c r="I1081" t="s">
        <v>12</v>
      </c>
      <c r="J1081" s="3">
        <v>862.05</v>
      </c>
    </row>
    <row r="1082" spans="1:10" x14ac:dyDescent="0.25">
      <c r="A1082" t="s">
        <v>393</v>
      </c>
      <c r="B1082" t="s">
        <v>71</v>
      </c>
      <c r="C1082" s="82" t="s">
        <v>394</v>
      </c>
      <c r="D1082">
        <v>201602</v>
      </c>
      <c r="E1082" s="1">
        <v>42401</v>
      </c>
      <c r="F1082" s="1">
        <v>42430</v>
      </c>
      <c r="G1082" t="s">
        <v>394</v>
      </c>
      <c r="H1082" s="81">
        <v>126</v>
      </c>
      <c r="I1082" t="s">
        <v>12</v>
      </c>
      <c r="J1082" s="3">
        <v>701.96</v>
      </c>
    </row>
    <row r="1083" spans="1:10" x14ac:dyDescent="0.25">
      <c r="A1083" t="s">
        <v>393</v>
      </c>
      <c r="B1083" t="s">
        <v>71</v>
      </c>
      <c r="C1083" s="82" t="s">
        <v>394</v>
      </c>
      <c r="D1083">
        <v>201603</v>
      </c>
      <c r="E1083" s="1">
        <v>42430</v>
      </c>
      <c r="F1083" s="1">
        <v>42460</v>
      </c>
      <c r="G1083" t="s">
        <v>394</v>
      </c>
      <c r="H1083" s="81">
        <v>131</v>
      </c>
      <c r="I1083" t="s">
        <v>12</v>
      </c>
      <c r="J1083" s="3">
        <v>709.39</v>
      </c>
    </row>
    <row r="1084" spans="1:10" x14ac:dyDescent="0.25">
      <c r="A1084" t="s">
        <v>393</v>
      </c>
      <c r="B1084" t="s">
        <v>71</v>
      </c>
      <c r="C1084" s="82" t="s">
        <v>394</v>
      </c>
      <c r="D1084">
        <v>201604</v>
      </c>
      <c r="E1084" s="1">
        <v>42460</v>
      </c>
      <c r="F1084" s="1">
        <v>42489</v>
      </c>
      <c r="G1084" t="s">
        <v>394</v>
      </c>
      <c r="H1084" s="81">
        <v>85</v>
      </c>
      <c r="I1084" t="s">
        <v>12</v>
      </c>
      <c r="J1084" s="3">
        <v>636.26</v>
      </c>
    </row>
    <row r="1085" spans="1:10" x14ac:dyDescent="0.25">
      <c r="A1085" t="s">
        <v>393</v>
      </c>
      <c r="B1085" t="s">
        <v>71</v>
      </c>
      <c r="C1085" s="82" t="s">
        <v>394</v>
      </c>
      <c r="D1085">
        <v>201605</v>
      </c>
      <c r="E1085" s="1">
        <v>42489</v>
      </c>
      <c r="F1085" s="1">
        <v>42521</v>
      </c>
      <c r="G1085" t="s">
        <v>394</v>
      </c>
      <c r="H1085" s="81">
        <v>57</v>
      </c>
      <c r="I1085" t="s">
        <v>12</v>
      </c>
      <c r="J1085" s="3">
        <v>525.38</v>
      </c>
    </row>
    <row r="1086" spans="1:10" x14ac:dyDescent="0.25">
      <c r="A1086" t="s">
        <v>393</v>
      </c>
      <c r="B1086" t="s">
        <v>71</v>
      </c>
      <c r="C1086" s="82" t="s">
        <v>394</v>
      </c>
      <c r="D1086">
        <v>201606</v>
      </c>
      <c r="E1086" s="1">
        <v>42521</v>
      </c>
      <c r="F1086" s="1">
        <v>42550</v>
      </c>
      <c r="G1086" t="s">
        <v>394</v>
      </c>
      <c r="H1086" s="81">
        <v>65</v>
      </c>
      <c r="I1086" t="s">
        <v>12</v>
      </c>
      <c r="J1086" s="3">
        <v>708.56</v>
      </c>
    </row>
    <row r="1087" spans="1:10" x14ac:dyDescent="0.25">
      <c r="A1087" t="s">
        <v>355</v>
      </c>
      <c r="B1087" t="s">
        <v>71</v>
      </c>
      <c r="C1087" s="82" t="s">
        <v>395</v>
      </c>
      <c r="D1087">
        <v>201507</v>
      </c>
      <c r="E1087" s="1">
        <v>42185</v>
      </c>
      <c r="F1087" s="1">
        <v>42216</v>
      </c>
      <c r="G1087" t="s">
        <v>395</v>
      </c>
      <c r="H1087" s="81">
        <v>66</v>
      </c>
      <c r="I1087" t="s">
        <v>12</v>
      </c>
      <c r="J1087" s="3">
        <v>744.43</v>
      </c>
    </row>
    <row r="1088" spans="1:10" x14ac:dyDescent="0.25">
      <c r="A1088" t="s">
        <v>355</v>
      </c>
      <c r="B1088" t="s">
        <v>71</v>
      </c>
      <c r="C1088" s="82" t="s">
        <v>395</v>
      </c>
      <c r="D1088">
        <v>201508</v>
      </c>
      <c r="E1088" s="1">
        <v>42216</v>
      </c>
      <c r="F1088" s="1">
        <v>42243</v>
      </c>
      <c r="G1088" t="s">
        <v>395</v>
      </c>
      <c r="H1088" s="81">
        <v>66</v>
      </c>
      <c r="I1088" t="s">
        <v>12</v>
      </c>
      <c r="J1088" s="3">
        <v>758.18</v>
      </c>
    </row>
    <row r="1089" spans="1:10" x14ac:dyDescent="0.25">
      <c r="A1089" t="s">
        <v>355</v>
      </c>
      <c r="B1089" t="s">
        <v>71</v>
      </c>
      <c r="C1089" s="82" t="s">
        <v>395</v>
      </c>
      <c r="D1089">
        <v>201509</v>
      </c>
      <c r="E1089" s="1">
        <v>42243</v>
      </c>
      <c r="F1089" s="1">
        <v>42276</v>
      </c>
      <c r="G1089" t="s">
        <v>395</v>
      </c>
      <c r="H1089" s="81">
        <v>80</v>
      </c>
      <c r="I1089" t="s">
        <v>12</v>
      </c>
      <c r="J1089" s="3">
        <v>910.22</v>
      </c>
    </row>
    <row r="1090" spans="1:10" x14ac:dyDescent="0.25">
      <c r="A1090" t="s">
        <v>355</v>
      </c>
      <c r="B1090" t="s">
        <v>71</v>
      </c>
      <c r="C1090" s="82" t="s">
        <v>395</v>
      </c>
      <c r="D1090">
        <v>201510</v>
      </c>
      <c r="E1090" s="1">
        <v>42276</v>
      </c>
      <c r="F1090" s="1">
        <v>42305</v>
      </c>
      <c r="G1090" t="s">
        <v>395</v>
      </c>
      <c r="H1090" s="81">
        <v>90</v>
      </c>
      <c r="I1090" t="s">
        <v>12</v>
      </c>
      <c r="J1090" s="3">
        <v>728.96</v>
      </c>
    </row>
    <row r="1091" spans="1:10" x14ac:dyDescent="0.25">
      <c r="A1091" t="s">
        <v>355</v>
      </c>
      <c r="B1091" t="s">
        <v>71</v>
      </c>
      <c r="C1091" s="82" t="s">
        <v>395</v>
      </c>
      <c r="D1091">
        <v>201511</v>
      </c>
      <c r="E1091" s="1">
        <v>42305</v>
      </c>
      <c r="F1091" s="1">
        <v>42339</v>
      </c>
      <c r="G1091" t="s">
        <v>395</v>
      </c>
      <c r="H1091" s="81">
        <v>104</v>
      </c>
      <c r="I1091" t="s">
        <v>12</v>
      </c>
      <c r="J1091" s="3">
        <v>697.04</v>
      </c>
    </row>
    <row r="1092" spans="1:10" x14ac:dyDescent="0.25">
      <c r="A1092" t="s">
        <v>355</v>
      </c>
      <c r="B1092" t="s">
        <v>71</v>
      </c>
      <c r="C1092" s="82" t="s">
        <v>395</v>
      </c>
      <c r="D1092">
        <v>201512</v>
      </c>
      <c r="E1092" s="1">
        <v>42339</v>
      </c>
      <c r="F1092" s="1">
        <v>42369</v>
      </c>
      <c r="G1092" t="s">
        <v>395</v>
      </c>
      <c r="H1092" s="81">
        <v>108</v>
      </c>
      <c r="I1092" t="s">
        <v>12</v>
      </c>
      <c r="J1092" s="3">
        <v>661.6</v>
      </c>
    </row>
    <row r="1093" spans="1:10" x14ac:dyDescent="0.25">
      <c r="A1093" t="s">
        <v>355</v>
      </c>
      <c r="B1093" t="s">
        <v>71</v>
      </c>
      <c r="C1093" s="82" t="s">
        <v>395</v>
      </c>
      <c r="D1093">
        <v>201601</v>
      </c>
      <c r="E1093" s="1">
        <v>42369</v>
      </c>
      <c r="F1093" s="1">
        <v>42401</v>
      </c>
      <c r="G1093" t="s">
        <v>395</v>
      </c>
      <c r="H1093" s="81">
        <v>164</v>
      </c>
      <c r="I1093" t="s">
        <v>12</v>
      </c>
      <c r="J1093" s="3">
        <v>872.69</v>
      </c>
    </row>
    <row r="1094" spans="1:10" x14ac:dyDescent="0.25">
      <c r="A1094" t="s">
        <v>355</v>
      </c>
      <c r="B1094" t="s">
        <v>71</v>
      </c>
      <c r="C1094" s="82" t="s">
        <v>395</v>
      </c>
      <c r="D1094">
        <v>201602</v>
      </c>
      <c r="E1094" s="1">
        <v>42401</v>
      </c>
      <c r="F1094" s="1">
        <v>42430</v>
      </c>
      <c r="G1094" t="s">
        <v>395</v>
      </c>
      <c r="H1094" s="81">
        <v>128</v>
      </c>
      <c r="I1094" t="s">
        <v>12</v>
      </c>
      <c r="J1094" s="3">
        <v>713.1</v>
      </c>
    </row>
    <row r="1095" spans="1:10" x14ac:dyDescent="0.25">
      <c r="A1095" t="s">
        <v>355</v>
      </c>
      <c r="B1095" t="s">
        <v>71</v>
      </c>
      <c r="C1095" s="82" t="s">
        <v>395</v>
      </c>
      <c r="D1095">
        <v>201603</v>
      </c>
      <c r="E1095" s="1">
        <v>42430</v>
      </c>
      <c r="F1095" s="1">
        <v>42460</v>
      </c>
      <c r="G1095" t="s">
        <v>395</v>
      </c>
      <c r="H1095" s="81">
        <v>133</v>
      </c>
      <c r="I1095" t="s">
        <v>12</v>
      </c>
      <c r="J1095" s="3">
        <v>720.22</v>
      </c>
    </row>
    <row r="1096" spans="1:10" x14ac:dyDescent="0.25">
      <c r="A1096" t="s">
        <v>355</v>
      </c>
      <c r="B1096" t="s">
        <v>71</v>
      </c>
      <c r="C1096" s="82" t="s">
        <v>395</v>
      </c>
      <c r="D1096">
        <v>201604</v>
      </c>
      <c r="E1096" s="1">
        <v>42460</v>
      </c>
      <c r="F1096" s="1">
        <v>42489</v>
      </c>
      <c r="G1096" t="s">
        <v>395</v>
      </c>
      <c r="H1096" s="81">
        <v>86</v>
      </c>
      <c r="I1096" t="s">
        <v>12</v>
      </c>
      <c r="J1096" s="3">
        <v>643.75</v>
      </c>
    </row>
    <row r="1097" spans="1:10" x14ac:dyDescent="0.25">
      <c r="A1097" t="s">
        <v>355</v>
      </c>
      <c r="B1097" t="s">
        <v>71</v>
      </c>
      <c r="C1097" s="82" t="s">
        <v>395</v>
      </c>
      <c r="D1097">
        <v>201605</v>
      </c>
      <c r="E1097" s="1">
        <v>42489</v>
      </c>
      <c r="F1097" s="1">
        <v>42521</v>
      </c>
      <c r="G1097" t="s">
        <v>395</v>
      </c>
      <c r="H1097" s="81">
        <v>58</v>
      </c>
      <c r="I1097" t="s">
        <v>12</v>
      </c>
      <c r="J1097" s="3">
        <v>534.6</v>
      </c>
    </row>
    <row r="1098" spans="1:10" x14ac:dyDescent="0.25">
      <c r="A1098" t="s">
        <v>355</v>
      </c>
      <c r="B1098" t="s">
        <v>71</v>
      </c>
      <c r="C1098" s="82" t="s">
        <v>395</v>
      </c>
      <c r="D1098">
        <v>201606</v>
      </c>
      <c r="E1098" s="1">
        <v>42521</v>
      </c>
      <c r="F1098" s="1">
        <v>42550</v>
      </c>
      <c r="G1098" t="s">
        <v>395</v>
      </c>
      <c r="H1098" s="81">
        <v>66</v>
      </c>
      <c r="I1098" t="s">
        <v>12</v>
      </c>
      <c r="J1098" s="3">
        <v>719.46</v>
      </c>
    </row>
    <row r="1099" spans="1:10" x14ac:dyDescent="0.25">
      <c r="A1099" t="s">
        <v>358</v>
      </c>
      <c r="B1099" t="s">
        <v>71</v>
      </c>
      <c r="C1099" s="82" t="s">
        <v>396</v>
      </c>
      <c r="D1099">
        <v>201507</v>
      </c>
      <c r="E1099" s="1">
        <v>42185</v>
      </c>
      <c r="F1099" s="1">
        <v>42216</v>
      </c>
      <c r="G1099" t="s">
        <v>396</v>
      </c>
      <c r="H1099" s="81">
        <v>65</v>
      </c>
      <c r="I1099" t="s">
        <v>12</v>
      </c>
      <c r="J1099" s="3">
        <v>733.15</v>
      </c>
    </row>
    <row r="1100" spans="1:10" x14ac:dyDescent="0.25">
      <c r="A1100" t="s">
        <v>358</v>
      </c>
      <c r="B1100" t="s">
        <v>71</v>
      </c>
      <c r="C1100" s="82" t="s">
        <v>396</v>
      </c>
      <c r="D1100">
        <v>201508</v>
      </c>
      <c r="E1100" s="1">
        <v>42216</v>
      </c>
      <c r="F1100" s="1">
        <v>42243</v>
      </c>
      <c r="G1100" t="s">
        <v>396</v>
      </c>
      <c r="H1100" s="81">
        <v>65</v>
      </c>
      <c r="I1100" t="s">
        <v>12</v>
      </c>
      <c r="J1100" s="3">
        <v>746.7</v>
      </c>
    </row>
    <row r="1101" spans="1:10" x14ac:dyDescent="0.25">
      <c r="A1101" t="s">
        <v>358</v>
      </c>
      <c r="B1101" t="s">
        <v>71</v>
      </c>
      <c r="C1101" s="82" t="s">
        <v>396</v>
      </c>
      <c r="D1101">
        <v>201509</v>
      </c>
      <c r="E1101" s="1">
        <v>42243</v>
      </c>
      <c r="F1101" s="1">
        <v>42276</v>
      </c>
      <c r="G1101" t="s">
        <v>396</v>
      </c>
      <c r="H1101" s="81">
        <v>79</v>
      </c>
      <c r="I1101" t="s">
        <v>12</v>
      </c>
      <c r="J1101" s="3">
        <v>898.84</v>
      </c>
    </row>
    <row r="1102" spans="1:10" x14ac:dyDescent="0.25">
      <c r="A1102" t="s">
        <v>358</v>
      </c>
      <c r="B1102" t="s">
        <v>71</v>
      </c>
      <c r="C1102" s="82" t="s">
        <v>396</v>
      </c>
      <c r="D1102">
        <v>201510</v>
      </c>
      <c r="E1102" s="1">
        <v>42276</v>
      </c>
      <c r="F1102" s="1">
        <v>42305</v>
      </c>
      <c r="G1102" t="s">
        <v>396</v>
      </c>
      <c r="H1102" s="81">
        <v>89</v>
      </c>
      <c r="I1102" t="s">
        <v>12</v>
      </c>
      <c r="J1102" s="3">
        <v>720.86</v>
      </c>
    </row>
    <row r="1103" spans="1:10" x14ac:dyDescent="0.25">
      <c r="A1103" t="s">
        <v>358</v>
      </c>
      <c r="B1103" t="s">
        <v>71</v>
      </c>
      <c r="C1103" s="82" t="s">
        <v>396</v>
      </c>
      <c r="D1103">
        <v>201511</v>
      </c>
      <c r="E1103" s="1">
        <v>42305</v>
      </c>
      <c r="F1103" s="1">
        <v>42339</v>
      </c>
      <c r="G1103" t="s">
        <v>396</v>
      </c>
      <c r="H1103" s="81">
        <v>103</v>
      </c>
      <c r="I1103" t="s">
        <v>12</v>
      </c>
      <c r="J1103" s="3">
        <v>690.34</v>
      </c>
    </row>
    <row r="1104" spans="1:10" x14ac:dyDescent="0.25">
      <c r="A1104" t="s">
        <v>358</v>
      </c>
      <c r="B1104" t="s">
        <v>71</v>
      </c>
      <c r="C1104" s="82" t="s">
        <v>396</v>
      </c>
      <c r="D1104">
        <v>201512</v>
      </c>
      <c r="E1104" s="1">
        <v>42339</v>
      </c>
      <c r="F1104" s="1">
        <v>42369</v>
      </c>
      <c r="G1104" t="s">
        <v>396</v>
      </c>
      <c r="H1104" s="81">
        <v>107</v>
      </c>
      <c r="I1104" t="s">
        <v>12</v>
      </c>
      <c r="J1104" s="3">
        <v>655.48</v>
      </c>
    </row>
    <row r="1105" spans="1:10" x14ac:dyDescent="0.25">
      <c r="A1105" t="s">
        <v>358</v>
      </c>
      <c r="B1105" t="s">
        <v>71</v>
      </c>
      <c r="C1105" s="82" t="s">
        <v>396</v>
      </c>
      <c r="D1105">
        <v>201601</v>
      </c>
      <c r="E1105" s="1">
        <v>42369</v>
      </c>
      <c r="F1105" s="1">
        <v>42401</v>
      </c>
      <c r="G1105" t="s">
        <v>396</v>
      </c>
      <c r="H1105" s="81">
        <v>162</v>
      </c>
      <c r="I1105" t="s">
        <v>12</v>
      </c>
      <c r="J1105" s="3">
        <v>862.05</v>
      </c>
    </row>
    <row r="1106" spans="1:10" x14ac:dyDescent="0.25">
      <c r="A1106" t="s">
        <v>358</v>
      </c>
      <c r="B1106" t="s">
        <v>71</v>
      </c>
      <c r="C1106" s="82" t="s">
        <v>396</v>
      </c>
      <c r="D1106">
        <v>201602</v>
      </c>
      <c r="E1106" s="1">
        <v>42401</v>
      </c>
      <c r="F1106" s="1">
        <v>42430</v>
      </c>
      <c r="G1106" t="s">
        <v>396</v>
      </c>
      <c r="H1106" s="81">
        <v>126</v>
      </c>
      <c r="I1106" t="s">
        <v>12</v>
      </c>
      <c r="J1106" s="3">
        <v>701.96</v>
      </c>
    </row>
    <row r="1107" spans="1:10" x14ac:dyDescent="0.25">
      <c r="A1107" t="s">
        <v>358</v>
      </c>
      <c r="B1107" t="s">
        <v>71</v>
      </c>
      <c r="C1107" s="82" t="s">
        <v>396</v>
      </c>
      <c r="D1107">
        <v>201603</v>
      </c>
      <c r="E1107" s="1">
        <v>42430</v>
      </c>
      <c r="F1107" s="1">
        <v>42460</v>
      </c>
      <c r="G1107" t="s">
        <v>396</v>
      </c>
      <c r="H1107" s="81">
        <v>131</v>
      </c>
      <c r="I1107" t="s">
        <v>12</v>
      </c>
      <c r="J1107" s="3">
        <v>709.39</v>
      </c>
    </row>
    <row r="1108" spans="1:10" x14ac:dyDescent="0.25">
      <c r="A1108" t="s">
        <v>358</v>
      </c>
      <c r="B1108" t="s">
        <v>71</v>
      </c>
      <c r="C1108" s="82" t="s">
        <v>396</v>
      </c>
      <c r="D1108">
        <v>201604</v>
      </c>
      <c r="E1108" s="1">
        <v>42460</v>
      </c>
      <c r="F1108" s="1">
        <v>42489</v>
      </c>
      <c r="G1108" t="s">
        <v>396</v>
      </c>
      <c r="H1108" s="81">
        <v>85</v>
      </c>
      <c r="I1108" t="s">
        <v>12</v>
      </c>
      <c r="J1108" s="3">
        <v>636.26</v>
      </c>
    </row>
    <row r="1109" spans="1:10" x14ac:dyDescent="0.25">
      <c r="A1109" t="s">
        <v>358</v>
      </c>
      <c r="B1109" t="s">
        <v>71</v>
      </c>
      <c r="C1109" s="82" t="s">
        <v>396</v>
      </c>
      <c r="D1109">
        <v>201605</v>
      </c>
      <c r="E1109" s="1">
        <v>42489</v>
      </c>
      <c r="F1109" s="1">
        <v>42521</v>
      </c>
      <c r="G1109" t="s">
        <v>396</v>
      </c>
      <c r="H1109" s="81">
        <v>57</v>
      </c>
      <c r="I1109" t="s">
        <v>12</v>
      </c>
      <c r="J1109" s="3">
        <v>525.38</v>
      </c>
    </row>
    <row r="1110" spans="1:10" x14ac:dyDescent="0.25">
      <c r="A1110" t="s">
        <v>358</v>
      </c>
      <c r="B1110" t="s">
        <v>71</v>
      </c>
      <c r="C1110" s="82" t="s">
        <v>396</v>
      </c>
      <c r="D1110">
        <v>201606</v>
      </c>
      <c r="E1110" s="1">
        <v>42521</v>
      </c>
      <c r="F1110" s="1">
        <v>42550</v>
      </c>
      <c r="G1110" t="s">
        <v>396</v>
      </c>
      <c r="H1110" s="81">
        <v>65</v>
      </c>
      <c r="I1110" t="s">
        <v>12</v>
      </c>
      <c r="J1110" s="3">
        <v>708.56</v>
      </c>
    </row>
    <row r="1111" spans="1:10" x14ac:dyDescent="0.25">
      <c r="A1111" t="s">
        <v>397</v>
      </c>
      <c r="B1111" t="s">
        <v>71</v>
      </c>
      <c r="C1111" s="82" t="s">
        <v>398</v>
      </c>
      <c r="D1111">
        <v>201507</v>
      </c>
      <c r="E1111" s="1">
        <v>42185</v>
      </c>
      <c r="F1111" s="1">
        <v>42216</v>
      </c>
      <c r="G1111" t="s">
        <v>398</v>
      </c>
      <c r="H1111" s="81">
        <v>64</v>
      </c>
      <c r="I1111" t="s">
        <v>12</v>
      </c>
      <c r="J1111" s="3">
        <v>721.87</v>
      </c>
    </row>
    <row r="1112" spans="1:10" x14ac:dyDescent="0.25">
      <c r="A1112" t="s">
        <v>397</v>
      </c>
      <c r="B1112" t="s">
        <v>71</v>
      </c>
      <c r="C1112" s="82" t="s">
        <v>398</v>
      </c>
      <c r="D1112">
        <v>201508</v>
      </c>
      <c r="E1112" s="1">
        <v>42216</v>
      </c>
      <c r="F1112" s="1">
        <v>42243</v>
      </c>
      <c r="G1112" t="s">
        <v>398</v>
      </c>
      <c r="H1112" s="81">
        <v>63</v>
      </c>
      <c r="I1112" t="s">
        <v>12</v>
      </c>
      <c r="J1112" s="3">
        <v>723.72</v>
      </c>
    </row>
    <row r="1113" spans="1:10" x14ac:dyDescent="0.25">
      <c r="A1113" t="s">
        <v>397</v>
      </c>
      <c r="B1113" t="s">
        <v>71</v>
      </c>
      <c r="C1113" s="82" t="s">
        <v>398</v>
      </c>
      <c r="D1113">
        <v>201509</v>
      </c>
      <c r="E1113" s="1">
        <v>42243</v>
      </c>
      <c r="F1113" s="1">
        <v>42276</v>
      </c>
      <c r="G1113" t="s">
        <v>398</v>
      </c>
      <c r="H1113" s="81">
        <v>77</v>
      </c>
      <c r="I1113" t="s">
        <v>12</v>
      </c>
      <c r="J1113" s="3">
        <v>876.08</v>
      </c>
    </row>
    <row r="1114" spans="1:10" x14ac:dyDescent="0.25">
      <c r="A1114" t="s">
        <v>397</v>
      </c>
      <c r="B1114" t="s">
        <v>71</v>
      </c>
      <c r="C1114" s="82" t="s">
        <v>398</v>
      </c>
      <c r="D1114">
        <v>201510</v>
      </c>
      <c r="E1114" s="1">
        <v>42276</v>
      </c>
      <c r="F1114" s="1">
        <v>42305</v>
      </c>
      <c r="G1114" t="s">
        <v>398</v>
      </c>
      <c r="H1114" s="81">
        <v>87</v>
      </c>
      <c r="I1114" t="s">
        <v>12</v>
      </c>
      <c r="J1114" s="3">
        <v>704.66</v>
      </c>
    </row>
    <row r="1115" spans="1:10" x14ac:dyDescent="0.25">
      <c r="A1115" t="s">
        <v>397</v>
      </c>
      <c r="B1115" t="s">
        <v>71</v>
      </c>
      <c r="C1115" s="82" t="s">
        <v>398</v>
      </c>
      <c r="D1115">
        <v>201511</v>
      </c>
      <c r="E1115" s="1">
        <v>42305</v>
      </c>
      <c r="F1115" s="1">
        <v>42339</v>
      </c>
      <c r="G1115" t="s">
        <v>398</v>
      </c>
      <c r="H1115" s="81">
        <v>100</v>
      </c>
      <c r="I1115" t="s">
        <v>12</v>
      </c>
      <c r="J1115" s="3">
        <v>670.23</v>
      </c>
    </row>
    <row r="1116" spans="1:10" x14ac:dyDescent="0.25">
      <c r="A1116" t="s">
        <v>397</v>
      </c>
      <c r="B1116" t="s">
        <v>71</v>
      </c>
      <c r="C1116" s="82" t="s">
        <v>398</v>
      </c>
      <c r="D1116">
        <v>201512</v>
      </c>
      <c r="E1116" s="1">
        <v>42339</v>
      </c>
      <c r="F1116" s="1">
        <v>42369</v>
      </c>
      <c r="G1116" t="s">
        <v>398</v>
      </c>
      <c r="H1116" s="81">
        <v>105</v>
      </c>
      <c r="I1116" t="s">
        <v>12</v>
      </c>
      <c r="J1116" s="3">
        <v>643.23</v>
      </c>
    </row>
    <row r="1117" spans="1:10" x14ac:dyDescent="0.25">
      <c r="A1117" t="s">
        <v>397</v>
      </c>
      <c r="B1117" t="s">
        <v>71</v>
      </c>
      <c r="C1117" s="82" t="s">
        <v>398</v>
      </c>
      <c r="D1117">
        <v>201601</v>
      </c>
      <c r="E1117" s="1">
        <v>42369</v>
      </c>
      <c r="F1117" s="1">
        <v>42401</v>
      </c>
      <c r="G1117" t="s">
        <v>398</v>
      </c>
      <c r="H1117" s="81">
        <v>158</v>
      </c>
      <c r="I1117" t="s">
        <v>12</v>
      </c>
      <c r="J1117" s="3">
        <v>840.76</v>
      </c>
    </row>
    <row r="1118" spans="1:10" x14ac:dyDescent="0.25">
      <c r="A1118" t="s">
        <v>397</v>
      </c>
      <c r="B1118" t="s">
        <v>71</v>
      </c>
      <c r="C1118" s="82" t="s">
        <v>398</v>
      </c>
      <c r="D1118">
        <v>201602</v>
      </c>
      <c r="E1118" s="1">
        <v>42401</v>
      </c>
      <c r="F1118" s="1">
        <v>42430</v>
      </c>
      <c r="G1118" t="s">
        <v>398</v>
      </c>
      <c r="H1118" s="81">
        <v>123</v>
      </c>
      <c r="I1118" t="s">
        <v>12</v>
      </c>
      <c r="J1118" s="3">
        <v>685.25</v>
      </c>
    </row>
    <row r="1119" spans="1:10" x14ac:dyDescent="0.25">
      <c r="A1119" t="s">
        <v>397</v>
      </c>
      <c r="B1119" t="s">
        <v>71</v>
      </c>
      <c r="C1119" s="82" t="s">
        <v>398</v>
      </c>
      <c r="D1119">
        <v>201603</v>
      </c>
      <c r="E1119" s="1">
        <v>42430</v>
      </c>
      <c r="F1119" s="1">
        <v>42460</v>
      </c>
      <c r="G1119" t="s">
        <v>398</v>
      </c>
      <c r="H1119" s="81">
        <v>128</v>
      </c>
      <c r="I1119" t="s">
        <v>12</v>
      </c>
      <c r="J1119" s="3">
        <v>693.15</v>
      </c>
    </row>
    <row r="1120" spans="1:10" x14ac:dyDescent="0.25">
      <c r="A1120" t="s">
        <v>397</v>
      </c>
      <c r="B1120" t="s">
        <v>71</v>
      </c>
      <c r="C1120" s="82" t="s">
        <v>398</v>
      </c>
      <c r="D1120">
        <v>201604</v>
      </c>
      <c r="E1120" s="1">
        <v>42460</v>
      </c>
      <c r="F1120" s="1">
        <v>42489</v>
      </c>
      <c r="G1120" t="s">
        <v>398</v>
      </c>
      <c r="H1120" s="81">
        <v>83</v>
      </c>
      <c r="I1120" t="s">
        <v>12</v>
      </c>
      <c r="J1120" s="3">
        <v>621.29</v>
      </c>
    </row>
    <row r="1121" spans="1:10" x14ac:dyDescent="0.25">
      <c r="A1121" t="s">
        <v>397</v>
      </c>
      <c r="B1121" t="s">
        <v>71</v>
      </c>
      <c r="C1121" s="82" t="s">
        <v>398</v>
      </c>
      <c r="D1121">
        <v>201605</v>
      </c>
      <c r="E1121" s="1">
        <v>42489</v>
      </c>
      <c r="F1121" s="1">
        <v>42521</v>
      </c>
      <c r="G1121" t="s">
        <v>398</v>
      </c>
      <c r="H1121" s="81">
        <v>56</v>
      </c>
      <c r="I1121" t="s">
        <v>12</v>
      </c>
      <c r="J1121" s="3">
        <v>516.16</v>
      </c>
    </row>
    <row r="1122" spans="1:10" x14ac:dyDescent="0.25">
      <c r="A1122" t="s">
        <v>397</v>
      </c>
      <c r="B1122" t="s">
        <v>71</v>
      </c>
      <c r="C1122" s="82" t="s">
        <v>398</v>
      </c>
      <c r="D1122">
        <v>201606</v>
      </c>
      <c r="E1122" s="1">
        <v>42521</v>
      </c>
      <c r="F1122" s="1">
        <v>42550</v>
      </c>
      <c r="G1122" t="s">
        <v>398</v>
      </c>
      <c r="H1122" s="81">
        <v>64</v>
      </c>
      <c r="I1122" t="s">
        <v>12</v>
      </c>
      <c r="J1122" s="3">
        <v>697.66</v>
      </c>
    </row>
    <row r="1123" spans="1:10" x14ac:dyDescent="0.25">
      <c r="A1123" t="s">
        <v>349</v>
      </c>
      <c r="B1123" t="s">
        <v>71</v>
      </c>
      <c r="C1123" s="82" t="s">
        <v>415</v>
      </c>
      <c r="D1123">
        <v>201507</v>
      </c>
      <c r="E1123" s="1">
        <v>42185</v>
      </c>
      <c r="F1123" s="1">
        <v>42216</v>
      </c>
      <c r="G1123" t="s">
        <v>415</v>
      </c>
      <c r="H1123" s="81">
        <v>711</v>
      </c>
      <c r="I1123" t="s">
        <v>12</v>
      </c>
      <c r="J1123" s="3">
        <v>8019.52</v>
      </c>
    </row>
    <row r="1124" spans="1:10" x14ac:dyDescent="0.25">
      <c r="A1124" t="s">
        <v>349</v>
      </c>
      <c r="B1124" t="s">
        <v>71</v>
      </c>
      <c r="C1124" s="82" t="s">
        <v>415</v>
      </c>
      <c r="D1124">
        <v>201508</v>
      </c>
      <c r="E1124" s="1">
        <v>42216</v>
      </c>
      <c r="F1124" s="1">
        <v>42243</v>
      </c>
      <c r="G1124" t="s">
        <v>415</v>
      </c>
      <c r="H1124" s="81">
        <v>705</v>
      </c>
      <c r="I1124" t="s">
        <v>12</v>
      </c>
      <c r="J1124" s="3">
        <v>8098.78</v>
      </c>
    </row>
    <row r="1125" spans="1:10" x14ac:dyDescent="0.25">
      <c r="A1125" t="s">
        <v>349</v>
      </c>
      <c r="B1125" t="s">
        <v>71</v>
      </c>
      <c r="C1125" s="82" t="s">
        <v>415</v>
      </c>
      <c r="D1125">
        <v>201509</v>
      </c>
      <c r="E1125" s="1">
        <v>42243</v>
      </c>
      <c r="F1125" s="1">
        <v>42276</v>
      </c>
      <c r="G1125" t="s">
        <v>415</v>
      </c>
      <c r="H1125" s="81">
        <v>861</v>
      </c>
      <c r="I1125" t="s">
        <v>12</v>
      </c>
      <c r="J1125" s="3">
        <v>9796.2199999999993</v>
      </c>
    </row>
    <row r="1126" spans="1:10" x14ac:dyDescent="0.25">
      <c r="A1126" t="s">
        <v>349</v>
      </c>
      <c r="B1126" t="s">
        <v>71</v>
      </c>
      <c r="C1126" s="82" t="s">
        <v>415</v>
      </c>
      <c r="D1126">
        <v>201510</v>
      </c>
      <c r="E1126" s="1">
        <v>42276</v>
      </c>
      <c r="F1126" s="1">
        <v>42305</v>
      </c>
      <c r="G1126" t="s">
        <v>415</v>
      </c>
      <c r="H1126" s="81">
        <v>973</v>
      </c>
      <c r="I1126" t="s">
        <v>12</v>
      </c>
      <c r="J1126" s="3">
        <v>7880.82</v>
      </c>
    </row>
    <row r="1127" spans="1:10" x14ac:dyDescent="0.25">
      <c r="A1127" t="s">
        <v>349</v>
      </c>
      <c r="B1127" t="s">
        <v>71</v>
      </c>
      <c r="C1127" s="82" t="s">
        <v>415</v>
      </c>
      <c r="D1127">
        <v>201511</v>
      </c>
      <c r="E1127" s="1">
        <v>42305</v>
      </c>
      <c r="F1127" s="1">
        <v>42339</v>
      </c>
      <c r="G1127" t="s">
        <v>415</v>
      </c>
      <c r="H1127" s="81">
        <v>1117</v>
      </c>
      <c r="I1127" t="s">
        <v>12</v>
      </c>
      <c r="J1127" s="3">
        <v>7486.51</v>
      </c>
    </row>
    <row r="1128" spans="1:10" x14ac:dyDescent="0.25">
      <c r="A1128" t="s">
        <v>349</v>
      </c>
      <c r="B1128" t="s">
        <v>71</v>
      </c>
      <c r="C1128" s="82" t="s">
        <v>415</v>
      </c>
      <c r="D1128">
        <v>201512</v>
      </c>
      <c r="E1128" s="1">
        <v>42339</v>
      </c>
      <c r="F1128" s="1">
        <v>42369</v>
      </c>
      <c r="G1128" t="s">
        <v>415</v>
      </c>
      <c r="H1128" s="81">
        <v>1165</v>
      </c>
      <c r="I1128" t="s">
        <v>12</v>
      </c>
      <c r="J1128" s="3">
        <v>7136.74</v>
      </c>
    </row>
    <row r="1129" spans="1:10" x14ac:dyDescent="0.25">
      <c r="A1129" t="s">
        <v>349</v>
      </c>
      <c r="B1129" t="s">
        <v>71</v>
      </c>
      <c r="C1129" s="82" t="s">
        <v>415</v>
      </c>
      <c r="D1129">
        <v>201601</v>
      </c>
      <c r="E1129" s="1">
        <v>42369</v>
      </c>
      <c r="F1129" s="1">
        <v>42401</v>
      </c>
      <c r="G1129" t="s">
        <v>415</v>
      </c>
      <c r="H1129" s="81">
        <v>1759</v>
      </c>
      <c r="I1129" t="s">
        <v>12</v>
      </c>
      <c r="J1129" s="3">
        <v>9360.1299999999992</v>
      </c>
    </row>
    <row r="1130" spans="1:10" x14ac:dyDescent="0.25">
      <c r="A1130" t="s">
        <v>349</v>
      </c>
      <c r="B1130" t="s">
        <v>71</v>
      </c>
      <c r="C1130" s="82" t="s">
        <v>415</v>
      </c>
      <c r="D1130">
        <v>201602</v>
      </c>
      <c r="E1130" s="1">
        <v>42401</v>
      </c>
      <c r="F1130" s="1">
        <v>42430</v>
      </c>
      <c r="G1130" t="s">
        <v>415</v>
      </c>
      <c r="H1130" s="81">
        <v>1375</v>
      </c>
      <c r="I1130" t="s">
        <v>12</v>
      </c>
      <c r="J1130" s="3">
        <v>7660.27</v>
      </c>
    </row>
    <row r="1131" spans="1:10" x14ac:dyDescent="0.25">
      <c r="A1131" t="s">
        <v>349</v>
      </c>
      <c r="B1131" t="s">
        <v>71</v>
      </c>
      <c r="C1131" s="82" t="s">
        <v>415</v>
      </c>
      <c r="D1131">
        <v>201603</v>
      </c>
      <c r="E1131" s="1">
        <v>42430</v>
      </c>
      <c r="F1131" s="1">
        <v>42460</v>
      </c>
      <c r="G1131" t="s">
        <v>415</v>
      </c>
      <c r="H1131" s="81">
        <v>1430</v>
      </c>
      <c r="I1131" t="s">
        <v>12</v>
      </c>
      <c r="J1131" s="3">
        <v>7743.74</v>
      </c>
    </row>
    <row r="1132" spans="1:10" x14ac:dyDescent="0.25">
      <c r="A1132" t="s">
        <v>349</v>
      </c>
      <c r="B1132" t="s">
        <v>71</v>
      </c>
      <c r="C1132" s="82" t="s">
        <v>415</v>
      </c>
      <c r="D1132">
        <v>201604</v>
      </c>
      <c r="E1132" s="1">
        <v>42460</v>
      </c>
      <c r="F1132" s="1">
        <v>42489</v>
      </c>
      <c r="G1132" t="s">
        <v>415</v>
      </c>
      <c r="H1132" s="81">
        <v>928</v>
      </c>
      <c r="I1132" t="s">
        <v>12</v>
      </c>
      <c r="J1132" s="3">
        <v>6946.47</v>
      </c>
    </row>
    <row r="1133" spans="1:10" x14ac:dyDescent="0.25">
      <c r="A1133" t="s">
        <v>349</v>
      </c>
      <c r="B1133" t="s">
        <v>71</v>
      </c>
      <c r="C1133" s="82" t="s">
        <v>415</v>
      </c>
      <c r="D1133">
        <v>201605</v>
      </c>
      <c r="E1133" s="1">
        <v>42489</v>
      </c>
      <c r="F1133" s="1">
        <v>42521</v>
      </c>
      <c r="G1133" t="s">
        <v>415</v>
      </c>
      <c r="H1133" s="81">
        <v>619</v>
      </c>
      <c r="I1133" t="s">
        <v>12</v>
      </c>
      <c r="J1133" s="3">
        <v>5705.43</v>
      </c>
    </row>
    <row r="1134" spans="1:10" x14ac:dyDescent="0.25">
      <c r="A1134" t="s">
        <v>349</v>
      </c>
      <c r="B1134" t="s">
        <v>71</v>
      </c>
      <c r="C1134" s="82" t="s">
        <v>415</v>
      </c>
      <c r="D1134">
        <v>201606</v>
      </c>
      <c r="E1134" s="1">
        <v>42521</v>
      </c>
      <c r="F1134" s="1">
        <v>42550</v>
      </c>
      <c r="G1134" t="s">
        <v>415</v>
      </c>
      <c r="H1134" s="81">
        <v>713</v>
      </c>
      <c r="I1134" t="s">
        <v>12</v>
      </c>
      <c r="J1134" s="3">
        <v>7772.38</v>
      </c>
    </row>
    <row r="1135" spans="1:10" x14ac:dyDescent="0.25">
      <c r="A1135" t="s">
        <v>361</v>
      </c>
      <c r="B1135" t="s">
        <v>71</v>
      </c>
      <c r="C1135" s="82" t="s">
        <v>399</v>
      </c>
      <c r="D1135">
        <v>201507</v>
      </c>
      <c r="E1135" s="1">
        <v>42185</v>
      </c>
      <c r="F1135" s="1">
        <v>42216</v>
      </c>
      <c r="G1135" t="s">
        <v>399</v>
      </c>
      <c r="H1135" s="81">
        <v>66</v>
      </c>
      <c r="I1135" t="s">
        <v>12</v>
      </c>
      <c r="J1135" s="3">
        <v>744.43</v>
      </c>
    </row>
    <row r="1136" spans="1:10" x14ac:dyDescent="0.25">
      <c r="A1136" t="s">
        <v>361</v>
      </c>
      <c r="B1136" t="s">
        <v>71</v>
      </c>
      <c r="C1136" s="82" t="s">
        <v>399</v>
      </c>
      <c r="D1136">
        <v>201508</v>
      </c>
      <c r="E1136" s="1">
        <v>42216</v>
      </c>
      <c r="F1136" s="1">
        <v>42243</v>
      </c>
      <c r="G1136" t="s">
        <v>399</v>
      </c>
      <c r="H1136" s="81">
        <v>66</v>
      </c>
      <c r="I1136" t="s">
        <v>12</v>
      </c>
      <c r="J1136" s="3">
        <v>758.18</v>
      </c>
    </row>
    <row r="1137" spans="1:10" x14ac:dyDescent="0.25">
      <c r="A1137" t="s">
        <v>361</v>
      </c>
      <c r="B1137" t="s">
        <v>71</v>
      </c>
      <c r="C1137" s="82" t="s">
        <v>399</v>
      </c>
      <c r="D1137">
        <v>201509</v>
      </c>
      <c r="E1137" s="1">
        <v>42243</v>
      </c>
      <c r="F1137" s="1">
        <v>42276</v>
      </c>
      <c r="G1137" t="s">
        <v>399</v>
      </c>
      <c r="H1137" s="81">
        <v>80</v>
      </c>
      <c r="I1137" t="s">
        <v>12</v>
      </c>
      <c r="J1137" s="3">
        <v>910.22</v>
      </c>
    </row>
    <row r="1138" spans="1:10" x14ac:dyDescent="0.25">
      <c r="A1138" t="s">
        <v>361</v>
      </c>
      <c r="B1138" t="s">
        <v>71</v>
      </c>
      <c r="C1138" s="82" t="s">
        <v>399</v>
      </c>
      <c r="D1138">
        <v>201510</v>
      </c>
      <c r="E1138" s="1">
        <v>42276</v>
      </c>
      <c r="F1138" s="1">
        <v>42305</v>
      </c>
      <c r="G1138" t="s">
        <v>399</v>
      </c>
      <c r="H1138" s="81">
        <v>91</v>
      </c>
      <c r="I1138" t="s">
        <v>12</v>
      </c>
      <c r="J1138" s="3">
        <v>737.06</v>
      </c>
    </row>
    <row r="1139" spans="1:10" x14ac:dyDescent="0.25">
      <c r="A1139" t="s">
        <v>361</v>
      </c>
      <c r="B1139" t="s">
        <v>71</v>
      </c>
      <c r="C1139" s="82" t="s">
        <v>399</v>
      </c>
      <c r="D1139">
        <v>201511</v>
      </c>
      <c r="E1139" s="1">
        <v>42305</v>
      </c>
      <c r="F1139" s="1">
        <v>42339</v>
      </c>
      <c r="G1139" t="s">
        <v>399</v>
      </c>
      <c r="H1139" s="81">
        <v>104</v>
      </c>
      <c r="I1139" t="s">
        <v>12</v>
      </c>
      <c r="J1139" s="3">
        <v>697.04</v>
      </c>
    </row>
    <row r="1140" spans="1:10" x14ac:dyDescent="0.25">
      <c r="A1140" t="s">
        <v>361</v>
      </c>
      <c r="B1140" t="s">
        <v>71</v>
      </c>
      <c r="C1140" s="82" t="s">
        <v>399</v>
      </c>
      <c r="D1140">
        <v>201512</v>
      </c>
      <c r="E1140" s="1">
        <v>42339</v>
      </c>
      <c r="F1140" s="1">
        <v>42369</v>
      </c>
      <c r="G1140" t="s">
        <v>399</v>
      </c>
      <c r="H1140" s="81">
        <v>109</v>
      </c>
      <c r="I1140" t="s">
        <v>12</v>
      </c>
      <c r="J1140" s="3">
        <v>667.73</v>
      </c>
    </row>
    <row r="1141" spans="1:10" x14ac:dyDescent="0.25">
      <c r="A1141" t="s">
        <v>361</v>
      </c>
      <c r="B1141" t="s">
        <v>71</v>
      </c>
      <c r="C1141" s="82" t="s">
        <v>399</v>
      </c>
      <c r="D1141">
        <v>201601</v>
      </c>
      <c r="E1141" s="1">
        <v>42369</v>
      </c>
      <c r="F1141" s="1">
        <v>42401</v>
      </c>
      <c r="G1141" t="s">
        <v>399</v>
      </c>
      <c r="H1141" s="81">
        <v>164</v>
      </c>
      <c r="I1141" t="s">
        <v>12</v>
      </c>
      <c r="J1141" s="3">
        <v>872.69</v>
      </c>
    </row>
    <row r="1142" spans="1:10" x14ac:dyDescent="0.25">
      <c r="A1142" t="s">
        <v>361</v>
      </c>
      <c r="B1142" t="s">
        <v>71</v>
      </c>
      <c r="C1142" s="82" t="s">
        <v>399</v>
      </c>
      <c r="D1142">
        <v>201602</v>
      </c>
      <c r="E1142" s="1">
        <v>42401</v>
      </c>
      <c r="F1142" s="1">
        <v>42430</v>
      </c>
      <c r="G1142" t="s">
        <v>399</v>
      </c>
      <c r="H1142" s="81">
        <v>128</v>
      </c>
      <c r="I1142" t="s">
        <v>12</v>
      </c>
      <c r="J1142" s="3">
        <v>713.1</v>
      </c>
    </row>
    <row r="1143" spans="1:10" x14ac:dyDescent="0.25">
      <c r="A1143" t="s">
        <v>361</v>
      </c>
      <c r="B1143" t="s">
        <v>71</v>
      </c>
      <c r="C1143" s="82" t="s">
        <v>399</v>
      </c>
      <c r="D1143">
        <v>201603</v>
      </c>
      <c r="E1143" s="1">
        <v>42430</v>
      </c>
      <c r="F1143" s="1">
        <v>42460</v>
      </c>
      <c r="G1143" t="s">
        <v>399</v>
      </c>
      <c r="H1143" s="81">
        <v>134</v>
      </c>
      <c r="I1143" t="s">
        <v>12</v>
      </c>
      <c r="J1143" s="3">
        <v>725.64</v>
      </c>
    </row>
    <row r="1144" spans="1:10" x14ac:dyDescent="0.25">
      <c r="A1144" t="s">
        <v>361</v>
      </c>
      <c r="B1144" t="s">
        <v>71</v>
      </c>
      <c r="C1144" s="82" t="s">
        <v>399</v>
      </c>
      <c r="D1144">
        <v>201604</v>
      </c>
      <c r="E1144" s="1">
        <v>42460</v>
      </c>
      <c r="F1144" s="1">
        <v>42489</v>
      </c>
      <c r="G1144" t="s">
        <v>399</v>
      </c>
      <c r="H1144" s="81">
        <v>87</v>
      </c>
      <c r="I1144" t="s">
        <v>12</v>
      </c>
      <c r="J1144" s="3">
        <v>651.23</v>
      </c>
    </row>
    <row r="1145" spans="1:10" x14ac:dyDescent="0.25">
      <c r="A1145" t="s">
        <v>361</v>
      </c>
      <c r="B1145" t="s">
        <v>71</v>
      </c>
      <c r="C1145" s="82" t="s">
        <v>399</v>
      </c>
      <c r="D1145">
        <v>201605</v>
      </c>
      <c r="E1145" s="1">
        <v>42489</v>
      </c>
      <c r="F1145" s="1">
        <v>42521</v>
      </c>
      <c r="G1145" t="s">
        <v>399</v>
      </c>
      <c r="H1145" s="81">
        <v>58</v>
      </c>
      <c r="I1145" t="s">
        <v>12</v>
      </c>
      <c r="J1145" s="3">
        <v>534.6</v>
      </c>
    </row>
    <row r="1146" spans="1:10" x14ac:dyDescent="0.25">
      <c r="A1146" t="s">
        <v>361</v>
      </c>
      <c r="B1146" t="s">
        <v>71</v>
      </c>
      <c r="C1146" s="82" t="s">
        <v>399</v>
      </c>
      <c r="D1146">
        <v>201606</v>
      </c>
      <c r="E1146" s="1">
        <v>42521</v>
      </c>
      <c r="F1146" s="1">
        <v>42550</v>
      </c>
      <c r="G1146" t="s">
        <v>399</v>
      </c>
      <c r="H1146" s="81">
        <v>67</v>
      </c>
      <c r="I1146" t="s">
        <v>12</v>
      </c>
      <c r="J1146" s="3">
        <v>730.36</v>
      </c>
    </row>
    <row r="1147" spans="1:10" x14ac:dyDescent="0.25">
      <c r="A1147" t="s">
        <v>400</v>
      </c>
      <c r="B1147" t="s">
        <v>71</v>
      </c>
      <c r="C1147" s="82" t="s">
        <v>401</v>
      </c>
      <c r="D1147">
        <v>201507</v>
      </c>
      <c r="E1147" s="1">
        <v>42185</v>
      </c>
      <c r="F1147" s="1">
        <v>42216</v>
      </c>
      <c r="G1147" t="s">
        <v>401</v>
      </c>
      <c r="H1147" s="81">
        <v>65</v>
      </c>
      <c r="I1147" t="s">
        <v>12</v>
      </c>
      <c r="J1147" s="3">
        <v>733.15</v>
      </c>
    </row>
    <row r="1148" spans="1:10" x14ac:dyDescent="0.25">
      <c r="A1148" t="s">
        <v>400</v>
      </c>
      <c r="B1148" t="s">
        <v>71</v>
      </c>
      <c r="C1148" s="82" t="s">
        <v>401</v>
      </c>
      <c r="D1148">
        <v>201508</v>
      </c>
      <c r="E1148" s="1">
        <v>42216</v>
      </c>
      <c r="F1148" s="1">
        <v>42243</v>
      </c>
      <c r="G1148" t="s">
        <v>401</v>
      </c>
      <c r="H1148" s="81">
        <v>65</v>
      </c>
      <c r="I1148" t="s">
        <v>12</v>
      </c>
      <c r="J1148" s="3">
        <v>746.7</v>
      </c>
    </row>
    <row r="1149" spans="1:10" x14ac:dyDescent="0.25">
      <c r="A1149" t="s">
        <v>400</v>
      </c>
      <c r="B1149" t="s">
        <v>71</v>
      </c>
      <c r="C1149" s="82" t="s">
        <v>401</v>
      </c>
      <c r="D1149">
        <v>201509</v>
      </c>
      <c r="E1149" s="1">
        <v>42243</v>
      </c>
      <c r="F1149" s="1">
        <v>42276</v>
      </c>
      <c r="G1149" t="s">
        <v>401</v>
      </c>
      <c r="H1149" s="81">
        <v>79</v>
      </c>
      <c r="I1149" t="s">
        <v>12</v>
      </c>
      <c r="J1149" s="3">
        <v>898.84</v>
      </c>
    </row>
    <row r="1150" spans="1:10" x14ac:dyDescent="0.25">
      <c r="A1150" t="s">
        <v>400</v>
      </c>
      <c r="B1150" t="s">
        <v>71</v>
      </c>
      <c r="C1150" s="82" t="s">
        <v>401</v>
      </c>
      <c r="D1150">
        <v>201510</v>
      </c>
      <c r="E1150" s="1">
        <v>42276</v>
      </c>
      <c r="F1150" s="1">
        <v>42305</v>
      </c>
      <c r="G1150" t="s">
        <v>401</v>
      </c>
      <c r="H1150" s="81">
        <v>89</v>
      </c>
      <c r="I1150" t="s">
        <v>12</v>
      </c>
      <c r="J1150" s="3">
        <v>720.86</v>
      </c>
    </row>
    <row r="1151" spans="1:10" x14ac:dyDescent="0.25">
      <c r="A1151" t="s">
        <v>400</v>
      </c>
      <c r="B1151" t="s">
        <v>71</v>
      </c>
      <c r="C1151" s="82" t="s">
        <v>401</v>
      </c>
      <c r="D1151">
        <v>201511</v>
      </c>
      <c r="E1151" s="1">
        <v>42305</v>
      </c>
      <c r="F1151" s="1">
        <v>42339</v>
      </c>
      <c r="G1151" t="s">
        <v>401</v>
      </c>
      <c r="H1151" s="81">
        <v>103</v>
      </c>
      <c r="I1151" t="s">
        <v>12</v>
      </c>
      <c r="J1151" s="3">
        <v>690.34</v>
      </c>
    </row>
    <row r="1152" spans="1:10" x14ac:dyDescent="0.25">
      <c r="A1152" t="s">
        <v>400</v>
      </c>
      <c r="B1152" t="s">
        <v>71</v>
      </c>
      <c r="C1152" s="82" t="s">
        <v>401</v>
      </c>
      <c r="D1152">
        <v>201512</v>
      </c>
      <c r="E1152" s="1">
        <v>42339</v>
      </c>
      <c r="F1152" s="1">
        <v>42369</v>
      </c>
      <c r="G1152" t="s">
        <v>401</v>
      </c>
      <c r="H1152" s="81">
        <v>107</v>
      </c>
      <c r="I1152" t="s">
        <v>12</v>
      </c>
      <c r="J1152" s="3">
        <v>655.48</v>
      </c>
    </row>
    <row r="1153" spans="1:10" x14ac:dyDescent="0.25">
      <c r="A1153" t="s">
        <v>400</v>
      </c>
      <c r="B1153" t="s">
        <v>71</v>
      </c>
      <c r="C1153" s="82" t="s">
        <v>401</v>
      </c>
      <c r="D1153">
        <v>201601</v>
      </c>
      <c r="E1153" s="1">
        <v>42369</v>
      </c>
      <c r="F1153" s="1">
        <v>42401</v>
      </c>
      <c r="G1153" t="s">
        <v>401</v>
      </c>
      <c r="H1153" s="81">
        <v>162</v>
      </c>
      <c r="I1153" t="s">
        <v>12</v>
      </c>
      <c r="J1153" s="3">
        <v>862.05</v>
      </c>
    </row>
    <row r="1154" spans="1:10" x14ac:dyDescent="0.25">
      <c r="A1154" t="s">
        <v>400</v>
      </c>
      <c r="B1154" t="s">
        <v>71</v>
      </c>
      <c r="C1154" s="82" t="s">
        <v>401</v>
      </c>
      <c r="D1154">
        <v>201602</v>
      </c>
      <c r="E1154" s="1">
        <v>42401</v>
      </c>
      <c r="F1154" s="1">
        <v>42430</v>
      </c>
      <c r="G1154" t="s">
        <v>401</v>
      </c>
      <c r="H1154" s="81">
        <v>126</v>
      </c>
      <c r="I1154" t="s">
        <v>12</v>
      </c>
      <c r="J1154" s="3">
        <v>701.96</v>
      </c>
    </row>
    <row r="1155" spans="1:10" x14ac:dyDescent="0.25">
      <c r="A1155" t="s">
        <v>400</v>
      </c>
      <c r="B1155" t="s">
        <v>71</v>
      </c>
      <c r="C1155" s="82" t="s">
        <v>401</v>
      </c>
      <c r="D1155">
        <v>201603</v>
      </c>
      <c r="E1155" s="1">
        <v>42430</v>
      </c>
      <c r="F1155" s="1">
        <v>42460</v>
      </c>
      <c r="G1155" t="s">
        <v>401</v>
      </c>
      <c r="H1155" s="81">
        <v>131</v>
      </c>
      <c r="I1155" t="s">
        <v>12</v>
      </c>
      <c r="J1155" s="3">
        <v>709.39</v>
      </c>
    </row>
    <row r="1156" spans="1:10" x14ac:dyDescent="0.25">
      <c r="A1156" t="s">
        <v>400</v>
      </c>
      <c r="B1156" t="s">
        <v>71</v>
      </c>
      <c r="C1156" s="82" t="s">
        <v>401</v>
      </c>
      <c r="D1156">
        <v>201604</v>
      </c>
      <c r="E1156" s="1">
        <v>42460</v>
      </c>
      <c r="F1156" s="1">
        <v>42489</v>
      </c>
      <c r="G1156" t="s">
        <v>401</v>
      </c>
      <c r="H1156" s="81">
        <v>85</v>
      </c>
      <c r="I1156" t="s">
        <v>12</v>
      </c>
      <c r="J1156" s="3">
        <v>636.26</v>
      </c>
    </row>
    <row r="1157" spans="1:10" x14ac:dyDescent="0.25">
      <c r="A1157" t="s">
        <v>400</v>
      </c>
      <c r="B1157" t="s">
        <v>71</v>
      </c>
      <c r="C1157" s="82" t="s">
        <v>401</v>
      </c>
      <c r="D1157">
        <v>201605</v>
      </c>
      <c r="E1157" s="1">
        <v>42489</v>
      </c>
      <c r="F1157" s="1">
        <v>42521</v>
      </c>
      <c r="G1157" t="s">
        <v>401</v>
      </c>
      <c r="H1157" s="81">
        <v>57</v>
      </c>
      <c r="I1157" t="s">
        <v>12</v>
      </c>
      <c r="J1157" s="3">
        <v>525.38</v>
      </c>
    </row>
    <row r="1158" spans="1:10" x14ac:dyDescent="0.25">
      <c r="A1158" t="s">
        <v>400</v>
      </c>
      <c r="B1158" t="s">
        <v>71</v>
      </c>
      <c r="C1158" s="82" t="s">
        <v>401</v>
      </c>
      <c r="D1158">
        <v>201606</v>
      </c>
      <c r="E1158" s="1">
        <v>42521</v>
      </c>
      <c r="F1158" s="1">
        <v>42550</v>
      </c>
      <c r="G1158" t="s">
        <v>401</v>
      </c>
      <c r="H1158" s="81">
        <v>65</v>
      </c>
      <c r="I1158" t="s">
        <v>12</v>
      </c>
      <c r="J1158" s="3">
        <v>708.56</v>
      </c>
    </row>
    <row r="1159" spans="1:10" x14ac:dyDescent="0.25">
      <c r="A1159" t="s">
        <v>402</v>
      </c>
      <c r="B1159" t="s">
        <v>71</v>
      </c>
      <c r="C1159" s="82" t="s">
        <v>403</v>
      </c>
      <c r="D1159">
        <v>201507</v>
      </c>
      <c r="E1159" s="1">
        <v>42185</v>
      </c>
      <c r="F1159" s="1">
        <v>42216</v>
      </c>
      <c r="G1159" t="s">
        <v>403</v>
      </c>
      <c r="H1159" s="81">
        <v>66</v>
      </c>
      <c r="I1159" t="s">
        <v>12</v>
      </c>
      <c r="J1159" s="3">
        <v>744.43</v>
      </c>
    </row>
    <row r="1160" spans="1:10" x14ac:dyDescent="0.25">
      <c r="A1160" t="s">
        <v>402</v>
      </c>
      <c r="B1160" t="s">
        <v>71</v>
      </c>
      <c r="C1160" s="82" t="s">
        <v>403</v>
      </c>
      <c r="D1160">
        <v>201508</v>
      </c>
      <c r="E1160" s="1">
        <v>42216</v>
      </c>
      <c r="F1160" s="1">
        <v>42243</v>
      </c>
      <c r="G1160" t="s">
        <v>403</v>
      </c>
      <c r="H1160" s="81">
        <v>65</v>
      </c>
      <c r="I1160" t="s">
        <v>12</v>
      </c>
      <c r="J1160" s="3">
        <v>746.7</v>
      </c>
    </row>
    <row r="1161" spans="1:10" x14ac:dyDescent="0.25">
      <c r="A1161" t="s">
        <v>402</v>
      </c>
      <c r="B1161" t="s">
        <v>71</v>
      </c>
      <c r="C1161" s="82" t="s">
        <v>403</v>
      </c>
      <c r="D1161">
        <v>201509</v>
      </c>
      <c r="E1161" s="1">
        <v>42243</v>
      </c>
      <c r="F1161" s="1">
        <v>42276</v>
      </c>
      <c r="G1161" t="s">
        <v>403</v>
      </c>
      <c r="H1161" s="81">
        <v>79</v>
      </c>
      <c r="I1161" t="s">
        <v>12</v>
      </c>
      <c r="J1161" s="3">
        <v>898.84</v>
      </c>
    </row>
    <row r="1162" spans="1:10" x14ac:dyDescent="0.25">
      <c r="A1162" t="s">
        <v>402</v>
      </c>
      <c r="B1162" t="s">
        <v>71</v>
      </c>
      <c r="C1162" s="82" t="s">
        <v>403</v>
      </c>
      <c r="D1162">
        <v>201510</v>
      </c>
      <c r="E1162" s="1">
        <v>42276</v>
      </c>
      <c r="F1162" s="1">
        <v>42305</v>
      </c>
      <c r="G1162" t="s">
        <v>403</v>
      </c>
      <c r="H1162" s="81">
        <v>90</v>
      </c>
      <c r="I1162" t="s">
        <v>12</v>
      </c>
      <c r="J1162" s="3">
        <v>728.96</v>
      </c>
    </row>
    <row r="1163" spans="1:10" x14ac:dyDescent="0.25">
      <c r="A1163" t="s">
        <v>402</v>
      </c>
      <c r="B1163" t="s">
        <v>71</v>
      </c>
      <c r="C1163" s="82" t="s">
        <v>403</v>
      </c>
      <c r="D1163">
        <v>201511</v>
      </c>
      <c r="E1163" s="1">
        <v>42305</v>
      </c>
      <c r="F1163" s="1">
        <v>42339</v>
      </c>
      <c r="G1163" t="s">
        <v>403</v>
      </c>
      <c r="H1163" s="81">
        <v>103</v>
      </c>
      <c r="I1163" t="s">
        <v>12</v>
      </c>
      <c r="J1163" s="3">
        <v>690.34</v>
      </c>
    </row>
    <row r="1164" spans="1:10" x14ac:dyDescent="0.25">
      <c r="A1164" t="s">
        <v>402</v>
      </c>
      <c r="B1164" t="s">
        <v>71</v>
      </c>
      <c r="C1164" s="82" t="s">
        <v>403</v>
      </c>
      <c r="D1164">
        <v>201512</v>
      </c>
      <c r="E1164" s="1">
        <v>42339</v>
      </c>
      <c r="F1164" s="1">
        <v>42369</v>
      </c>
      <c r="G1164" t="s">
        <v>403</v>
      </c>
      <c r="H1164" s="81">
        <v>107</v>
      </c>
      <c r="I1164" t="s">
        <v>12</v>
      </c>
      <c r="J1164" s="3">
        <v>655.48</v>
      </c>
    </row>
    <row r="1165" spans="1:10" x14ac:dyDescent="0.25">
      <c r="A1165" t="s">
        <v>402</v>
      </c>
      <c r="B1165" t="s">
        <v>71</v>
      </c>
      <c r="C1165" s="82" t="s">
        <v>403</v>
      </c>
      <c r="D1165">
        <v>201601</v>
      </c>
      <c r="E1165" s="1">
        <v>42369</v>
      </c>
      <c r="F1165" s="1">
        <v>42401</v>
      </c>
      <c r="G1165" t="s">
        <v>403</v>
      </c>
      <c r="H1165" s="81">
        <v>162</v>
      </c>
      <c r="I1165" t="s">
        <v>12</v>
      </c>
      <c r="J1165" s="3">
        <v>862.05</v>
      </c>
    </row>
    <row r="1166" spans="1:10" x14ac:dyDescent="0.25">
      <c r="A1166" t="s">
        <v>402</v>
      </c>
      <c r="B1166" t="s">
        <v>71</v>
      </c>
      <c r="C1166" s="82" t="s">
        <v>403</v>
      </c>
      <c r="D1166">
        <v>201602</v>
      </c>
      <c r="E1166" s="1">
        <v>42401</v>
      </c>
      <c r="F1166" s="1">
        <v>42430</v>
      </c>
      <c r="G1166" t="s">
        <v>403</v>
      </c>
      <c r="H1166" s="81">
        <v>127</v>
      </c>
      <c r="I1166" t="s">
        <v>12</v>
      </c>
      <c r="J1166" s="3">
        <v>707.53</v>
      </c>
    </row>
    <row r="1167" spans="1:10" x14ac:dyDescent="0.25">
      <c r="A1167" t="s">
        <v>402</v>
      </c>
      <c r="B1167" t="s">
        <v>71</v>
      </c>
      <c r="C1167" s="82" t="s">
        <v>403</v>
      </c>
      <c r="D1167">
        <v>201603</v>
      </c>
      <c r="E1167" s="1">
        <v>42430</v>
      </c>
      <c r="F1167" s="1">
        <v>42460</v>
      </c>
      <c r="G1167" t="s">
        <v>403</v>
      </c>
      <c r="H1167" s="81">
        <v>132</v>
      </c>
      <c r="I1167" t="s">
        <v>12</v>
      </c>
      <c r="J1167" s="3">
        <v>714.81</v>
      </c>
    </row>
    <row r="1168" spans="1:10" x14ac:dyDescent="0.25">
      <c r="A1168" t="s">
        <v>402</v>
      </c>
      <c r="B1168" t="s">
        <v>71</v>
      </c>
      <c r="C1168" s="82" t="s">
        <v>403</v>
      </c>
      <c r="D1168">
        <v>201604</v>
      </c>
      <c r="E1168" s="1">
        <v>42460</v>
      </c>
      <c r="F1168" s="1">
        <v>42489</v>
      </c>
      <c r="G1168" t="s">
        <v>403</v>
      </c>
      <c r="H1168" s="81">
        <v>85</v>
      </c>
      <c r="I1168" t="s">
        <v>12</v>
      </c>
      <c r="J1168" s="3">
        <v>636.26</v>
      </c>
    </row>
    <row r="1169" spans="1:10" x14ac:dyDescent="0.25">
      <c r="A1169" t="s">
        <v>402</v>
      </c>
      <c r="B1169" t="s">
        <v>71</v>
      </c>
      <c r="C1169" s="82" t="s">
        <v>403</v>
      </c>
      <c r="D1169">
        <v>201605</v>
      </c>
      <c r="E1169" s="1">
        <v>42489</v>
      </c>
      <c r="F1169" s="1">
        <v>42521</v>
      </c>
      <c r="G1169" t="s">
        <v>403</v>
      </c>
      <c r="H1169" s="81">
        <v>57</v>
      </c>
      <c r="I1169" t="s">
        <v>12</v>
      </c>
      <c r="J1169" s="3">
        <v>525.38</v>
      </c>
    </row>
    <row r="1170" spans="1:10" x14ac:dyDescent="0.25">
      <c r="A1170" t="s">
        <v>402</v>
      </c>
      <c r="B1170" t="s">
        <v>71</v>
      </c>
      <c r="C1170" s="82" t="s">
        <v>403</v>
      </c>
      <c r="D1170">
        <v>201606</v>
      </c>
      <c r="E1170" s="1">
        <v>42521</v>
      </c>
      <c r="F1170" s="1">
        <v>42550</v>
      </c>
      <c r="G1170" t="s">
        <v>403</v>
      </c>
      <c r="H1170" s="81">
        <v>66</v>
      </c>
      <c r="I1170" t="s">
        <v>12</v>
      </c>
      <c r="J1170" s="3">
        <v>719.46</v>
      </c>
    </row>
    <row r="1171" spans="1:10" x14ac:dyDescent="0.25">
      <c r="A1171" t="s">
        <v>48</v>
      </c>
      <c r="B1171" t="s">
        <v>71</v>
      </c>
      <c r="C1171" s="82" t="s">
        <v>406</v>
      </c>
      <c r="D1171">
        <v>201507</v>
      </c>
      <c r="E1171" s="1">
        <v>42185</v>
      </c>
      <c r="F1171" s="1">
        <v>42216</v>
      </c>
      <c r="G1171" t="s">
        <v>407</v>
      </c>
      <c r="H1171" s="81">
        <v>479</v>
      </c>
      <c r="I1171" t="s">
        <v>12</v>
      </c>
      <c r="J1171" s="3">
        <v>5402.74</v>
      </c>
    </row>
    <row r="1172" spans="1:10" x14ac:dyDescent="0.25">
      <c r="A1172" t="s">
        <v>48</v>
      </c>
      <c r="B1172" t="s">
        <v>71</v>
      </c>
      <c r="C1172" s="82" t="s">
        <v>406</v>
      </c>
      <c r="D1172">
        <v>201508</v>
      </c>
      <c r="E1172" s="1">
        <v>42216</v>
      </c>
      <c r="F1172" s="1">
        <v>42243</v>
      </c>
      <c r="G1172" t="s">
        <v>407</v>
      </c>
      <c r="H1172" s="81">
        <v>474</v>
      </c>
      <c r="I1172" t="s">
        <v>12</v>
      </c>
      <c r="J1172" s="3">
        <v>5445.14</v>
      </c>
    </row>
    <row r="1173" spans="1:10" x14ac:dyDescent="0.25">
      <c r="A1173" t="s">
        <v>48</v>
      </c>
      <c r="B1173" t="s">
        <v>71</v>
      </c>
      <c r="C1173" s="82" t="s">
        <v>406</v>
      </c>
      <c r="D1173">
        <v>201509</v>
      </c>
      <c r="E1173" s="1">
        <v>42243</v>
      </c>
      <c r="F1173" s="1">
        <v>42276</v>
      </c>
      <c r="G1173" t="s">
        <v>407</v>
      </c>
      <c r="H1173" s="81">
        <v>579</v>
      </c>
      <c r="I1173" t="s">
        <v>12</v>
      </c>
      <c r="J1173" s="3">
        <v>6587.7</v>
      </c>
    </row>
    <row r="1174" spans="1:10" x14ac:dyDescent="0.25">
      <c r="A1174" t="s">
        <v>48</v>
      </c>
      <c r="B1174" t="s">
        <v>71</v>
      </c>
      <c r="C1174" s="82" t="s">
        <v>406</v>
      </c>
      <c r="D1174">
        <v>201510</v>
      </c>
      <c r="E1174" s="1">
        <v>42276</v>
      </c>
      <c r="F1174" s="1">
        <v>42305</v>
      </c>
      <c r="G1174" t="s">
        <v>407</v>
      </c>
      <c r="H1174" s="81">
        <v>655</v>
      </c>
      <c r="I1174" t="s">
        <v>12</v>
      </c>
      <c r="J1174" s="3">
        <v>5305.18</v>
      </c>
    </row>
    <row r="1175" spans="1:10" x14ac:dyDescent="0.25">
      <c r="A1175" t="s">
        <v>48</v>
      </c>
      <c r="B1175" t="s">
        <v>71</v>
      </c>
      <c r="C1175" s="82" t="s">
        <v>406</v>
      </c>
      <c r="D1175">
        <v>201511</v>
      </c>
      <c r="E1175" s="1">
        <v>42305</v>
      </c>
      <c r="F1175" s="1">
        <v>42339</v>
      </c>
      <c r="G1175" t="s">
        <v>407</v>
      </c>
      <c r="H1175" s="81">
        <v>752</v>
      </c>
      <c r="I1175" t="s">
        <v>12</v>
      </c>
      <c r="J1175" s="3">
        <v>5040.1499999999996</v>
      </c>
    </row>
    <row r="1176" spans="1:10" x14ac:dyDescent="0.25">
      <c r="A1176" t="s">
        <v>48</v>
      </c>
      <c r="B1176" t="s">
        <v>71</v>
      </c>
      <c r="C1176" s="82" t="s">
        <v>406</v>
      </c>
      <c r="D1176">
        <v>201512</v>
      </c>
      <c r="E1176" s="1">
        <v>42339</v>
      </c>
      <c r="F1176" s="1">
        <v>42369</v>
      </c>
      <c r="G1176" t="s">
        <v>407</v>
      </c>
      <c r="H1176" s="81">
        <v>784</v>
      </c>
      <c r="I1176" t="s">
        <v>12</v>
      </c>
      <c r="J1176" s="3">
        <v>4802.75</v>
      </c>
    </row>
    <row r="1177" spans="1:10" x14ac:dyDescent="0.25">
      <c r="A1177" t="s">
        <v>48</v>
      </c>
      <c r="B1177" t="s">
        <v>71</v>
      </c>
      <c r="C1177" s="82" t="s">
        <v>406</v>
      </c>
      <c r="D1177">
        <v>201601</v>
      </c>
      <c r="E1177" s="1">
        <v>42369</v>
      </c>
      <c r="F1177" s="1">
        <v>42401</v>
      </c>
      <c r="G1177" t="s">
        <v>407</v>
      </c>
      <c r="H1177" s="81">
        <v>1184</v>
      </c>
      <c r="I1177" t="s">
        <v>12</v>
      </c>
      <c r="J1177" s="3">
        <v>6300.39</v>
      </c>
    </row>
    <row r="1178" spans="1:10" x14ac:dyDescent="0.25">
      <c r="A1178" t="s">
        <v>48</v>
      </c>
      <c r="B1178" t="s">
        <v>71</v>
      </c>
      <c r="C1178" s="82" t="s">
        <v>406</v>
      </c>
      <c r="D1178">
        <v>201602</v>
      </c>
      <c r="E1178" s="1">
        <v>42401</v>
      </c>
      <c r="F1178" s="1">
        <v>42430</v>
      </c>
      <c r="G1178" t="s">
        <v>407</v>
      </c>
      <c r="H1178" s="81">
        <v>925</v>
      </c>
      <c r="I1178" t="s">
        <v>12</v>
      </c>
      <c r="J1178" s="3">
        <v>5153.2700000000004</v>
      </c>
    </row>
    <row r="1179" spans="1:10" x14ac:dyDescent="0.25">
      <c r="A1179" t="s">
        <v>48</v>
      </c>
      <c r="B1179" t="s">
        <v>71</v>
      </c>
      <c r="C1179" s="82" t="s">
        <v>406</v>
      </c>
      <c r="D1179">
        <v>201603</v>
      </c>
      <c r="E1179" s="1">
        <v>42430</v>
      </c>
      <c r="F1179" s="1">
        <v>42460</v>
      </c>
      <c r="G1179" t="s">
        <v>407</v>
      </c>
      <c r="H1179" s="81">
        <v>962</v>
      </c>
      <c r="I1179" t="s">
        <v>12</v>
      </c>
      <c r="J1179" s="3">
        <v>5209.42</v>
      </c>
    </row>
    <row r="1180" spans="1:10" x14ac:dyDescent="0.25">
      <c r="A1180" t="s">
        <v>48</v>
      </c>
      <c r="B1180" t="s">
        <v>71</v>
      </c>
      <c r="C1180" s="82" t="s">
        <v>406</v>
      </c>
      <c r="D1180">
        <v>201604</v>
      </c>
      <c r="E1180" s="1">
        <v>42460</v>
      </c>
      <c r="F1180" s="1">
        <v>42489</v>
      </c>
      <c r="G1180" t="s">
        <v>407</v>
      </c>
      <c r="H1180" s="81">
        <v>624</v>
      </c>
      <c r="I1180" t="s">
        <v>12</v>
      </c>
      <c r="J1180" s="3">
        <v>4670.8999999999996</v>
      </c>
    </row>
    <row r="1181" spans="1:10" x14ac:dyDescent="0.25">
      <c r="A1181" t="s">
        <v>48</v>
      </c>
      <c r="B1181" t="s">
        <v>71</v>
      </c>
      <c r="C1181" s="82" t="s">
        <v>406</v>
      </c>
      <c r="D1181">
        <v>201605</v>
      </c>
      <c r="E1181" s="1">
        <v>42489</v>
      </c>
      <c r="F1181" s="1">
        <v>42521</v>
      </c>
      <c r="G1181" t="s">
        <v>407</v>
      </c>
      <c r="H1181" s="81">
        <v>416</v>
      </c>
      <c r="I1181" t="s">
        <v>12</v>
      </c>
      <c r="J1181" s="3">
        <v>3834.34</v>
      </c>
    </row>
    <row r="1182" spans="1:10" x14ac:dyDescent="0.25">
      <c r="A1182" t="s">
        <v>48</v>
      </c>
      <c r="B1182" t="s">
        <v>71</v>
      </c>
      <c r="C1182" s="82" t="s">
        <v>406</v>
      </c>
      <c r="D1182">
        <v>201606</v>
      </c>
      <c r="E1182" s="1">
        <v>42521</v>
      </c>
      <c r="F1182" s="1">
        <v>42550</v>
      </c>
      <c r="G1182" t="s">
        <v>407</v>
      </c>
      <c r="H1182" s="81">
        <v>479</v>
      </c>
      <c r="I1182" t="s">
        <v>12</v>
      </c>
      <c r="J1182" s="3">
        <v>5221.55</v>
      </c>
    </row>
    <row r="1183" spans="1:10" x14ac:dyDescent="0.25">
      <c r="A1183" t="s">
        <v>63</v>
      </c>
      <c r="B1183" t="s">
        <v>71</v>
      </c>
      <c r="C1183" s="82" t="s">
        <v>405</v>
      </c>
      <c r="D1183">
        <v>201507</v>
      </c>
      <c r="E1183" s="1">
        <v>42185</v>
      </c>
      <c r="F1183" s="1">
        <v>42216</v>
      </c>
      <c r="G1183" t="s">
        <v>405</v>
      </c>
      <c r="H1183" s="81">
        <v>457</v>
      </c>
      <c r="I1183" t="s">
        <v>12</v>
      </c>
      <c r="J1183" s="3">
        <v>5154.6000000000004</v>
      </c>
    </row>
    <row r="1184" spans="1:10" x14ac:dyDescent="0.25">
      <c r="A1184" t="s">
        <v>63</v>
      </c>
      <c r="B1184" t="s">
        <v>71</v>
      </c>
      <c r="C1184" s="82" t="s">
        <v>405</v>
      </c>
      <c r="D1184">
        <v>201508</v>
      </c>
      <c r="E1184" s="1">
        <v>42216</v>
      </c>
      <c r="F1184" s="1">
        <v>42243</v>
      </c>
      <c r="G1184" t="s">
        <v>405</v>
      </c>
      <c r="H1184" s="81">
        <v>453</v>
      </c>
      <c r="I1184" t="s">
        <v>12</v>
      </c>
      <c r="J1184" s="3">
        <v>5203.8999999999996</v>
      </c>
    </row>
    <row r="1185" spans="1:10" x14ac:dyDescent="0.25">
      <c r="A1185" t="s">
        <v>63</v>
      </c>
      <c r="B1185" t="s">
        <v>71</v>
      </c>
      <c r="C1185" s="82" t="s">
        <v>405</v>
      </c>
      <c r="D1185">
        <v>201509</v>
      </c>
      <c r="E1185" s="1">
        <v>42243</v>
      </c>
      <c r="F1185" s="1">
        <v>42276</v>
      </c>
      <c r="G1185" t="s">
        <v>405</v>
      </c>
      <c r="H1185" s="81">
        <v>553</v>
      </c>
      <c r="I1185" t="s">
        <v>12</v>
      </c>
      <c r="J1185" s="3">
        <v>6291.88</v>
      </c>
    </row>
    <row r="1186" spans="1:10" x14ac:dyDescent="0.25">
      <c r="A1186" t="s">
        <v>63</v>
      </c>
      <c r="B1186" t="s">
        <v>71</v>
      </c>
      <c r="C1186" s="82" t="s">
        <v>405</v>
      </c>
      <c r="D1186">
        <v>201510</v>
      </c>
      <c r="E1186" s="1">
        <v>42276</v>
      </c>
      <c r="F1186" s="1">
        <v>42305</v>
      </c>
      <c r="G1186" t="s">
        <v>405</v>
      </c>
      <c r="H1186" s="81">
        <v>625</v>
      </c>
      <c r="I1186" t="s">
        <v>12</v>
      </c>
      <c r="J1186" s="3">
        <v>5062.1899999999996</v>
      </c>
    </row>
    <row r="1187" spans="1:10" x14ac:dyDescent="0.25">
      <c r="A1187" t="s">
        <v>63</v>
      </c>
      <c r="B1187" t="s">
        <v>71</v>
      </c>
      <c r="C1187" s="82" t="s">
        <v>405</v>
      </c>
      <c r="D1187">
        <v>201511</v>
      </c>
      <c r="E1187" s="1">
        <v>42305</v>
      </c>
      <c r="F1187" s="1">
        <v>42339</v>
      </c>
      <c r="G1187" t="s">
        <v>405</v>
      </c>
      <c r="H1187" s="81">
        <v>718</v>
      </c>
      <c r="I1187" t="s">
        <v>12</v>
      </c>
      <c r="J1187" s="3">
        <v>4812.2700000000004</v>
      </c>
    </row>
    <row r="1188" spans="1:10" x14ac:dyDescent="0.25">
      <c r="A1188" t="s">
        <v>63</v>
      </c>
      <c r="B1188" t="s">
        <v>71</v>
      </c>
      <c r="C1188" s="82" t="s">
        <v>405</v>
      </c>
      <c r="D1188">
        <v>201512</v>
      </c>
      <c r="E1188" s="1">
        <v>42339</v>
      </c>
      <c r="F1188" s="1">
        <v>42369</v>
      </c>
      <c r="G1188" t="s">
        <v>405</v>
      </c>
      <c r="H1188" s="81">
        <v>748</v>
      </c>
      <c r="I1188" t="s">
        <v>12</v>
      </c>
      <c r="J1188" s="3">
        <v>4582.21</v>
      </c>
    </row>
    <row r="1189" spans="1:10" x14ac:dyDescent="0.25">
      <c r="A1189" t="s">
        <v>63</v>
      </c>
      <c r="B1189" t="s">
        <v>71</v>
      </c>
      <c r="C1189" s="82" t="s">
        <v>405</v>
      </c>
      <c r="D1189">
        <v>201601</v>
      </c>
      <c r="E1189" s="1">
        <v>42369</v>
      </c>
      <c r="F1189" s="1">
        <v>42401</v>
      </c>
      <c r="G1189" t="s">
        <v>405</v>
      </c>
      <c r="H1189" s="81">
        <v>1130</v>
      </c>
      <c r="I1189" t="s">
        <v>12</v>
      </c>
      <c r="J1189" s="3">
        <v>6013.04</v>
      </c>
    </row>
    <row r="1190" spans="1:10" x14ac:dyDescent="0.25">
      <c r="A1190" t="s">
        <v>63</v>
      </c>
      <c r="B1190" t="s">
        <v>71</v>
      </c>
      <c r="C1190" s="82" t="s">
        <v>405</v>
      </c>
      <c r="D1190">
        <v>201602</v>
      </c>
      <c r="E1190" s="1">
        <v>42401</v>
      </c>
      <c r="F1190" s="1">
        <v>42430</v>
      </c>
      <c r="G1190" t="s">
        <v>405</v>
      </c>
      <c r="H1190" s="81">
        <v>883</v>
      </c>
      <c r="I1190" t="s">
        <v>12</v>
      </c>
      <c r="J1190" s="3">
        <v>4919.28</v>
      </c>
    </row>
    <row r="1191" spans="1:10" x14ac:dyDescent="0.25">
      <c r="A1191" t="s">
        <v>63</v>
      </c>
      <c r="B1191" t="s">
        <v>71</v>
      </c>
      <c r="C1191" s="82" t="s">
        <v>405</v>
      </c>
      <c r="D1191">
        <v>201603</v>
      </c>
      <c r="E1191" s="1">
        <v>42430</v>
      </c>
      <c r="F1191" s="1">
        <v>42460</v>
      </c>
      <c r="G1191" t="s">
        <v>405</v>
      </c>
      <c r="H1191" s="81">
        <v>919</v>
      </c>
      <c r="I1191" t="s">
        <v>12</v>
      </c>
      <c r="J1191" s="3">
        <v>4976.57</v>
      </c>
    </row>
    <row r="1192" spans="1:10" x14ac:dyDescent="0.25">
      <c r="A1192" t="s">
        <v>63</v>
      </c>
      <c r="B1192" t="s">
        <v>71</v>
      </c>
      <c r="C1192" s="82" t="s">
        <v>405</v>
      </c>
      <c r="D1192">
        <v>201604</v>
      </c>
      <c r="E1192" s="1">
        <v>42460</v>
      </c>
      <c r="F1192" s="1">
        <v>42489</v>
      </c>
      <c r="G1192" t="s">
        <v>405</v>
      </c>
      <c r="H1192" s="81">
        <v>596</v>
      </c>
      <c r="I1192" t="s">
        <v>12</v>
      </c>
      <c r="J1192" s="3">
        <v>4461.3100000000004</v>
      </c>
    </row>
    <row r="1193" spans="1:10" x14ac:dyDescent="0.25">
      <c r="A1193" t="s">
        <v>63</v>
      </c>
      <c r="B1193" t="s">
        <v>71</v>
      </c>
      <c r="C1193" s="82" t="s">
        <v>405</v>
      </c>
      <c r="D1193">
        <v>201605</v>
      </c>
      <c r="E1193" s="1">
        <v>42489</v>
      </c>
      <c r="F1193" s="1">
        <v>42521</v>
      </c>
      <c r="G1193" t="s">
        <v>405</v>
      </c>
      <c r="H1193" s="81">
        <v>398</v>
      </c>
      <c r="I1193" t="s">
        <v>12</v>
      </c>
      <c r="J1193" s="3">
        <v>3668.43</v>
      </c>
    </row>
    <row r="1194" spans="1:10" x14ac:dyDescent="0.25">
      <c r="A1194" t="s">
        <v>63</v>
      </c>
      <c r="B1194" t="s">
        <v>71</v>
      </c>
      <c r="C1194" s="82" t="s">
        <v>405</v>
      </c>
      <c r="D1194">
        <v>201606</v>
      </c>
      <c r="E1194" s="1">
        <v>42521</v>
      </c>
      <c r="F1194" s="1">
        <v>42550</v>
      </c>
      <c r="G1194" t="s">
        <v>405</v>
      </c>
      <c r="H1194" s="81">
        <v>458</v>
      </c>
      <c r="I1194" t="s">
        <v>12</v>
      </c>
      <c r="J1194" s="3">
        <v>4992.63</v>
      </c>
    </row>
    <row r="1195" spans="1:10" x14ac:dyDescent="0.25">
      <c r="A1195" t="s">
        <v>68</v>
      </c>
      <c r="B1195" t="s">
        <v>71</v>
      </c>
      <c r="C1195" s="82" t="s">
        <v>421</v>
      </c>
      <c r="D1195">
        <v>201507</v>
      </c>
      <c r="E1195" s="1">
        <v>42185</v>
      </c>
      <c r="F1195" s="1">
        <v>42216</v>
      </c>
      <c r="G1195" t="s">
        <v>422</v>
      </c>
      <c r="H1195" s="81">
        <v>494</v>
      </c>
      <c r="I1195" t="s">
        <v>12</v>
      </c>
      <c r="J1195" s="3">
        <v>5571.93</v>
      </c>
    </row>
    <row r="1196" spans="1:10" x14ac:dyDescent="0.25">
      <c r="A1196" t="s">
        <v>68</v>
      </c>
      <c r="B1196" t="s">
        <v>71</v>
      </c>
      <c r="C1196" s="82" t="s">
        <v>421</v>
      </c>
      <c r="D1196">
        <v>201508</v>
      </c>
      <c r="E1196" s="1">
        <v>42216</v>
      </c>
      <c r="F1196" s="1">
        <v>42243</v>
      </c>
      <c r="G1196" t="s">
        <v>422</v>
      </c>
      <c r="H1196" s="81">
        <v>489</v>
      </c>
      <c r="I1196" t="s">
        <v>12</v>
      </c>
      <c r="J1196" s="3">
        <v>5617.45</v>
      </c>
    </row>
    <row r="1197" spans="1:10" x14ac:dyDescent="0.25">
      <c r="A1197" t="s">
        <v>68</v>
      </c>
      <c r="B1197" t="s">
        <v>71</v>
      </c>
      <c r="C1197" s="82" t="s">
        <v>421</v>
      </c>
      <c r="D1197">
        <v>201509</v>
      </c>
      <c r="E1197" s="1">
        <v>42243</v>
      </c>
      <c r="F1197" s="1">
        <v>42276</v>
      </c>
      <c r="G1197" t="s">
        <v>422</v>
      </c>
      <c r="H1197" s="81">
        <v>598</v>
      </c>
      <c r="I1197" t="s">
        <v>12</v>
      </c>
      <c r="J1197" s="3">
        <v>6803.88</v>
      </c>
    </row>
    <row r="1198" spans="1:10" x14ac:dyDescent="0.25">
      <c r="A1198" t="s">
        <v>68</v>
      </c>
      <c r="B1198" t="s">
        <v>71</v>
      </c>
      <c r="C1198" s="82" t="s">
        <v>421</v>
      </c>
      <c r="D1198">
        <v>201510</v>
      </c>
      <c r="E1198" s="1">
        <v>42276</v>
      </c>
      <c r="F1198" s="1">
        <v>42305</v>
      </c>
      <c r="G1198" t="s">
        <v>422</v>
      </c>
      <c r="H1198" s="81">
        <v>676</v>
      </c>
      <c r="I1198" t="s">
        <v>12</v>
      </c>
      <c r="J1198" s="3">
        <v>5475.27</v>
      </c>
    </row>
    <row r="1199" spans="1:10" x14ac:dyDescent="0.25">
      <c r="A1199" t="s">
        <v>68</v>
      </c>
      <c r="B1199" t="s">
        <v>71</v>
      </c>
      <c r="C1199" s="82" t="s">
        <v>421</v>
      </c>
      <c r="D1199">
        <v>201511</v>
      </c>
      <c r="E1199" s="1">
        <v>42305</v>
      </c>
      <c r="F1199" s="1">
        <v>42339</v>
      </c>
      <c r="G1199" t="s">
        <v>422</v>
      </c>
      <c r="H1199" s="81">
        <v>776</v>
      </c>
      <c r="I1199" t="s">
        <v>12</v>
      </c>
      <c r="J1199" s="3">
        <v>5201.01</v>
      </c>
    </row>
    <row r="1200" spans="1:10" x14ac:dyDescent="0.25">
      <c r="A1200" t="s">
        <v>68</v>
      </c>
      <c r="B1200" t="s">
        <v>71</v>
      </c>
      <c r="C1200" s="82" t="s">
        <v>421</v>
      </c>
      <c r="D1200">
        <v>201512</v>
      </c>
      <c r="E1200" s="1">
        <v>42339</v>
      </c>
      <c r="F1200" s="1">
        <v>42369</v>
      </c>
      <c r="G1200" t="s">
        <v>422</v>
      </c>
      <c r="H1200" s="81">
        <v>808</v>
      </c>
      <c r="I1200" t="s">
        <v>12</v>
      </c>
      <c r="J1200" s="3">
        <v>4949.7700000000004</v>
      </c>
    </row>
    <row r="1201" spans="1:10" x14ac:dyDescent="0.25">
      <c r="A1201" t="s">
        <v>68</v>
      </c>
      <c r="B1201" t="s">
        <v>71</v>
      </c>
      <c r="C1201" s="82" t="s">
        <v>421</v>
      </c>
      <c r="D1201">
        <v>201601</v>
      </c>
      <c r="E1201" s="1">
        <v>42369</v>
      </c>
      <c r="F1201" s="1">
        <v>42401</v>
      </c>
      <c r="G1201" t="s">
        <v>422</v>
      </c>
      <c r="H1201" s="81">
        <v>1221</v>
      </c>
      <c r="I1201" t="s">
        <v>12</v>
      </c>
      <c r="J1201" s="3">
        <v>6497.28</v>
      </c>
    </row>
    <row r="1202" spans="1:10" x14ac:dyDescent="0.25">
      <c r="A1202" t="s">
        <v>68</v>
      </c>
      <c r="B1202" t="s">
        <v>71</v>
      </c>
      <c r="C1202" s="82" t="s">
        <v>421</v>
      </c>
      <c r="D1202">
        <v>201602</v>
      </c>
      <c r="E1202" s="1">
        <v>42401</v>
      </c>
      <c r="F1202" s="1">
        <v>42430</v>
      </c>
      <c r="G1202" t="s">
        <v>422</v>
      </c>
      <c r="H1202" s="81">
        <v>954</v>
      </c>
      <c r="I1202" t="s">
        <v>12</v>
      </c>
      <c r="J1202" s="3">
        <v>5314.83</v>
      </c>
    </row>
    <row r="1203" spans="1:10" x14ac:dyDescent="0.25">
      <c r="A1203" t="s">
        <v>68</v>
      </c>
      <c r="B1203" t="s">
        <v>71</v>
      </c>
      <c r="C1203" s="82" t="s">
        <v>421</v>
      </c>
      <c r="D1203">
        <v>201603</v>
      </c>
      <c r="E1203" s="1">
        <v>42430</v>
      </c>
      <c r="F1203" s="1">
        <v>42460</v>
      </c>
      <c r="G1203" t="s">
        <v>422</v>
      </c>
      <c r="H1203" s="81">
        <v>993</v>
      </c>
      <c r="I1203" t="s">
        <v>12</v>
      </c>
      <c r="J1203" s="3">
        <v>5377.29</v>
      </c>
    </row>
    <row r="1204" spans="1:10" x14ac:dyDescent="0.25">
      <c r="A1204" t="s">
        <v>68</v>
      </c>
      <c r="B1204" t="s">
        <v>71</v>
      </c>
      <c r="C1204" s="82" t="s">
        <v>421</v>
      </c>
      <c r="D1204">
        <v>201604</v>
      </c>
      <c r="E1204" s="1">
        <v>42460</v>
      </c>
      <c r="F1204" s="1">
        <v>42489</v>
      </c>
      <c r="G1204" t="s">
        <v>422</v>
      </c>
      <c r="H1204" s="81">
        <v>644</v>
      </c>
      <c r="I1204" t="s">
        <v>12</v>
      </c>
      <c r="J1204" s="3">
        <v>4820.6099999999997</v>
      </c>
    </row>
    <row r="1205" spans="1:10" x14ac:dyDescent="0.25">
      <c r="A1205" t="s">
        <v>68</v>
      </c>
      <c r="B1205" t="s">
        <v>71</v>
      </c>
      <c r="C1205" s="82" t="s">
        <v>421</v>
      </c>
      <c r="D1205">
        <v>201605</v>
      </c>
      <c r="E1205" s="1">
        <v>42489</v>
      </c>
      <c r="F1205" s="1">
        <v>42521</v>
      </c>
      <c r="G1205" t="s">
        <v>422</v>
      </c>
      <c r="H1205" s="81">
        <v>430</v>
      </c>
      <c r="I1205" t="s">
        <v>12</v>
      </c>
      <c r="J1205" s="3">
        <v>3963.38</v>
      </c>
    </row>
    <row r="1206" spans="1:10" x14ac:dyDescent="0.25">
      <c r="A1206" t="s">
        <v>68</v>
      </c>
      <c r="B1206" t="s">
        <v>71</v>
      </c>
      <c r="C1206" s="82" t="s">
        <v>421</v>
      </c>
      <c r="D1206">
        <v>201606</v>
      </c>
      <c r="E1206" s="1">
        <v>42521</v>
      </c>
      <c r="F1206" s="1">
        <v>42550</v>
      </c>
      <c r="G1206" t="s">
        <v>422</v>
      </c>
      <c r="H1206" s="81">
        <v>495</v>
      </c>
      <c r="I1206" t="s">
        <v>12</v>
      </c>
      <c r="J1206" s="3">
        <v>5395.97</v>
      </c>
    </row>
    <row r="1207" spans="1:10" x14ac:dyDescent="0.25">
      <c r="A1207" t="s">
        <v>408</v>
      </c>
      <c r="B1207" t="s">
        <v>71</v>
      </c>
      <c r="C1207" s="82" t="s">
        <v>409</v>
      </c>
      <c r="D1207">
        <v>201507</v>
      </c>
      <c r="E1207" s="1">
        <v>42185</v>
      </c>
      <c r="F1207" s="1">
        <v>42216</v>
      </c>
      <c r="G1207" t="s">
        <v>409</v>
      </c>
      <c r="H1207" s="81">
        <v>64</v>
      </c>
      <c r="I1207" t="s">
        <v>12</v>
      </c>
      <c r="J1207" s="3">
        <v>721.87</v>
      </c>
    </row>
    <row r="1208" spans="1:10" x14ac:dyDescent="0.25">
      <c r="A1208" t="s">
        <v>408</v>
      </c>
      <c r="B1208" t="s">
        <v>71</v>
      </c>
      <c r="C1208" s="82" t="s">
        <v>409</v>
      </c>
      <c r="D1208">
        <v>201508</v>
      </c>
      <c r="E1208" s="1">
        <v>42216</v>
      </c>
      <c r="F1208" s="1">
        <v>42243</v>
      </c>
      <c r="G1208" t="s">
        <v>409</v>
      </c>
      <c r="H1208" s="81">
        <v>63</v>
      </c>
      <c r="I1208" t="s">
        <v>12</v>
      </c>
      <c r="J1208" s="3">
        <v>723.72</v>
      </c>
    </row>
    <row r="1209" spans="1:10" x14ac:dyDescent="0.25">
      <c r="A1209" t="s">
        <v>408</v>
      </c>
      <c r="B1209" t="s">
        <v>71</v>
      </c>
      <c r="C1209" s="82" t="s">
        <v>409</v>
      </c>
      <c r="D1209">
        <v>201509</v>
      </c>
      <c r="E1209" s="1">
        <v>42243</v>
      </c>
      <c r="F1209" s="1">
        <v>42276</v>
      </c>
      <c r="G1209" t="s">
        <v>409</v>
      </c>
      <c r="H1209" s="81">
        <v>77</v>
      </c>
      <c r="I1209" t="s">
        <v>12</v>
      </c>
      <c r="J1209" s="3">
        <v>876.08</v>
      </c>
    </row>
    <row r="1210" spans="1:10" x14ac:dyDescent="0.25">
      <c r="A1210" t="s">
        <v>408</v>
      </c>
      <c r="B1210" t="s">
        <v>71</v>
      </c>
      <c r="C1210" s="82" t="s">
        <v>409</v>
      </c>
      <c r="D1210">
        <v>201510</v>
      </c>
      <c r="E1210" s="1">
        <v>42276</v>
      </c>
      <c r="F1210" s="1">
        <v>42305</v>
      </c>
      <c r="G1210" t="s">
        <v>409</v>
      </c>
      <c r="H1210" s="81">
        <v>87</v>
      </c>
      <c r="I1210" t="s">
        <v>12</v>
      </c>
      <c r="J1210" s="3">
        <v>704.66</v>
      </c>
    </row>
    <row r="1211" spans="1:10" x14ac:dyDescent="0.25">
      <c r="A1211" t="s">
        <v>408</v>
      </c>
      <c r="B1211" t="s">
        <v>71</v>
      </c>
      <c r="C1211" s="82" t="s">
        <v>409</v>
      </c>
      <c r="D1211">
        <v>201511</v>
      </c>
      <c r="E1211" s="1">
        <v>42305</v>
      </c>
      <c r="F1211" s="1">
        <v>42339</v>
      </c>
      <c r="G1211" t="s">
        <v>409</v>
      </c>
      <c r="H1211" s="81">
        <v>100</v>
      </c>
      <c r="I1211" t="s">
        <v>12</v>
      </c>
      <c r="J1211" s="3">
        <v>670.23</v>
      </c>
    </row>
    <row r="1212" spans="1:10" x14ac:dyDescent="0.25">
      <c r="A1212" t="s">
        <v>408</v>
      </c>
      <c r="B1212" t="s">
        <v>71</v>
      </c>
      <c r="C1212" s="82" t="s">
        <v>409</v>
      </c>
      <c r="D1212">
        <v>201512</v>
      </c>
      <c r="E1212" s="1">
        <v>42339</v>
      </c>
      <c r="F1212" s="1">
        <v>42369</v>
      </c>
      <c r="G1212" t="s">
        <v>409</v>
      </c>
      <c r="H1212" s="81">
        <v>105</v>
      </c>
      <c r="I1212" t="s">
        <v>12</v>
      </c>
      <c r="J1212" s="3">
        <v>643.23</v>
      </c>
    </row>
    <row r="1213" spans="1:10" x14ac:dyDescent="0.25">
      <c r="A1213" t="s">
        <v>408</v>
      </c>
      <c r="B1213" t="s">
        <v>71</v>
      </c>
      <c r="C1213" s="82" t="s">
        <v>409</v>
      </c>
      <c r="D1213">
        <v>201601</v>
      </c>
      <c r="E1213" s="1">
        <v>42369</v>
      </c>
      <c r="F1213" s="1">
        <v>42401</v>
      </c>
      <c r="G1213" t="s">
        <v>409</v>
      </c>
      <c r="H1213" s="81">
        <v>158</v>
      </c>
      <c r="I1213" t="s">
        <v>12</v>
      </c>
      <c r="J1213" s="3">
        <v>840.76</v>
      </c>
    </row>
    <row r="1214" spans="1:10" x14ac:dyDescent="0.25">
      <c r="A1214" t="s">
        <v>408</v>
      </c>
      <c r="B1214" t="s">
        <v>71</v>
      </c>
      <c r="C1214" s="82" t="s">
        <v>409</v>
      </c>
      <c r="D1214">
        <v>201602</v>
      </c>
      <c r="E1214" s="1">
        <v>42401</v>
      </c>
      <c r="F1214" s="1">
        <v>42430</v>
      </c>
      <c r="G1214" t="s">
        <v>409</v>
      </c>
      <c r="H1214" s="81">
        <v>123</v>
      </c>
      <c r="I1214" t="s">
        <v>12</v>
      </c>
      <c r="J1214" s="3">
        <v>685.25</v>
      </c>
    </row>
    <row r="1215" spans="1:10" x14ac:dyDescent="0.25">
      <c r="A1215" t="s">
        <v>408</v>
      </c>
      <c r="B1215" t="s">
        <v>71</v>
      </c>
      <c r="C1215" s="82" t="s">
        <v>409</v>
      </c>
      <c r="D1215">
        <v>201603</v>
      </c>
      <c r="E1215" s="1">
        <v>42430</v>
      </c>
      <c r="F1215" s="1">
        <v>42460</v>
      </c>
      <c r="G1215" t="s">
        <v>409</v>
      </c>
      <c r="H1215" s="81">
        <v>128</v>
      </c>
      <c r="I1215" t="s">
        <v>12</v>
      </c>
      <c r="J1215" s="3">
        <v>693.15</v>
      </c>
    </row>
    <row r="1216" spans="1:10" x14ac:dyDescent="0.25">
      <c r="A1216" t="s">
        <v>408</v>
      </c>
      <c r="B1216" t="s">
        <v>71</v>
      </c>
      <c r="C1216" s="82" t="s">
        <v>409</v>
      </c>
      <c r="D1216">
        <v>201604</v>
      </c>
      <c r="E1216" s="1">
        <v>42460</v>
      </c>
      <c r="F1216" s="1">
        <v>42489</v>
      </c>
      <c r="G1216" t="s">
        <v>409</v>
      </c>
      <c r="H1216" s="81">
        <v>83</v>
      </c>
      <c r="I1216" t="s">
        <v>12</v>
      </c>
      <c r="J1216" s="3">
        <v>621.29</v>
      </c>
    </row>
    <row r="1217" spans="1:10" x14ac:dyDescent="0.25">
      <c r="A1217" t="s">
        <v>408</v>
      </c>
      <c r="B1217" t="s">
        <v>71</v>
      </c>
      <c r="C1217" s="82" t="s">
        <v>409</v>
      </c>
      <c r="D1217">
        <v>201605</v>
      </c>
      <c r="E1217" s="1">
        <v>42489</v>
      </c>
      <c r="F1217" s="1">
        <v>42521</v>
      </c>
      <c r="G1217" t="s">
        <v>409</v>
      </c>
      <c r="H1217" s="81">
        <v>56</v>
      </c>
      <c r="I1217" t="s">
        <v>12</v>
      </c>
      <c r="J1217" s="3">
        <v>516.16</v>
      </c>
    </row>
    <row r="1218" spans="1:10" x14ac:dyDescent="0.25">
      <c r="A1218" t="s">
        <v>408</v>
      </c>
      <c r="B1218" t="s">
        <v>71</v>
      </c>
      <c r="C1218" s="82" t="s">
        <v>409</v>
      </c>
      <c r="D1218">
        <v>201606</v>
      </c>
      <c r="E1218" s="1">
        <v>42521</v>
      </c>
      <c r="F1218" s="1">
        <v>42550</v>
      </c>
      <c r="G1218" t="s">
        <v>409</v>
      </c>
      <c r="H1218" s="81">
        <v>64</v>
      </c>
      <c r="I1218" t="s">
        <v>12</v>
      </c>
      <c r="J1218" s="3">
        <v>697.66</v>
      </c>
    </row>
    <row r="1219" spans="1:10" x14ac:dyDescent="0.25">
      <c r="A1219" t="s">
        <v>412</v>
      </c>
      <c r="B1219" t="s">
        <v>71</v>
      </c>
      <c r="C1219" s="82" t="s">
        <v>413</v>
      </c>
      <c r="D1219">
        <v>201507</v>
      </c>
      <c r="E1219" s="1">
        <v>42185</v>
      </c>
      <c r="F1219" s="1">
        <v>42216</v>
      </c>
      <c r="G1219" t="s">
        <v>414</v>
      </c>
      <c r="H1219" s="81">
        <v>477</v>
      </c>
      <c r="I1219" t="s">
        <v>12</v>
      </c>
      <c r="J1219" s="3">
        <v>5380.18</v>
      </c>
    </row>
    <row r="1220" spans="1:10" x14ac:dyDescent="0.25">
      <c r="A1220" t="s">
        <v>412</v>
      </c>
      <c r="B1220" t="s">
        <v>71</v>
      </c>
      <c r="C1220" s="82" t="s">
        <v>413</v>
      </c>
      <c r="D1220">
        <v>201508</v>
      </c>
      <c r="E1220" s="1">
        <v>42216</v>
      </c>
      <c r="F1220" s="1">
        <v>42243</v>
      </c>
      <c r="G1220" t="s">
        <v>414</v>
      </c>
      <c r="H1220" s="81">
        <v>472</v>
      </c>
      <c r="I1220" t="s">
        <v>12</v>
      </c>
      <c r="J1220" s="3">
        <v>5422.17</v>
      </c>
    </row>
    <row r="1221" spans="1:10" x14ac:dyDescent="0.25">
      <c r="A1221" t="s">
        <v>412</v>
      </c>
      <c r="B1221" t="s">
        <v>71</v>
      </c>
      <c r="C1221" s="82" t="s">
        <v>413</v>
      </c>
      <c r="D1221">
        <v>201509</v>
      </c>
      <c r="E1221" s="1">
        <v>42243</v>
      </c>
      <c r="F1221" s="1">
        <v>42276</v>
      </c>
      <c r="G1221" t="s">
        <v>414</v>
      </c>
      <c r="H1221" s="81">
        <v>577</v>
      </c>
      <c r="I1221" t="s">
        <v>12</v>
      </c>
      <c r="J1221" s="3">
        <v>6564.95</v>
      </c>
    </row>
    <row r="1222" spans="1:10" x14ac:dyDescent="0.25">
      <c r="A1222" t="s">
        <v>412</v>
      </c>
      <c r="B1222" t="s">
        <v>71</v>
      </c>
      <c r="C1222" s="82" t="s">
        <v>413</v>
      </c>
      <c r="D1222">
        <v>201510</v>
      </c>
      <c r="E1222" s="1">
        <v>42276</v>
      </c>
      <c r="F1222" s="1">
        <v>42305</v>
      </c>
      <c r="G1222" t="s">
        <v>414</v>
      </c>
      <c r="H1222" s="81">
        <v>652</v>
      </c>
      <c r="I1222" t="s">
        <v>12</v>
      </c>
      <c r="J1222" s="3">
        <v>5280.88</v>
      </c>
    </row>
    <row r="1223" spans="1:10" x14ac:dyDescent="0.25">
      <c r="A1223" t="s">
        <v>412</v>
      </c>
      <c r="B1223" t="s">
        <v>71</v>
      </c>
      <c r="C1223" s="82" t="s">
        <v>413</v>
      </c>
      <c r="D1223">
        <v>201511</v>
      </c>
      <c r="E1223" s="1">
        <v>42305</v>
      </c>
      <c r="F1223" s="1">
        <v>42339</v>
      </c>
      <c r="G1223" t="s">
        <v>414</v>
      </c>
      <c r="H1223" s="81">
        <v>748</v>
      </c>
      <c r="I1223" t="s">
        <v>12</v>
      </c>
      <c r="J1223" s="3">
        <v>5013.3500000000004</v>
      </c>
    </row>
    <row r="1224" spans="1:10" x14ac:dyDescent="0.25">
      <c r="A1224" t="s">
        <v>412</v>
      </c>
      <c r="B1224" t="s">
        <v>71</v>
      </c>
      <c r="C1224" s="82" t="s">
        <v>413</v>
      </c>
      <c r="D1224">
        <v>201512</v>
      </c>
      <c r="E1224" s="1">
        <v>42339</v>
      </c>
      <c r="F1224" s="1">
        <v>42369</v>
      </c>
      <c r="G1224" t="s">
        <v>414</v>
      </c>
      <c r="H1224" s="81">
        <v>780</v>
      </c>
      <c r="I1224" t="s">
        <v>12</v>
      </c>
      <c r="J1224" s="3">
        <v>4778.25</v>
      </c>
    </row>
    <row r="1225" spans="1:10" x14ac:dyDescent="0.25">
      <c r="A1225" t="s">
        <v>412</v>
      </c>
      <c r="B1225" t="s">
        <v>71</v>
      </c>
      <c r="C1225" s="82" t="s">
        <v>413</v>
      </c>
      <c r="D1225">
        <v>201601</v>
      </c>
      <c r="E1225" s="1">
        <v>42369</v>
      </c>
      <c r="F1225" s="1">
        <v>42401</v>
      </c>
      <c r="G1225" t="s">
        <v>414</v>
      </c>
      <c r="H1225" s="81">
        <v>1179</v>
      </c>
      <c r="I1225" t="s">
        <v>12</v>
      </c>
      <c r="J1225" s="3">
        <v>6273.79</v>
      </c>
    </row>
    <row r="1226" spans="1:10" x14ac:dyDescent="0.25">
      <c r="A1226" t="s">
        <v>412</v>
      </c>
      <c r="B1226" t="s">
        <v>71</v>
      </c>
      <c r="C1226" s="82" t="s">
        <v>413</v>
      </c>
      <c r="D1226">
        <v>201602</v>
      </c>
      <c r="E1226" s="1">
        <v>42401</v>
      </c>
      <c r="F1226" s="1">
        <v>42430</v>
      </c>
      <c r="G1226" t="s">
        <v>414</v>
      </c>
      <c r="H1226" s="81">
        <v>921</v>
      </c>
      <c r="I1226" t="s">
        <v>12</v>
      </c>
      <c r="J1226" s="3">
        <v>5130.99</v>
      </c>
    </row>
    <row r="1227" spans="1:10" x14ac:dyDescent="0.25">
      <c r="A1227" t="s">
        <v>412</v>
      </c>
      <c r="B1227" t="s">
        <v>71</v>
      </c>
      <c r="C1227" s="82" t="s">
        <v>413</v>
      </c>
      <c r="D1227">
        <v>201603</v>
      </c>
      <c r="E1227" s="1">
        <v>42430</v>
      </c>
      <c r="F1227" s="1">
        <v>42460</v>
      </c>
      <c r="G1227" t="s">
        <v>414</v>
      </c>
      <c r="H1227" s="81">
        <v>958</v>
      </c>
      <c r="I1227" t="s">
        <v>12</v>
      </c>
      <c r="J1227" s="3">
        <v>5187.76</v>
      </c>
    </row>
    <row r="1228" spans="1:10" x14ac:dyDescent="0.25">
      <c r="A1228" t="s">
        <v>412</v>
      </c>
      <c r="B1228" t="s">
        <v>71</v>
      </c>
      <c r="C1228" s="82" t="s">
        <v>413</v>
      </c>
      <c r="D1228">
        <v>201604</v>
      </c>
      <c r="E1228" s="1">
        <v>42460</v>
      </c>
      <c r="F1228" s="1">
        <v>42489</v>
      </c>
      <c r="G1228" t="s">
        <v>414</v>
      </c>
      <c r="H1228" s="81">
        <v>622</v>
      </c>
      <c r="I1228" t="s">
        <v>12</v>
      </c>
      <c r="J1228" s="3">
        <v>4655.93</v>
      </c>
    </row>
    <row r="1229" spans="1:10" x14ac:dyDescent="0.25">
      <c r="A1229" t="s">
        <v>412</v>
      </c>
      <c r="B1229" t="s">
        <v>71</v>
      </c>
      <c r="C1229" s="82" t="s">
        <v>413</v>
      </c>
      <c r="D1229">
        <v>201605</v>
      </c>
      <c r="E1229" s="1">
        <v>42489</v>
      </c>
      <c r="F1229" s="1">
        <v>42521</v>
      </c>
      <c r="G1229" t="s">
        <v>414</v>
      </c>
      <c r="H1229" s="81">
        <v>415</v>
      </c>
      <c r="I1229" t="s">
        <v>12</v>
      </c>
      <c r="J1229" s="3">
        <v>3825.12</v>
      </c>
    </row>
    <row r="1230" spans="1:10" x14ac:dyDescent="0.25">
      <c r="A1230" t="s">
        <v>412</v>
      </c>
      <c r="B1230" t="s">
        <v>71</v>
      </c>
      <c r="C1230" s="82" t="s">
        <v>413</v>
      </c>
      <c r="D1230">
        <v>201606</v>
      </c>
      <c r="E1230" s="1">
        <v>42521</v>
      </c>
      <c r="F1230" s="1">
        <v>42550</v>
      </c>
      <c r="G1230" t="s">
        <v>414</v>
      </c>
      <c r="H1230" s="81">
        <v>477</v>
      </c>
      <c r="I1230" t="s">
        <v>12</v>
      </c>
      <c r="J1230" s="3">
        <v>5199.75</v>
      </c>
    </row>
    <row r="1231" spans="1:10" x14ac:dyDescent="0.25">
      <c r="A1231" t="s">
        <v>453</v>
      </c>
      <c r="B1231" t="s">
        <v>71</v>
      </c>
      <c r="C1231" s="82" t="s">
        <v>467</v>
      </c>
      <c r="D1231">
        <v>201507</v>
      </c>
      <c r="E1231" s="1">
        <v>42185</v>
      </c>
      <c r="F1231" s="1">
        <v>42216</v>
      </c>
      <c r="G1231" t="s">
        <v>467</v>
      </c>
      <c r="H1231" s="81">
        <v>274</v>
      </c>
      <c r="I1231" t="s">
        <v>12</v>
      </c>
      <c r="J1231" s="3">
        <v>1458.03</v>
      </c>
    </row>
    <row r="1232" spans="1:10" x14ac:dyDescent="0.25">
      <c r="A1232" t="s">
        <v>453</v>
      </c>
      <c r="B1232" t="s">
        <v>71</v>
      </c>
      <c r="C1232" s="82" t="s">
        <v>467</v>
      </c>
      <c r="D1232">
        <v>201508</v>
      </c>
      <c r="E1232" s="1">
        <v>42216</v>
      </c>
      <c r="F1232" s="1">
        <v>42243</v>
      </c>
      <c r="G1232" t="s">
        <v>467</v>
      </c>
      <c r="H1232" s="81">
        <v>272</v>
      </c>
      <c r="I1232" t="s">
        <v>12</v>
      </c>
      <c r="J1232" s="3">
        <v>1447.39</v>
      </c>
    </row>
    <row r="1233" spans="1:10" x14ac:dyDescent="0.25">
      <c r="A1233" t="s">
        <v>453</v>
      </c>
      <c r="B1233" t="s">
        <v>71</v>
      </c>
      <c r="C1233" s="82" t="s">
        <v>467</v>
      </c>
      <c r="D1233">
        <v>201509</v>
      </c>
      <c r="E1233" s="1">
        <v>42243</v>
      </c>
      <c r="F1233" s="1">
        <v>42276</v>
      </c>
      <c r="G1233" t="s">
        <v>467</v>
      </c>
      <c r="H1233" s="81">
        <v>332</v>
      </c>
      <c r="I1233" t="s">
        <v>12</v>
      </c>
      <c r="J1233" s="3">
        <v>1766.66</v>
      </c>
    </row>
    <row r="1234" spans="1:10" x14ac:dyDescent="0.25">
      <c r="A1234" t="s">
        <v>453</v>
      </c>
      <c r="B1234" t="s">
        <v>71</v>
      </c>
      <c r="C1234" s="82" t="s">
        <v>467</v>
      </c>
      <c r="D1234">
        <v>201510</v>
      </c>
      <c r="E1234" s="1">
        <v>42276</v>
      </c>
      <c r="F1234" s="1">
        <v>42305</v>
      </c>
      <c r="G1234" t="s">
        <v>467</v>
      </c>
      <c r="H1234" s="81">
        <v>375</v>
      </c>
      <c r="I1234" t="s">
        <v>12</v>
      </c>
      <c r="J1234" s="3">
        <v>1995.48</v>
      </c>
    </row>
    <row r="1235" spans="1:10" x14ac:dyDescent="0.25">
      <c r="A1235" t="s">
        <v>453</v>
      </c>
      <c r="B1235" t="s">
        <v>71</v>
      </c>
      <c r="C1235" s="82" t="s">
        <v>467</v>
      </c>
      <c r="D1235">
        <v>201511</v>
      </c>
      <c r="E1235" s="1">
        <v>42305</v>
      </c>
      <c r="F1235" s="1">
        <v>42339</v>
      </c>
      <c r="G1235" t="s">
        <v>467</v>
      </c>
      <c r="H1235" s="81">
        <v>430</v>
      </c>
      <c r="I1235" t="s">
        <v>12</v>
      </c>
      <c r="J1235" s="3">
        <v>2288.15</v>
      </c>
    </row>
    <row r="1236" spans="1:10" x14ac:dyDescent="0.25">
      <c r="A1236" t="s">
        <v>453</v>
      </c>
      <c r="B1236" t="s">
        <v>71</v>
      </c>
      <c r="C1236" s="82" t="s">
        <v>467</v>
      </c>
      <c r="D1236">
        <v>201512</v>
      </c>
      <c r="E1236" s="1">
        <v>42339</v>
      </c>
      <c r="F1236" s="1">
        <v>42369</v>
      </c>
      <c r="G1236" t="s">
        <v>467</v>
      </c>
      <c r="H1236" s="81">
        <v>449</v>
      </c>
      <c r="I1236" t="s">
        <v>12</v>
      </c>
      <c r="J1236" s="3">
        <v>2389.25</v>
      </c>
    </row>
    <row r="1237" spans="1:10" x14ac:dyDescent="0.25">
      <c r="A1237" t="s">
        <v>453</v>
      </c>
      <c r="B1237" t="s">
        <v>71</v>
      </c>
      <c r="C1237" s="82" t="s">
        <v>467</v>
      </c>
      <c r="D1237">
        <v>201601</v>
      </c>
      <c r="E1237" s="1">
        <v>42369</v>
      </c>
      <c r="F1237" s="1">
        <v>42401</v>
      </c>
      <c r="G1237" t="s">
        <v>467</v>
      </c>
      <c r="H1237" s="81">
        <v>678</v>
      </c>
      <c r="I1237" t="s">
        <v>12</v>
      </c>
      <c r="J1237" s="3">
        <v>3607.83</v>
      </c>
    </row>
    <row r="1238" spans="1:10" x14ac:dyDescent="0.25">
      <c r="A1238" t="s">
        <v>453</v>
      </c>
      <c r="B1238" t="s">
        <v>71</v>
      </c>
      <c r="C1238" s="82" t="s">
        <v>467</v>
      </c>
      <c r="D1238">
        <v>201602</v>
      </c>
      <c r="E1238" s="1">
        <v>42401</v>
      </c>
      <c r="F1238" s="1">
        <v>42430</v>
      </c>
      <c r="G1238" t="s">
        <v>467</v>
      </c>
      <c r="H1238" s="81">
        <v>530</v>
      </c>
      <c r="I1238" t="s">
        <v>12</v>
      </c>
      <c r="J1238" s="3">
        <v>2952.68</v>
      </c>
    </row>
    <row r="1239" spans="1:10" x14ac:dyDescent="0.25">
      <c r="A1239" t="s">
        <v>453</v>
      </c>
      <c r="B1239" t="s">
        <v>71</v>
      </c>
      <c r="C1239" s="82" t="s">
        <v>467</v>
      </c>
      <c r="D1239">
        <v>201603</v>
      </c>
      <c r="E1239" s="1">
        <v>42430</v>
      </c>
      <c r="F1239" s="1">
        <v>42460</v>
      </c>
      <c r="G1239" t="s">
        <v>467</v>
      </c>
      <c r="H1239" s="81">
        <v>551</v>
      </c>
      <c r="I1239" t="s">
        <v>12</v>
      </c>
      <c r="J1239" s="3">
        <v>2983.78</v>
      </c>
    </row>
    <row r="1240" spans="1:10" x14ac:dyDescent="0.25">
      <c r="A1240" t="s">
        <v>453</v>
      </c>
      <c r="B1240" t="s">
        <v>71</v>
      </c>
      <c r="C1240" s="82" t="s">
        <v>467</v>
      </c>
      <c r="D1240">
        <v>201604</v>
      </c>
      <c r="E1240" s="1">
        <v>42460</v>
      </c>
      <c r="F1240" s="1">
        <v>42489</v>
      </c>
      <c r="G1240" t="s">
        <v>467</v>
      </c>
      <c r="H1240" s="81">
        <v>358</v>
      </c>
      <c r="I1240" t="s">
        <v>12</v>
      </c>
      <c r="J1240" s="3">
        <v>2679.78</v>
      </c>
    </row>
    <row r="1241" spans="1:10" x14ac:dyDescent="0.25">
      <c r="A1241" t="s">
        <v>453</v>
      </c>
      <c r="B1241" t="s">
        <v>71</v>
      </c>
      <c r="C1241" s="82" t="s">
        <v>467</v>
      </c>
      <c r="D1241">
        <v>201605</v>
      </c>
      <c r="E1241" s="1">
        <v>42489</v>
      </c>
      <c r="F1241" s="1">
        <v>42521</v>
      </c>
      <c r="G1241" t="s">
        <v>467</v>
      </c>
      <c r="H1241" s="81">
        <v>238</v>
      </c>
      <c r="I1241" t="s">
        <v>12</v>
      </c>
      <c r="J1241" s="3">
        <v>2193.69</v>
      </c>
    </row>
    <row r="1242" spans="1:10" x14ac:dyDescent="0.25">
      <c r="A1242" t="s">
        <v>453</v>
      </c>
      <c r="B1242" t="s">
        <v>71</v>
      </c>
      <c r="C1242" s="82" t="s">
        <v>467</v>
      </c>
      <c r="D1242">
        <v>201606</v>
      </c>
      <c r="E1242" s="1">
        <v>42521</v>
      </c>
      <c r="F1242" s="1">
        <v>42550</v>
      </c>
      <c r="G1242" t="s">
        <v>467</v>
      </c>
      <c r="H1242" s="81">
        <v>275</v>
      </c>
      <c r="I1242" t="s">
        <v>12</v>
      </c>
      <c r="J1242" s="3">
        <v>2997.76</v>
      </c>
    </row>
    <row r="1243" spans="1:10" x14ac:dyDescent="0.25">
      <c r="A1243" t="s">
        <v>364</v>
      </c>
      <c r="B1243" t="s">
        <v>71</v>
      </c>
      <c r="C1243" s="82" t="s">
        <v>410</v>
      </c>
      <c r="D1243">
        <v>201507</v>
      </c>
      <c r="E1243" s="1">
        <v>42185</v>
      </c>
      <c r="F1243" s="1">
        <v>42216</v>
      </c>
      <c r="G1243" t="s">
        <v>410</v>
      </c>
      <c r="H1243" s="81">
        <v>66</v>
      </c>
      <c r="I1243" t="s">
        <v>12</v>
      </c>
      <c r="J1243" s="3">
        <v>744.43</v>
      </c>
    </row>
    <row r="1244" spans="1:10" x14ac:dyDescent="0.25">
      <c r="A1244" t="s">
        <v>364</v>
      </c>
      <c r="B1244" t="s">
        <v>71</v>
      </c>
      <c r="C1244" s="82" t="s">
        <v>410</v>
      </c>
      <c r="D1244">
        <v>201508</v>
      </c>
      <c r="E1244" s="1">
        <v>42216</v>
      </c>
      <c r="F1244" s="1">
        <v>42243</v>
      </c>
      <c r="G1244" t="s">
        <v>410</v>
      </c>
      <c r="H1244" s="81">
        <v>66</v>
      </c>
      <c r="I1244" t="s">
        <v>12</v>
      </c>
      <c r="J1244" s="3">
        <v>758.18</v>
      </c>
    </row>
    <row r="1245" spans="1:10" x14ac:dyDescent="0.25">
      <c r="A1245" t="s">
        <v>364</v>
      </c>
      <c r="B1245" t="s">
        <v>71</v>
      </c>
      <c r="C1245" s="82" t="s">
        <v>410</v>
      </c>
      <c r="D1245">
        <v>201509</v>
      </c>
      <c r="E1245" s="1">
        <v>42243</v>
      </c>
      <c r="F1245" s="1">
        <v>42276</v>
      </c>
      <c r="G1245" t="s">
        <v>410</v>
      </c>
      <c r="H1245" s="81">
        <v>80</v>
      </c>
      <c r="I1245" t="s">
        <v>12</v>
      </c>
      <c r="J1245" s="3">
        <v>910.22</v>
      </c>
    </row>
    <row r="1246" spans="1:10" x14ac:dyDescent="0.25">
      <c r="A1246" t="s">
        <v>364</v>
      </c>
      <c r="B1246" t="s">
        <v>71</v>
      </c>
      <c r="C1246" s="82" t="s">
        <v>410</v>
      </c>
      <c r="D1246">
        <v>201510</v>
      </c>
      <c r="E1246" s="1">
        <v>42276</v>
      </c>
      <c r="F1246" s="1">
        <v>42305</v>
      </c>
      <c r="G1246" t="s">
        <v>410</v>
      </c>
      <c r="H1246" s="81">
        <v>90</v>
      </c>
      <c r="I1246" t="s">
        <v>12</v>
      </c>
      <c r="J1246" s="3">
        <v>728.96</v>
      </c>
    </row>
    <row r="1247" spans="1:10" x14ac:dyDescent="0.25">
      <c r="A1247" t="s">
        <v>364</v>
      </c>
      <c r="B1247" t="s">
        <v>71</v>
      </c>
      <c r="C1247" s="82" t="s">
        <v>410</v>
      </c>
      <c r="D1247">
        <v>201511</v>
      </c>
      <c r="E1247" s="1">
        <v>42305</v>
      </c>
      <c r="F1247" s="1">
        <v>42339</v>
      </c>
      <c r="G1247" t="s">
        <v>410</v>
      </c>
      <c r="H1247" s="81">
        <v>104</v>
      </c>
      <c r="I1247" t="s">
        <v>12</v>
      </c>
      <c r="J1247" s="3">
        <v>697.04</v>
      </c>
    </row>
    <row r="1248" spans="1:10" x14ac:dyDescent="0.25">
      <c r="A1248" t="s">
        <v>364</v>
      </c>
      <c r="B1248" t="s">
        <v>71</v>
      </c>
      <c r="C1248" s="82" t="s">
        <v>410</v>
      </c>
      <c r="D1248">
        <v>201512</v>
      </c>
      <c r="E1248" s="1">
        <v>42339</v>
      </c>
      <c r="F1248" s="1">
        <v>42369</v>
      </c>
      <c r="G1248" t="s">
        <v>410</v>
      </c>
      <c r="H1248" s="81">
        <v>108</v>
      </c>
      <c r="I1248" t="s">
        <v>12</v>
      </c>
      <c r="J1248" s="3">
        <v>661.6</v>
      </c>
    </row>
    <row r="1249" spans="1:10" x14ac:dyDescent="0.25">
      <c r="A1249" t="s">
        <v>364</v>
      </c>
      <c r="B1249" t="s">
        <v>71</v>
      </c>
      <c r="C1249" s="82" t="s">
        <v>410</v>
      </c>
      <c r="D1249">
        <v>201601</v>
      </c>
      <c r="E1249" s="1">
        <v>42369</v>
      </c>
      <c r="F1249" s="1">
        <v>42401</v>
      </c>
      <c r="G1249" t="s">
        <v>410</v>
      </c>
      <c r="H1249" s="81">
        <v>164</v>
      </c>
      <c r="I1249" t="s">
        <v>12</v>
      </c>
      <c r="J1249" s="3">
        <v>872.69</v>
      </c>
    </row>
    <row r="1250" spans="1:10" x14ac:dyDescent="0.25">
      <c r="A1250" t="s">
        <v>364</v>
      </c>
      <c r="B1250" t="s">
        <v>71</v>
      </c>
      <c r="C1250" s="82" t="s">
        <v>410</v>
      </c>
      <c r="D1250">
        <v>201602</v>
      </c>
      <c r="E1250" s="1">
        <v>42401</v>
      </c>
      <c r="F1250" s="1">
        <v>42430</v>
      </c>
      <c r="G1250" t="s">
        <v>410</v>
      </c>
      <c r="H1250" s="81">
        <v>128</v>
      </c>
      <c r="I1250" t="s">
        <v>12</v>
      </c>
      <c r="J1250" s="3">
        <v>713.1</v>
      </c>
    </row>
    <row r="1251" spans="1:10" x14ac:dyDescent="0.25">
      <c r="A1251" t="s">
        <v>364</v>
      </c>
      <c r="B1251" t="s">
        <v>71</v>
      </c>
      <c r="C1251" s="82" t="s">
        <v>410</v>
      </c>
      <c r="D1251">
        <v>201603</v>
      </c>
      <c r="E1251" s="1">
        <v>42430</v>
      </c>
      <c r="F1251" s="1">
        <v>42460</v>
      </c>
      <c r="G1251" t="s">
        <v>410</v>
      </c>
      <c r="H1251" s="81">
        <v>133</v>
      </c>
      <c r="I1251" t="s">
        <v>12</v>
      </c>
      <c r="J1251" s="3">
        <v>720.22</v>
      </c>
    </row>
    <row r="1252" spans="1:10" x14ac:dyDescent="0.25">
      <c r="A1252" t="s">
        <v>364</v>
      </c>
      <c r="B1252" t="s">
        <v>71</v>
      </c>
      <c r="C1252" s="82" t="s">
        <v>410</v>
      </c>
      <c r="D1252">
        <v>201604</v>
      </c>
      <c r="E1252" s="1">
        <v>42460</v>
      </c>
      <c r="F1252" s="1">
        <v>42489</v>
      </c>
      <c r="G1252" t="s">
        <v>410</v>
      </c>
      <c r="H1252" s="81">
        <v>86</v>
      </c>
      <c r="I1252" t="s">
        <v>12</v>
      </c>
      <c r="J1252" s="3">
        <v>643.75</v>
      </c>
    </row>
    <row r="1253" spans="1:10" x14ac:dyDescent="0.25">
      <c r="A1253" t="s">
        <v>364</v>
      </c>
      <c r="B1253" t="s">
        <v>71</v>
      </c>
      <c r="C1253" s="82" t="s">
        <v>410</v>
      </c>
      <c r="D1253">
        <v>201605</v>
      </c>
      <c r="E1253" s="1">
        <v>42489</v>
      </c>
      <c r="F1253" s="1">
        <v>42521</v>
      </c>
      <c r="G1253" t="s">
        <v>410</v>
      </c>
      <c r="H1253" s="81">
        <v>58</v>
      </c>
      <c r="I1253" t="s">
        <v>12</v>
      </c>
      <c r="J1253" s="3">
        <v>534.6</v>
      </c>
    </row>
    <row r="1254" spans="1:10" x14ac:dyDescent="0.25">
      <c r="A1254" t="s">
        <v>364</v>
      </c>
      <c r="B1254" t="s">
        <v>71</v>
      </c>
      <c r="C1254" s="82" t="s">
        <v>410</v>
      </c>
      <c r="D1254">
        <v>201606</v>
      </c>
      <c r="E1254" s="1">
        <v>42521</v>
      </c>
      <c r="F1254" s="1">
        <v>42550</v>
      </c>
      <c r="G1254" t="s">
        <v>410</v>
      </c>
      <c r="H1254" s="81">
        <v>66</v>
      </c>
      <c r="I1254" t="s">
        <v>12</v>
      </c>
      <c r="J1254" s="3">
        <v>719.46</v>
      </c>
    </row>
    <row r="1255" spans="1:10" x14ac:dyDescent="0.25">
      <c r="A1255" t="s">
        <v>369</v>
      </c>
      <c r="B1255" t="s">
        <v>71</v>
      </c>
      <c r="C1255" s="82" t="s">
        <v>411</v>
      </c>
      <c r="D1255">
        <v>201507</v>
      </c>
      <c r="E1255" s="1">
        <v>42185</v>
      </c>
      <c r="F1255" s="1">
        <v>42216</v>
      </c>
      <c r="G1255" t="s">
        <v>411</v>
      </c>
      <c r="H1255" s="81">
        <v>65</v>
      </c>
      <c r="I1255" t="s">
        <v>12</v>
      </c>
      <c r="J1255" s="3">
        <v>733.15</v>
      </c>
    </row>
    <row r="1256" spans="1:10" x14ac:dyDescent="0.25">
      <c r="A1256" t="s">
        <v>369</v>
      </c>
      <c r="B1256" t="s">
        <v>71</v>
      </c>
      <c r="C1256" s="82" t="s">
        <v>411</v>
      </c>
      <c r="D1256">
        <v>201508</v>
      </c>
      <c r="E1256" s="1">
        <v>42216</v>
      </c>
      <c r="F1256" s="1">
        <v>42243</v>
      </c>
      <c r="G1256" t="s">
        <v>411</v>
      </c>
      <c r="H1256" s="81">
        <v>65</v>
      </c>
      <c r="I1256" t="s">
        <v>12</v>
      </c>
      <c r="J1256" s="3">
        <v>746.7</v>
      </c>
    </row>
    <row r="1257" spans="1:10" x14ac:dyDescent="0.25">
      <c r="A1257" t="s">
        <v>369</v>
      </c>
      <c r="B1257" t="s">
        <v>71</v>
      </c>
      <c r="C1257" s="82" t="s">
        <v>411</v>
      </c>
      <c r="D1257">
        <v>201509</v>
      </c>
      <c r="E1257" s="1">
        <v>42243</v>
      </c>
      <c r="F1257" s="1">
        <v>42276</v>
      </c>
      <c r="G1257" t="s">
        <v>411</v>
      </c>
      <c r="H1257" s="81">
        <v>79</v>
      </c>
      <c r="I1257" t="s">
        <v>12</v>
      </c>
      <c r="J1257" s="3">
        <v>898.84</v>
      </c>
    </row>
    <row r="1258" spans="1:10" x14ac:dyDescent="0.25">
      <c r="A1258" t="s">
        <v>369</v>
      </c>
      <c r="B1258" t="s">
        <v>71</v>
      </c>
      <c r="C1258" s="82" t="s">
        <v>411</v>
      </c>
      <c r="D1258">
        <v>201510</v>
      </c>
      <c r="E1258" s="1">
        <v>42276</v>
      </c>
      <c r="F1258" s="1">
        <v>42305</v>
      </c>
      <c r="G1258" t="s">
        <v>411</v>
      </c>
      <c r="H1258" s="81">
        <v>90</v>
      </c>
      <c r="I1258" t="s">
        <v>12</v>
      </c>
      <c r="J1258" s="3">
        <v>728.96</v>
      </c>
    </row>
    <row r="1259" spans="1:10" x14ac:dyDescent="0.25">
      <c r="A1259" t="s">
        <v>369</v>
      </c>
      <c r="B1259" t="s">
        <v>71</v>
      </c>
      <c r="C1259" s="82" t="s">
        <v>411</v>
      </c>
      <c r="D1259">
        <v>201511</v>
      </c>
      <c r="E1259" s="1">
        <v>42305</v>
      </c>
      <c r="F1259" s="1">
        <v>42339</v>
      </c>
      <c r="G1259" t="s">
        <v>411</v>
      </c>
      <c r="H1259" s="81">
        <v>103</v>
      </c>
      <c r="I1259" t="s">
        <v>12</v>
      </c>
      <c r="J1259" s="3">
        <v>690.34</v>
      </c>
    </row>
    <row r="1260" spans="1:10" x14ac:dyDescent="0.25">
      <c r="A1260" t="s">
        <v>369</v>
      </c>
      <c r="B1260" t="s">
        <v>71</v>
      </c>
      <c r="C1260" s="82" t="s">
        <v>411</v>
      </c>
      <c r="D1260">
        <v>201512</v>
      </c>
      <c r="E1260" s="1">
        <v>42339</v>
      </c>
      <c r="F1260" s="1">
        <v>42369</v>
      </c>
      <c r="G1260" t="s">
        <v>411</v>
      </c>
      <c r="H1260" s="81">
        <v>107</v>
      </c>
      <c r="I1260" t="s">
        <v>12</v>
      </c>
      <c r="J1260" s="3">
        <v>655.48</v>
      </c>
    </row>
    <row r="1261" spans="1:10" x14ac:dyDescent="0.25">
      <c r="A1261" t="s">
        <v>369</v>
      </c>
      <c r="B1261" t="s">
        <v>71</v>
      </c>
      <c r="C1261" s="82" t="s">
        <v>411</v>
      </c>
      <c r="D1261">
        <v>201601</v>
      </c>
      <c r="E1261" s="1">
        <v>42369</v>
      </c>
      <c r="F1261" s="1">
        <v>42401</v>
      </c>
      <c r="G1261" t="s">
        <v>411</v>
      </c>
      <c r="H1261" s="81">
        <v>162</v>
      </c>
      <c r="I1261" t="s">
        <v>12</v>
      </c>
      <c r="J1261" s="3">
        <v>862.05</v>
      </c>
    </row>
    <row r="1262" spans="1:10" x14ac:dyDescent="0.25">
      <c r="A1262" t="s">
        <v>369</v>
      </c>
      <c r="B1262" t="s">
        <v>71</v>
      </c>
      <c r="C1262" s="82" t="s">
        <v>411</v>
      </c>
      <c r="D1262">
        <v>201602</v>
      </c>
      <c r="E1262" s="1">
        <v>42401</v>
      </c>
      <c r="F1262" s="1">
        <v>42430</v>
      </c>
      <c r="G1262" t="s">
        <v>411</v>
      </c>
      <c r="H1262" s="81">
        <v>127</v>
      </c>
      <c r="I1262" t="s">
        <v>12</v>
      </c>
      <c r="J1262" s="3">
        <v>707.53</v>
      </c>
    </row>
    <row r="1263" spans="1:10" x14ac:dyDescent="0.25">
      <c r="A1263" t="s">
        <v>369</v>
      </c>
      <c r="B1263" t="s">
        <v>71</v>
      </c>
      <c r="C1263" s="82" t="s">
        <v>411</v>
      </c>
      <c r="D1263">
        <v>201603</v>
      </c>
      <c r="E1263" s="1">
        <v>42430</v>
      </c>
      <c r="F1263" s="1">
        <v>42460</v>
      </c>
      <c r="G1263" t="s">
        <v>411</v>
      </c>
      <c r="H1263" s="81">
        <v>132</v>
      </c>
      <c r="I1263" t="s">
        <v>12</v>
      </c>
      <c r="J1263" s="3">
        <v>714.81</v>
      </c>
    </row>
    <row r="1264" spans="1:10" x14ac:dyDescent="0.25">
      <c r="A1264" t="s">
        <v>369</v>
      </c>
      <c r="B1264" t="s">
        <v>71</v>
      </c>
      <c r="C1264" s="82" t="s">
        <v>411</v>
      </c>
      <c r="D1264">
        <v>201604</v>
      </c>
      <c r="E1264" s="1">
        <v>42460</v>
      </c>
      <c r="F1264" s="1">
        <v>42489</v>
      </c>
      <c r="G1264" t="s">
        <v>411</v>
      </c>
      <c r="H1264" s="81">
        <v>85</v>
      </c>
      <c r="I1264" t="s">
        <v>12</v>
      </c>
      <c r="J1264" s="3">
        <v>636.26</v>
      </c>
    </row>
    <row r="1265" spans="1:10" x14ac:dyDescent="0.25">
      <c r="A1265" t="s">
        <v>369</v>
      </c>
      <c r="B1265" t="s">
        <v>71</v>
      </c>
      <c r="C1265" s="82" t="s">
        <v>411</v>
      </c>
      <c r="D1265">
        <v>201605</v>
      </c>
      <c r="E1265" s="1">
        <v>42489</v>
      </c>
      <c r="F1265" s="1">
        <v>42521</v>
      </c>
      <c r="G1265" t="s">
        <v>411</v>
      </c>
      <c r="H1265" s="81">
        <v>57</v>
      </c>
      <c r="I1265" t="s">
        <v>12</v>
      </c>
      <c r="J1265" s="3">
        <v>525.38</v>
      </c>
    </row>
    <row r="1266" spans="1:10" x14ac:dyDescent="0.25">
      <c r="A1266" t="s">
        <v>369</v>
      </c>
      <c r="B1266" t="s">
        <v>71</v>
      </c>
      <c r="C1266" s="82" t="s">
        <v>411</v>
      </c>
      <c r="D1266">
        <v>201606</v>
      </c>
      <c r="E1266" s="1">
        <v>42521</v>
      </c>
      <c r="F1266" s="1">
        <v>42550</v>
      </c>
      <c r="G1266" t="s">
        <v>411</v>
      </c>
      <c r="H1266" s="81">
        <v>66</v>
      </c>
      <c r="I1266" t="s">
        <v>12</v>
      </c>
      <c r="J1266" s="3">
        <v>719.46</v>
      </c>
    </row>
    <row r="1267" spans="1:10" x14ac:dyDescent="0.25">
      <c r="A1267" t="s">
        <v>416</v>
      </c>
      <c r="B1267" t="s">
        <v>71</v>
      </c>
      <c r="C1267" s="82" t="s">
        <v>423</v>
      </c>
      <c r="D1267">
        <v>201507</v>
      </c>
      <c r="E1267" s="1">
        <v>42185</v>
      </c>
      <c r="F1267" s="1">
        <v>42216</v>
      </c>
      <c r="G1267" t="s">
        <v>423</v>
      </c>
      <c r="H1267" s="81">
        <v>404</v>
      </c>
      <c r="I1267" t="s">
        <v>12</v>
      </c>
      <c r="J1267" s="3">
        <v>4556.8</v>
      </c>
    </row>
    <row r="1268" spans="1:10" x14ac:dyDescent="0.25">
      <c r="A1268" t="s">
        <v>416</v>
      </c>
      <c r="B1268" t="s">
        <v>71</v>
      </c>
      <c r="C1268" s="82" t="s">
        <v>423</v>
      </c>
      <c r="D1268">
        <v>201508</v>
      </c>
      <c r="E1268" s="1">
        <v>42216</v>
      </c>
      <c r="F1268" s="1">
        <v>42243</v>
      </c>
      <c r="G1268" t="s">
        <v>423</v>
      </c>
      <c r="H1268" s="81">
        <v>401</v>
      </c>
      <c r="I1268" t="s">
        <v>12</v>
      </c>
      <c r="J1268" s="3">
        <v>4606.54</v>
      </c>
    </row>
    <row r="1269" spans="1:10" x14ac:dyDescent="0.25">
      <c r="A1269" t="s">
        <v>416</v>
      </c>
      <c r="B1269" t="s">
        <v>71</v>
      </c>
      <c r="C1269" s="82" t="s">
        <v>423</v>
      </c>
      <c r="D1269">
        <v>201509</v>
      </c>
      <c r="E1269" s="1">
        <v>42243</v>
      </c>
      <c r="F1269" s="1">
        <v>42276</v>
      </c>
      <c r="G1269" t="s">
        <v>423</v>
      </c>
      <c r="H1269" s="81">
        <v>489</v>
      </c>
      <c r="I1269" t="s">
        <v>12</v>
      </c>
      <c r="J1269" s="3">
        <v>5563.71</v>
      </c>
    </row>
    <row r="1270" spans="1:10" x14ac:dyDescent="0.25">
      <c r="A1270" t="s">
        <v>416</v>
      </c>
      <c r="B1270" t="s">
        <v>71</v>
      </c>
      <c r="C1270" s="82" t="s">
        <v>423</v>
      </c>
      <c r="D1270">
        <v>201510</v>
      </c>
      <c r="E1270" s="1">
        <v>42276</v>
      </c>
      <c r="F1270" s="1">
        <v>42305</v>
      </c>
      <c r="G1270" t="s">
        <v>423</v>
      </c>
      <c r="H1270" s="81">
        <v>553</v>
      </c>
      <c r="I1270" t="s">
        <v>12</v>
      </c>
      <c r="J1270" s="3">
        <v>4479.03</v>
      </c>
    </row>
    <row r="1271" spans="1:10" x14ac:dyDescent="0.25">
      <c r="A1271" t="s">
        <v>416</v>
      </c>
      <c r="B1271" t="s">
        <v>71</v>
      </c>
      <c r="C1271" s="82" t="s">
        <v>423</v>
      </c>
      <c r="D1271">
        <v>201511</v>
      </c>
      <c r="E1271" s="1">
        <v>42305</v>
      </c>
      <c r="F1271" s="1">
        <v>42339</v>
      </c>
      <c r="G1271" t="s">
        <v>423</v>
      </c>
      <c r="H1271" s="81">
        <v>635</v>
      </c>
      <c r="I1271" t="s">
        <v>12</v>
      </c>
      <c r="J1271" s="3">
        <v>4255.9799999999996</v>
      </c>
    </row>
    <row r="1272" spans="1:10" x14ac:dyDescent="0.25">
      <c r="A1272" t="s">
        <v>416</v>
      </c>
      <c r="B1272" t="s">
        <v>71</v>
      </c>
      <c r="C1272" s="82" t="s">
        <v>423</v>
      </c>
      <c r="D1272">
        <v>201512</v>
      </c>
      <c r="E1272" s="1">
        <v>42339</v>
      </c>
      <c r="F1272" s="1">
        <v>42369</v>
      </c>
      <c r="G1272" t="s">
        <v>423</v>
      </c>
      <c r="H1272" s="81">
        <v>662</v>
      </c>
      <c r="I1272" t="s">
        <v>12</v>
      </c>
      <c r="J1272" s="3">
        <v>4055.38</v>
      </c>
    </row>
    <row r="1273" spans="1:10" x14ac:dyDescent="0.25">
      <c r="A1273" t="s">
        <v>416</v>
      </c>
      <c r="B1273" t="s">
        <v>71</v>
      </c>
      <c r="C1273" s="82" t="s">
        <v>423</v>
      </c>
      <c r="D1273">
        <v>201601</v>
      </c>
      <c r="E1273" s="1">
        <v>42369</v>
      </c>
      <c r="F1273" s="1">
        <v>42401</v>
      </c>
      <c r="G1273" t="s">
        <v>423</v>
      </c>
      <c r="H1273" s="81">
        <v>1000</v>
      </c>
      <c r="I1273" t="s">
        <v>12</v>
      </c>
      <c r="J1273" s="3">
        <v>5321.28</v>
      </c>
    </row>
    <row r="1274" spans="1:10" x14ac:dyDescent="0.25">
      <c r="A1274" t="s">
        <v>416</v>
      </c>
      <c r="B1274" t="s">
        <v>71</v>
      </c>
      <c r="C1274" s="82" t="s">
        <v>423</v>
      </c>
      <c r="D1274">
        <v>201602</v>
      </c>
      <c r="E1274" s="1">
        <v>42401</v>
      </c>
      <c r="F1274" s="1">
        <v>42430</v>
      </c>
      <c r="G1274" t="s">
        <v>423</v>
      </c>
      <c r="H1274" s="81">
        <v>781</v>
      </c>
      <c r="I1274" t="s">
        <v>12</v>
      </c>
      <c r="J1274" s="3">
        <v>4351.03</v>
      </c>
    </row>
    <row r="1275" spans="1:10" x14ac:dyDescent="0.25">
      <c r="A1275" t="s">
        <v>416</v>
      </c>
      <c r="B1275" t="s">
        <v>71</v>
      </c>
      <c r="C1275" s="82" t="s">
        <v>423</v>
      </c>
      <c r="D1275">
        <v>201603</v>
      </c>
      <c r="E1275" s="1">
        <v>42430</v>
      </c>
      <c r="F1275" s="1">
        <v>42460</v>
      </c>
      <c r="G1275" t="s">
        <v>423</v>
      </c>
      <c r="H1275" s="81">
        <v>813</v>
      </c>
      <c r="I1275" t="s">
        <v>12</v>
      </c>
      <c r="J1275" s="3">
        <v>4402.5600000000004</v>
      </c>
    </row>
    <row r="1276" spans="1:10" x14ac:dyDescent="0.25">
      <c r="A1276" t="s">
        <v>416</v>
      </c>
      <c r="B1276" t="s">
        <v>71</v>
      </c>
      <c r="C1276" s="82" t="s">
        <v>423</v>
      </c>
      <c r="D1276">
        <v>201604</v>
      </c>
      <c r="E1276" s="1">
        <v>42460</v>
      </c>
      <c r="F1276" s="1">
        <v>42489</v>
      </c>
      <c r="G1276" t="s">
        <v>423</v>
      </c>
      <c r="H1276" s="81">
        <v>528</v>
      </c>
      <c r="I1276" t="s">
        <v>12</v>
      </c>
      <c r="J1276" s="3">
        <v>3952.3</v>
      </c>
    </row>
    <row r="1277" spans="1:10" x14ac:dyDescent="0.25">
      <c r="A1277" t="s">
        <v>416</v>
      </c>
      <c r="B1277" t="s">
        <v>71</v>
      </c>
      <c r="C1277" s="82" t="s">
        <v>423</v>
      </c>
      <c r="D1277">
        <v>201605</v>
      </c>
      <c r="E1277" s="1">
        <v>42489</v>
      </c>
      <c r="F1277" s="1">
        <v>42521</v>
      </c>
      <c r="G1277" t="s">
        <v>423</v>
      </c>
      <c r="H1277" s="81">
        <v>352</v>
      </c>
      <c r="I1277" t="s">
        <v>12</v>
      </c>
      <c r="J1277" s="3">
        <v>3244.44</v>
      </c>
    </row>
    <row r="1278" spans="1:10" x14ac:dyDescent="0.25">
      <c r="A1278" t="s">
        <v>416</v>
      </c>
      <c r="B1278" t="s">
        <v>71</v>
      </c>
      <c r="C1278" s="82" t="s">
        <v>423</v>
      </c>
      <c r="D1278">
        <v>201606</v>
      </c>
      <c r="E1278" s="1">
        <v>42521</v>
      </c>
      <c r="F1278" s="1">
        <v>42550</v>
      </c>
      <c r="G1278" t="s">
        <v>423</v>
      </c>
      <c r="H1278" s="81">
        <v>405</v>
      </c>
      <c r="I1278" t="s">
        <v>12</v>
      </c>
      <c r="J1278" s="3">
        <v>4414.88</v>
      </c>
    </row>
    <row r="1279" spans="1:10" x14ac:dyDescent="0.25">
      <c r="A1279" t="s">
        <v>367</v>
      </c>
      <c r="B1279" t="s">
        <v>71</v>
      </c>
      <c r="C1279" s="82" t="s">
        <v>466</v>
      </c>
      <c r="D1279">
        <v>201507</v>
      </c>
      <c r="E1279" s="1">
        <v>42185</v>
      </c>
      <c r="F1279" s="1">
        <v>42216</v>
      </c>
      <c r="G1279" t="s">
        <v>466</v>
      </c>
      <c r="H1279" s="81">
        <v>69</v>
      </c>
      <c r="I1279" t="s">
        <v>12</v>
      </c>
      <c r="J1279" s="3">
        <v>367.17</v>
      </c>
    </row>
    <row r="1280" spans="1:10" x14ac:dyDescent="0.25">
      <c r="A1280" t="s">
        <v>367</v>
      </c>
      <c r="B1280" t="s">
        <v>71</v>
      </c>
      <c r="C1280" s="82" t="s">
        <v>466</v>
      </c>
      <c r="D1280">
        <v>201508</v>
      </c>
      <c r="E1280" s="1">
        <v>42216</v>
      </c>
      <c r="F1280" s="1">
        <v>42243</v>
      </c>
      <c r="G1280" t="s">
        <v>466</v>
      </c>
      <c r="H1280" s="81">
        <v>68</v>
      </c>
      <c r="I1280" t="s">
        <v>12</v>
      </c>
      <c r="J1280" s="3">
        <v>361.85</v>
      </c>
    </row>
    <row r="1281" spans="1:10" x14ac:dyDescent="0.25">
      <c r="A1281" t="s">
        <v>367</v>
      </c>
      <c r="B1281" t="s">
        <v>71</v>
      </c>
      <c r="C1281" s="82" t="s">
        <v>466</v>
      </c>
      <c r="D1281">
        <v>201509</v>
      </c>
      <c r="E1281" s="1">
        <v>42243</v>
      </c>
      <c r="F1281" s="1">
        <v>42276</v>
      </c>
      <c r="G1281" t="s">
        <v>466</v>
      </c>
      <c r="H1281" s="81">
        <v>83</v>
      </c>
      <c r="I1281" t="s">
        <v>12</v>
      </c>
      <c r="J1281" s="3">
        <v>441.67</v>
      </c>
    </row>
    <row r="1282" spans="1:10" x14ac:dyDescent="0.25">
      <c r="A1282" t="s">
        <v>367</v>
      </c>
      <c r="B1282" t="s">
        <v>71</v>
      </c>
      <c r="C1282" s="82" t="s">
        <v>466</v>
      </c>
      <c r="D1282">
        <v>201510</v>
      </c>
      <c r="E1282" s="1">
        <v>42276</v>
      </c>
      <c r="F1282" s="1">
        <v>42305</v>
      </c>
      <c r="G1282" t="s">
        <v>466</v>
      </c>
      <c r="H1282" s="81">
        <v>94</v>
      </c>
      <c r="I1282" t="s">
        <v>12</v>
      </c>
      <c r="J1282" s="3">
        <v>500.2</v>
      </c>
    </row>
    <row r="1283" spans="1:10" x14ac:dyDescent="0.25">
      <c r="A1283" t="s">
        <v>367</v>
      </c>
      <c r="B1283" t="s">
        <v>71</v>
      </c>
      <c r="C1283" s="82" t="s">
        <v>466</v>
      </c>
      <c r="D1283">
        <v>201511</v>
      </c>
      <c r="E1283" s="1">
        <v>42305</v>
      </c>
      <c r="F1283" s="1">
        <v>42339</v>
      </c>
      <c r="G1283" t="s">
        <v>466</v>
      </c>
      <c r="H1283" s="81">
        <v>108</v>
      </c>
      <c r="I1283" t="s">
        <v>12</v>
      </c>
      <c r="J1283" s="3">
        <v>574.70000000000005</v>
      </c>
    </row>
    <row r="1284" spans="1:10" x14ac:dyDescent="0.25">
      <c r="A1284" t="s">
        <v>367</v>
      </c>
      <c r="B1284" t="s">
        <v>71</v>
      </c>
      <c r="C1284" s="82" t="s">
        <v>466</v>
      </c>
      <c r="D1284">
        <v>201512</v>
      </c>
      <c r="E1284" s="1">
        <v>42339</v>
      </c>
      <c r="F1284" s="1">
        <v>42369</v>
      </c>
      <c r="G1284" t="s">
        <v>466</v>
      </c>
      <c r="H1284" s="81">
        <v>113</v>
      </c>
      <c r="I1284" t="s">
        <v>12</v>
      </c>
      <c r="J1284" s="3">
        <v>601.29999999999995</v>
      </c>
    </row>
    <row r="1285" spans="1:10" x14ac:dyDescent="0.25">
      <c r="A1285" t="s">
        <v>367</v>
      </c>
      <c r="B1285" t="s">
        <v>71</v>
      </c>
      <c r="C1285" s="82" t="s">
        <v>466</v>
      </c>
      <c r="D1285">
        <v>201601</v>
      </c>
      <c r="E1285" s="1">
        <v>42369</v>
      </c>
      <c r="F1285" s="1">
        <v>42401</v>
      </c>
      <c r="G1285" t="s">
        <v>466</v>
      </c>
      <c r="H1285" s="81">
        <v>170</v>
      </c>
      <c r="I1285" t="s">
        <v>12</v>
      </c>
      <c r="J1285" s="3">
        <v>904.62</v>
      </c>
    </row>
    <row r="1286" spans="1:10" x14ac:dyDescent="0.25">
      <c r="A1286" t="s">
        <v>367</v>
      </c>
      <c r="B1286" t="s">
        <v>71</v>
      </c>
      <c r="C1286" s="82" t="s">
        <v>466</v>
      </c>
      <c r="D1286">
        <v>201602</v>
      </c>
      <c r="E1286" s="1">
        <v>42401</v>
      </c>
      <c r="F1286" s="1">
        <v>42430</v>
      </c>
      <c r="G1286" t="s">
        <v>466</v>
      </c>
      <c r="H1286" s="81">
        <v>133</v>
      </c>
      <c r="I1286" t="s">
        <v>12</v>
      </c>
      <c r="J1286" s="3">
        <v>740.96</v>
      </c>
    </row>
    <row r="1287" spans="1:10" x14ac:dyDescent="0.25">
      <c r="A1287" t="s">
        <v>367</v>
      </c>
      <c r="B1287" t="s">
        <v>71</v>
      </c>
      <c r="C1287" s="82" t="s">
        <v>466</v>
      </c>
      <c r="D1287">
        <v>201603</v>
      </c>
      <c r="E1287" s="1">
        <v>42430</v>
      </c>
      <c r="F1287" s="1">
        <v>42460</v>
      </c>
      <c r="G1287" t="s">
        <v>466</v>
      </c>
      <c r="H1287" s="81">
        <v>139</v>
      </c>
      <c r="I1287" t="s">
        <v>12</v>
      </c>
      <c r="J1287" s="3">
        <v>752.71</v>
      </c>
    </row>
    <row r="1288" spans="1:10" x14ac:dyDescent="0.25">
      <c r="A1288" t="s">
        <v>367</v>
      </c>
      <c r="B1288" t="s">
        <v>71</v>
      </c>
      <c r="C1288" s="82" t="s">
        <v>466</v>
      </c>
      <c r="D1288">
        <v>201604</v>
      </c>
      <c r="E1288" s="1">
        <v>42460</v>
      </c>
      <c r="F1288" s="1">
        <v>42489</v>
      </c>
      <c r="G1288" t="s">
        <v>466</v>
      </c>
      <c r="H1288" s="81">
        <v>90</v>
      </c>
      <c r="I1288" t="s">
        <v>12</v>
      </c>
      <c r="J1288" s="3">
        <v>673.69</v>
      </c>
    </row>
    <row r="1289" spans="1:10" x14ac:dyDescent="0.25">
      <c r="A1289" t="s">
        <v>367</v>
      </c>
      <c r="B1289" t="s">
        <v>71</v>
      </c>
      <c r="C1289" s="82" t="s">
        <v>466</v>
      </c>
      <c r="D1289">
        <v>201605</v>
      </c>
      <c r="E1289" s="1">
        <v>42489</v>
      </c>
      <c r="F1289" s="1">
        <v>42521</v>
      </c>
      <c r="G1289" t="s">
        <v>466</v>
      </c>
      <c r="H1289" s="81">
        <v>60</v>
      </c>
      <c r="I1289" t="s">
        <v>12</v>
      </c>
      <c r="J1289" s="3">
        <v>553.03</v>
      </c>
    </row>
    <row r="1290" spans="1:10" x14ac:dyDescent="0.25">
      <c r="A1290" t="s">
        <v>367</v>
      </c>
      <c r="B1290" t="s">
        <v>71</v>
      </c>
      <c r="C1290" s="82" t="s">
        <v>466</v>
      </c>
      <c r="D1290">
        <v>201606</v>
      </c>
      <c r="E1290" s="1">
        <v>42521</v>
      </c>
      <c r="F1290" s="1">
        <v>42550</v>
      </c>
      <c r="G1290" t="s">
        <v>466</v>
      </c>
      <c r="H1290" s="81">
        <v>69</v>
      </c>
      <c r="I1290" t="s">
        <v>12</v>
      </c>
      <c r="J1290" s="3">
        <v>752.17</v>
      </c>
    </row>
    <row r="1291" spans="1:10" x14ac:dyDescent="0.25">
      <c r="H1291" s="96">
        <f>SUM(H895:H1290)</f>
        <v>107594</v>
      </c>
      <c r="I1291" t="s">
        <v>12</v>
      </c>
      <c r="J1291" s="95">
        <f>SUM(J895:J1290)</f>
        <v>805956.42000000062</v>
      </c>
    </row>
    <row r="1292" spans="1:10" ht="15.75" thickBot="1" x14ac:dyDescent="0.3">
      <c r="G1292" s="20" t="s">
        <v>596</v>
      </c>
      <c r="H1292" s="97">
        <v>-446</v>
      </c>
      <c r="I1292" t="s">
        <v>12</v>
      </c>
      <c r="J1292" s="98">
        <v>-3382.02</v>
      </c>
    </row>
    <row r="1293" spans="1:10" ht="15.75" thickBot="1" x14ac:dyDescent="0.3">
      <c r="H1293" s="91">
        <f>SUM(H1291:H1292)</f>
        <v>107148</v>
      </c>
      <c r="I1293" t="s">
        <v>12</v>
      </c>
      <c r="J1293" s="6">
        <f>SUM(J1291:J1292)</f>
        <v>802574.40000000061</v>
      </c>
    </row>
    <row r="1294" spans="1:10" x14ac:dyDescent="0.25">
      <c r="H1294" s="99"/>
      <c r="J1294" s="104"/>
    </row>
    <row r="1295" spans="1:10" x14ac:dyDescent="0.25">
      <c r="H1295" s="81"/>
      <c r="J1295" s="3"/>
    </row>
    <row r="1296" spans="1:10" x14ac:dyDescent="0.25">
      <c r="A1296" t="s">
        <v>292</v>
      </c>
      <c r="B1296" t="s">
        <v>59</v>
      </c>
      <c r="C1296" s="82">
        <v>301865614</v>
      </c>
      <c r="D1296">
        <v>201507</v>
      </c>
      <c r="E1296" s="1">
        <v>42186</v>
      </c>
      <c r="F1296" s="1">
        <v>42214</v>
      </c>
      <c r="G1296" t="s">
        <v>429</v>
      </c>
      <c r="H1296" s="81">
        <v>2</v>
      </c>
      <c r="I1296" t="s">
        <v>47</v>
      </c>
      <c r="J1296" s="3">
        <v>191.96</v>
      </c>
    </row>
    <row r="1297" spans="1:10" x14ac:dyDescent="0.25">
      <c r="A1297" t="s">
        <v>292</v>
      </c>
      <c r="B1297" t="s">
        <v>59</v>
      </c>
      <c r="C1297" s="82">
        <v>301865614</v>
      </c>
      <c r="D1297">
        <v>201508</v>
      </c>
      <c r="E1297" s="1">
        <v>42215</v>
      </c>
      <c r="F1297" s="1">
        <v>42243</v>
      </c>
      <c r="G1297" t="s">
        <v>429</v>
      </c>
      <c r="H1297" s="81">
        <v>2</v>
      </c>
      <c r="I1297" t="s">
        <v>47</v>
      </c>
      <c r="J1297" s="3">
        <v>227.76</v>
      </c>
    </row>
    <row r="1298" spans="1:10" x14ac:dyDescent="0.25">
      <c r="A1298" t="s">
        <v>292</v>
      </c>
      <c r="B1298" t="s">
        <v>59</v>
      </c>
      <c r="C1298" s="82">
        <v>301865614</v>
      </c>
      <c r="D1298">
        <v>201509</v>
      </c>
      <c r="E1298" s="1">
        <v>42244</v>
      </c>
      <c r="F1298" s="1">
        <v>42275</v>
      </c>
      <c r="G1298" t="s">
        <v>429</v>
      </c>
      <c r="H1298" s="81">
        <v>48</v>
      </c>
      <c r="I1298" t="s">
        <v>47</v>
      </c>
      <c r="J1298" s="3">
        <v>668.71</v>
      </c>
    </row>
    <row r="1299" spans="1:10" x14ac:dyDescent="0.25">
      <c r="A1299" t="s">
        <v>292</v>
      </c>
      <c r="B1299" t="s">
        <v>59</v>
      </c>
      <c r="C1299" s="82">
        <v>301865614</v>
      </c>
      <c r="D1299">
        <v>201510</v>
      </c>
      <c r="E1299" s="1">
        <v>42276</v>
      </c>
      <c r="F1299" s="1">
        <v>42310</v>
      </c>
      <c r="G1299" t="s">
        <v>429</v>
      </c>
      <c r="H1299" s="81">
        <v>51</v>
      </c>
      <c r="I1299" t="s">
        <v>47</v>
      </c>
      <c r="J1299" s="3">
        <v>706.96</v>
      </c>
    </row>
    <row r="1300" spans="1:10" x14ac:dyDescent="0.25">
      <c r="A1300" t="s">
        <v>292</v>
      </c>
      <c r="B1300" t="s">
        <v>59</v>
      </c>
      <c r="C1300" s="82">
        <v>301865614</v>
      </c>
      <c r="D1300">
        <v>201511</v>
      </c>
      <c r="E1300" s="1">
        <v>42311</v>
      </c>
      <c r="F1300" s="1">
        <v>42341</v>
      </c>
      <c r="G1300" t="s">
        <v>429</v>
      </c>
      <c r="H1300" s="81">
        <v>35</v>
      </c>
      <c r="I1300" t="s">
        <v>47</v>
      </c>
      <c r="J1300" s="3">
        <v>531.36</v>
      </c>
    </row>
    <row r="1301" spans="1:10" x14ac:dyDescent="0.25">
      <c r="A1301" t="s">
        <v>292</v>
      </c>
      <c r="B1301" t="s">
        <v>59</v>
      </c>
      <c r="C1301" s="82">
        <v>301865614</v>
      </c>
      <c r="D1301">
        <v>201512</v>
      </c>
      <c r="E1301" s="1">
        <v>42342</v>
      </c>
      <c r="F1301" s="1">
        <v>42369</v>
      </c>
      <c r="G1301" t="s">
        <v>429</v>
      </c>
      <c r="H1301" s="81">
        <v>27</v>
      </c>
      <c r="I1301" t="s">
        <v>47</v>
      </c>
      <c r="J1301" s="3">
        <v>457.76</v>
      </c>
    </row>
    <row r="1302" spans="1:10" x14ac:dyDescent="0.25">
      <c r="A1302" t="s">
        <v>292</v>
      </c>
      <c r="B1302" t="s">
        <v>59</v>
      </c>
      <c r="C1302" s="82">
        <v>301865614</v>
      </c>
      <c r="D1302">
        <v>201601</v>
      </c>
      <c r="E1302" s="1">
        <v>42370</v>
      </c>
      <c r="F1302" s="1">
        <v>42402</v>
      </c>
      <c r="G1302" t="s">
        <v>429</v>
      </c>
      <c r="H1302" s="81">
        <v>21</v>
      </c>
      <c r="I1302" t="s">
        <v>47</v>
      </c>
      <c r="J1302" s="3">
        <v>402.56</v>
      </c>
    </row>
    <row r="1303" spans="1:10" x14ac:dyDescent="0.25">
      <c r="A1303" t="s">
        <v>292</v>
      </c>
      <c r="B1303" t="s">
        <v>59</v>
      </c>
      <c r="C1303" s="82">
        <v>301865614</v>
      </c>
      <c r="D1303">
        <v>201602</v>
      </c>
      <c r="E1303" s="1">
        <v>42403</v>
      </c>
      <c r="F1303" s="1">
        <v>42433</v>
      </c>
      <c r="G1303" t="s">
        <v>429</v>
      </c>
      <c r="H1303" s="81">
        <v>45</v>
      </c>
      <c r="I1303" t="s">
        <v>47</v>
      </c>
      <c r="J1303" s="3">
        <v>623.36</v>
      </c>
    </row>
    <row r="1304" spans="1:10" x14ac:dyDescent="0.25">
      <c r="A1304" t="s">
        <v>292</v>
      </c>
      <c r="B1304" t="s">
        <v>59</v>
      </c>
      <c r="C1304" s="82">
        <v>301865614</v>
      </c>
      <c r="D1304">
        <v>201603</v>
      </c>
      <c r="E1304" s="1">
        <v>42434</v>
      </c>
      <c r="F1304" s="1">
        <v>42461</v>
      </c>
      <c r="G1304" t="s">
        <v>429</v>
      </c>
      <c r="H1304" s="81">
        <v>27</v>
      </c>
      <c r="I1304" t="s">
        <v>47</v>
      </c>
      <c r="J1304" s="3">
        <v>463.42</v>
      </c>
    </row>
    <row r="1305" spans="1:10" x14ac:dyDescent="0.25">
      <c r="A1305" t="s">
        <v>292</v>
      </c>
      <c r="B1305" t="s">
        <v>59</v>
      </c>
      <c r="C1305" s="82">
        <v>301865614</v>
      </c>
      <c r="D1305">
        <v>201604</v>
      </c>
      <c r="E1305" s="1">
        <v>42462</v>
      </c>
      <c r="F1305" s="1">
        <v>42494</v>
      </c>
      <c r="G1305" t="s">
        <v>429</v>
      </c>
      <c r="H1305" s="81">
        <v>43</v>
      </c>
      <c r="I1305" t="s">
        <v>47</v>
      </c>
      <c r="J1305" s="3">
        <v>612.70000000000005</v>
      </c>
    </row>
    <row r="1306" spans="1:10" x14ac:dyDescent="0.25">
      <c r="A1306" t="s">
        <v>292</v>
      </c>
      <c r="B1306" t="s">
        <v>59</v>
      </c>
      <c r="C1306" s="82">
        <v>301865614</v>
      </c>
      <c r="D1306">
        <v>201605</v>
      </c>
      <c r="E1306" s="1">
        <v>42494</v>
      </c>
      <c r="F1306" s="1">
        <v>42521</v>
      </c>
      <c r="G1306" t="s">
        <v>429</v>
      </c>
      <c r="H1306" s="81">
        <v>11</v>
      </c>
      <c r="I1306" t="s">
        <v>47</v>
      </c>
      <c r="J1306" s="3">
        <v>314.14</v>
      </c>
    </row>
    <row r="1307" spans="1:10" x14ac:dyDescent="0.25">
      <c r="A1307" t="s">
        <v>292</v>
      </c>
      <c r="B1307" t="s">
        <v>59</v>
      </c>
      <c r="C1307" s="82">
        <v>301865614</v>
      </c>
      <c r="D1307">
        <v>201606</v>
      </c>
      <c r="E1307" s="1">
        <v>42522</v>
      </c>
      <c r="F1307" s="1">
        <v>42550</v>
      </c>
      <c r="G1307" t="s">
        <v>429</v>
      </c>
      <c r="H1307" s="81">
        <v>1</v>
      </c>
      <c r="I1307" t="s">
        <v>47</v>
      </c>
      <c r="J1307" s="3">
        <v>220.84</v>
      </c>
    </row>
    <row r="1308" spans="1:10" x14ac:dyDescent="0.25">
      <c r="A1308" t="s">
        <v>294</v>
      </c>
      <c r="B1308" t="s">
        <v>59</v>
      </c>
      <c r="C1308" s="82" t="s">
        <v>458</v>
      </c>
      <c r="D1308">
        <v>201507</v>
      </c>
      <c r="E1308" s="1">
        <v>42186</v>
      </c>
      <c r="F1308" s="1">
        <v>42214</v>
      </c>
      <c r="G1308" t="s">
        <v>458</v>
      </c>
      <c r="H1308" s="81">
        <v>81</v>
      </c>
      <c r="I1308" t="s">
        <v>47</v>
      </c>
      <c r="J1308" s="3">
        <v>746.74</v>
      </c>
    </row>
    <row r="1309" spans="1:10" x14ac:dyDescent="0.25">
      <c r="A1309" t="s">
        <v>294</v>
      </c>
      <c r="B1309" t="s">
        <v>59</v>
      </c>
      <c r="C1309" s="82" t="s">
        <v>458</v>
      </c>
      <c r="D1309">
        <v>201508</v>
      </c>
      <c r="E1309" s="1">
        <v>42215</v>
      </c>
      <c r="F1309" s="1">
        <v>42243</v>
      </c>
      <c r="G1309" t="s">
        <v>458</v>
      </c>
      <c r="H1309" s="81">
        <v>28</v>
      </c>
      <c r="I1309" t="s">
        <v>47</v>
      </c>
      <c r="J1309" s="3">
        <v>256.52999999999997</v>
      </c>
    </row>
    <row r="1310" spans="1:10" x14ac:dyDescent="0.25">
      <c r="A1310" t="s">
        <v>294</v>
      </c>
      <c r="B1310" t="s">
        <v>59</v>
      </c>
      <c r="C1310" s="82" t="s">
        <v>458</v>
      </c>
      <c r="D1310">
        <v>201509</v>
      </c>
      <c r="E1310" s="1">
        <v>42244</v>
      </c>
      <c r="F1310" s="1">
        <v>42275</v>
      </c>
      <c r="G1310" t="s">
        <v>458</v>
      </c>
      <c r="H1310" s="81">
        <v>88</v>
      </c>
      <c r="I1310" t="s">
        <v>47</v>
      </c>
      <c r="J1310" s="3">
        <v>809.17</v>
      </c>
    </row>
    <row r="1311" spans="1:10" x14ac:dyDescent="0.25">
      <c r="A1311" t="s">
        <v>294</v>
      </c>
      <c r="B1311" t="s">
        <v>59</v>
      </c>
      <c r="C1311" s="82" t="s">
        <v>458</v>
      </c>
      <c r="D1311">
        <v>201511</v>
      </c>
      <c r="E1311" s="1">
        <v>42311</v>
      </c>
      <c r="F1311" s="1">
        <v>42341</v>
      </c>
      <c r="G1311" t="s">
        <v>458</v>
      </c>
      <c r="H1311" s="81">
        <v>73</v>
      </c>
      <c r="I1311" t="s">
        <v>47</v>
      </c>
      <c r="J1311" s="3">
        <v>668.78</v>
      </c>
    </row>
    <row r="1312" spans="1:10" x14ac:dyDescent="0.25">
      <c r="A1312" t="s">
        <v>294</v>
      </c>
      <c r="B1312" t="s">
        <v>59</v>
      </c>
      <c r="C1312" s="82" t="s">
        <v>458</v>
      </c>
      <c r="D1312">
        <v>201512</v>
      </c>
      <c r="E1312" s="1">
        <v>42341</v>
      </c>
      <c r="F1312" s="1">
        <v>42369</v>
      </c>
      <c r="G1312" t="s">
        <v>458</v>
      </c>
      <c r="H1312" s="81">
        <v>53</v>
      </c>
      <c r="I1312" t="s">
        <v>47</v>
      </c>
      <c r="J1312" s="3">
        <v>488.82</v>
      </c>
    </row>
    <row r="1313" spans="1:10" x14ac:dyDescent="0.25">
      <c r="A1313" t="s">
        <v>294</v>
      </c>
      <c r="B1313" t="s">
        <v>59</v>
      </c>
      <c r="C1313" s="82" t="s">
        <v>458</v>
      </c>
      <c r="D1313">
        <v>201601</v>
      </c>
      <c r="E1313" s="1">
        <v>42370</v>
      </c>
      <c r="F1313" s="1">
        <v>42402</v>
      </c>
      <c r="G1313" t="s">
        <v>458</v>
      </c>
      <c r="H1313" s="81">
        <v>49</v>
      </c>
      <c r="I1313" t="s">
        <v>47</v>
      </c>
      <c r="J1313" s="3">
        <v>454.36</v>
      </c>
    </row>
    <row r="1314" spans="1:10" x14ac:dyDescent="0.25">
      <c r="A1314" t="s">
        <v>294</v>
      </c>
      <c r="B1314" t="s">
        <v>59</v>
      </c>
      <c r="C1314" s="82" t="s">
        <v>458</v>
      </c>
      <c r="D1314">
        <v>201602</v>
      </c>
      <c r="E1314" s="1">
        <v>42403</v>
      </c>
      <c r="F1314" s="1">
        <v>42433</v>
      </c>
      <c r="G1314" t="s">
        <v>458</v>
      </c>
      <c r="H1314" s="81">
        <v>92</v>
      </c>
      <c r="I1314" t="s">
        <v>47</v>
      </c>
      <c r="J1314" s="3">
        <v>847.46</v>
      </c>
    </row>
    <row r="1315" spans="1:10" x14ac:dyDescent="0.25">
      <c r="A1315" t="s">
        <v>294</v>
      </c>
      <c r="B1315" t="s">
        <v>59</v>
      </c>
      <c r="C1315" s="82" t="s">
        <v>458</v>
      </c>
      <c r="D1315">
        <v>201603</v>
      </c>
      <c r="E1315" s="1">
        <v>42434</v>
      </c>
      <c r="F1315" s="1">
        <v>42461</v>
      </c>
      <c r="G1315" t="s">
        <v>458</v>
      </c>
      <c r="H1315" s="81">
        <v>60</v>
      </c>
      <c r="I1315" t="s">
        <v>47</v>
      </c>
      <c r="J1315" s="3">
        <v>557.85</v>
      </c>
    </row>
    <row r="1316" spans="1:10" x14ac:dyDescent="0.25">
      <c r="A1316" t="s">
        <v>294</v>
      </c>
      <c r="B1316" t="s">
        <v>59</v>
      </c>
      <c r="C1316" s="82" t="s">
        <v>458</v>
      </c>
      <c r="D1316">
        <v>201604</v>
      </c>
      <c r="E1316" s="1">
        <v>42462</v>
      </c>
      <c r="F1316" s="1">
        <v>42493</v>
      </c>
      <c r="G1316" t="s">
        <v>458</v>
      </c>
      <c r="H1316" s="81">
        <v>92</v>
      </c>
      <c r="I1316" t="s">
        <v>47</v>
      </c>
      <c r="J1316" s="3">
        <v>855.55</v>
      </c>
    </row>
    <row r="1317" spans="1:10" x14ac:dyDescent="0.25">
      <c r="A1317" t="s">
        <v>294</v>
      </c>
      <c r="B1317" t="s">
        <v>59</v>
      </c>
      <c r="C1317" s="82" t="s">
        <v>458</v>
      </c>
      <c r="D1317">
        <v>201605</v>
      </c>
      <c r="E1317" s="1">
        <v>42494</v>
      </c>
      <c r="F1317" s="1">
        <v>42521</v>
      </c>
      <c r="G1317" t="s">
        <v>458</v>
      </c>
      <c r="H1317" s="81">
        <v>41</v>
      </c>
      <c r="I1317" t="s">
        <v>47</v>
      </c>
      <c r="J1317" s="3">
        <v>385.71</v>
      </c>
    </row>
    <row r="1318" spans="1:10" x14ac:dyDescent="0.25">
      <c r="A1318" t="s">
        <v>294</v>
      </c>
      <c r="B1318" t="s">
        <v>59</v>
      </c>
      <c r="C1318" s="82" t="s">
        <v>458</v>
      </c>
      <c r="D1318">
        <v>201606</v>
      </c>
      <c r="E1318" s="1">
        <v>42522</v>
      </c>
      <c r="F1318" s="1">
        <v>42550</v>
      </c>
      <c r="G1318" t="s">
        <v>458</v>
      </c>
      <c r="H1318" s="81">
        <v>56</v>
      </c>
      <c r="I1318" t="s">
        <v>47</v>
      </c>
      <c r="J1318" s="3">
        <v>524.21</v>
      </c>
    </row>
    <row r="1319" spans="1:10" x14ac:dyDescent="0.25">
      <c r="A1319" t="s">
        <v>61</v>
      </c>
      <c r="B1319" t="s">
        <v>59</v>
      </c>
      <c r="C1319" s="82">
        <v>306220294</v>
      </c>
      <c r="D1319">
        <v>201507</v>
      </c>
      <c r="E1319" s="1">
        <v>42186</v>
      </c>
      <c r="F1319" s="1">
        <v>42214</v>
      </c>
      <c r="G1319" t="s">
        <v>430</v>
      </c>
      <c r="H1319" s="81">
        <v>141</v>
      </c>
      <c r="I1319" t="s">
        <v>47</v>
      </c>
      <c r="J1319" s="3">
        <v>1216.75</v>
      </c>
    </row>
    <row r="1320" spans="1:10" x14ac:dyDescent="0.25">
      <c r="A1320" t="s">
        <v>61</v>
      </c>
      <c r="B1320" t="s">
        <v>59</v>
      </c>
      <c r="C1320" s="82">
        <v>306220294</v>
      </c>
      <c r="D1320">
        <v>201508</v>
      </c>
      <c r="E1320" s="1">
        <v>42215</v>
      </c>
      <c r="F1320" s="1">
        <v>42243</v>
      </c>
      <c r="G1320" t="s">
        <v>430</v>
      </c>
      <c r="H1320" s="81">
        <v>106</v>
      </c>
      <c r="I1320" t="s">
        <v>47</v>
      </c>
      <c r="J1320" s="3">
        <v>912.88</v>
      </c>
    </row>
    <row r="1321" spans="1:10" x14ac:dyDescent="0.25">
      <c r="A1321" t="s">
        <v>61</v>
      </c>
      <c r="B1321" t="s">
        <v>59</v>
      </c>
      <c r="C1321" s="82">
        <v>306220294</v>
      </c>
      <c r="D1321">
        <v>201509</v>
      </c>
      <c r="E1321" s="1">
        <v>42244</v>
      </c>
      <c r="F1321" s="1">
        <v>42275</v>
      </c>
      <c r="G1321" t="s">
        <v>430</v>
      </c>
      <c r="H1321" s="81">
        <v>402</v>
      </c>
      <c r="I1321" t="s">
        <v>47</v>
      </c>
      <c r="J1321" s="3">
        <v>3616.13</v>
      </c>
    </row>
    <row r="1322" spans="1:10" x14ac:dyDescent="0.25">
      <c r="A1322" t="s">
        <v>61</v>
      </c>
      <c r="B1322" t="s">
        <v>59</v>
      </c>
      <c r="C1322" s="82">
        <v>306220294</v>
      </c>
      <c r="D1322">
        <v>201510</v>
      </c>
      <c r="E1322" s="1">
        <v>42276</v>
      </c>
      <c r="F1322" s="1">
        <v>42310</v>
      </c>
      <c r="G1322" t="s">
        <v>430</v>
      </c>
      <c r="H1322" s="81">
        <v>454</v>
      </c>
      <c r="I1322" t="s">
        <v>47</v>
      </c>
      <c r="J1322" s="3">
        <v>4282.9799999999996</v>
      </c>
    </row>
    <row r="1323" spans="1:10" x14ac:dyDescent="0.25">
      <c r="A1323" t="s">
        <v>61</v>
      </c>
      <c r="B1323" t="s">
        <v>59</v>
      </c>
      <c r="C1323" s="82">
        <v>306220294</v>
      </c>
      <c r="D1323">
        <v>201511</v>
      </c>
      <c r="E1323" s="1">
        <v>42311</v>
      </c>
      <c r="F1323" s="1">
        <v>42341</v>
      </c>
      <c r="G1323" t="s">
        <v>430</v>
      </c>
      <c r="H1323" s="81">
        <v>310</v>
      </c>
      <c r="I1323" t="s">
        <v>47</v>
      </c>
      <c r="J1323" s="3">
        <v>2995.83</v>
      </c>
    </row>
    <row r="1324" spans="1:10" x14ac:dyDescent="0.25">
      <c r="A1324" t="s">
        <v>61</v>
      </c>
      <c r="B1324" t="s">
        <v>59</v>
      </c>
      <c r="C1324" s="82">
        <v>306220294</v>
      </c>
      <c r="D1324">
        <v>201512</v>
      </c>
      <c r="E1324" s="1">
        <v>42342</v>
      </c>
      <c r="F1324" s="1">
        <v>42369</v>
      </c>
      <c r="G1324" t="s">
        <v>430</v>
      </c>
      <c r="H1324" s="81">
        <v>248</v>
      </c>
      <c r="I1324" t="s">
        <v>47</v>
      </c>
      <c r="J1324" s="3">
        <v>2425.4299999999998</v>
      </c>
    </row>
    <row r="1325" spans="1:10" x14ac:dyDescent="0.25">
      <c r="A1325" t="s">
        <v>61</v>
      </c>
      <c r="B1325" t="s">
        <v>59</v>
      </c>
      <c r="C1325" s="82">
        <v>306220294</v>
      </c>
      <c r="D1325">
        <v>201601</v>
      </c>
      <c r="E1325" s="1">
        <v>42370</v>
      </c>
      <c r="F1325" s="1">
        <v>42402</v>
      </c>
      <c r="G1325" t="s">
        <v>430</v>
      </c>
      <c r="H1325" s="81">
        <v>259</v>
      </c>
      <c r="I1325" t="s">
        <v>47</v>
      </c>
      <c r="J1325" s="3">
        <v>2526.63</v>
      </c>
    </row>
    <row r="1326" spans="1:10" x14ac:dyDescent="0.25">
      <c r="A1326" t="s">
        <v>61</v>
      </c>
      <c r="B1326" t="s">
        <v>59</v>
      </c>
      <c r="C1326" s="82">
        <v>306220294</v>
      </c>
      <c r="D1326">
        <v>201602</v>
      </c>
      <c r="E1326" s="1">
        <v>42403</v>
      </c>
      <c r="F1326" s="1">
        <v>42433</v>
      </c>
      <c r="G1326" t="s">
        <v>430</v>
      </c>
      <c r="H1326" s="81">
        <v>362</v>
      </c>
      <c r="I1326" t="s">
        <v>47</v>
      </c>
      <c r="J1326" s="3">
        <v>3474.23</v>
      </c>
    </row>
    <row r="1327" spans="1:10" x14ac:dyDescent="0.25">
      <c r="A1327" t="s">
        <v>61</v>
      </c>
      <c r="B1327" t="s">
        <v>59</v>
      </c>
      <c r="C1327" s="82">
        <v>306220294</v>
      </c>
      <c r="D1327">
        <v>201603</v>
      </c>
      <c r="E1327" s="1">
        <v>42434</v>
      </c>
      <c r="F1327" s="1">
        <v>42461</v>
      </c>
      <c r="G1327" t="s">
        <v>430</v>
      </c>
      <c r="H1327" s="81">
        <v>256</v>
      </c>
      <c r="I1327" t="s">
        <v>47</v>
      </c>
      <c r="J1327" s="3">
        <v>2534.8200000000002</v>
      </c>
    </row>
    <row r="1328" spans="1:10" x14ac:dyDescent="0.25">
      <c r="A1328" t="s">
        <v>61</v>
      </c>
      <c r="B1328" t="s">
        <v>59</v>
      </c>
      <c r="C1328" s="82">
        <v>306220294</v>
      </c>
      <c r="D1328">
        <v>201604</v>
      </c>
      <c r="E1328" s="1">
        <v>42462</v>
      </c>
      <c r="F1328" s="1">
        <v>42493</v>
      </c>
      <c r="G1328" t="s">
        <v>430</v>
      </c>
      <c r="H1328" s="81">
        <v>383</v>
      </c>
      <c r="I1328" t="s">
        <v>47</v>
      </c>
      <c r="J1328" s="3">
        <v>3387.23</v>
      </c>
    </row>
    <row r="1329" spans="1:10" x14ac:dyDescent="0.25">
      <c r="A1329" t="s">
        <v>61</v>
      </c>
      <c r="B1329" t="s">
        <v>59</v>
      </c>
      <c r="C1329" s="82">
        <v>306220294</v>
      </c>
      <c r="D1329">
        <v>201605</v>
      </c>
      <c r="E1329" s="1">
        <v>42494</v>
      </c>
      <c r="F1329" s="1">
        <v>42521</v>
      </c>
      <c r="G1329" t="s">
        <v>430</v>
      </c>
      <c r="H1329" s="81">
        <v>180</v>
      </c>
      <c r="I1329" t="s">
        <v>47</v>
      </c>
      <c r="J1329" s="3">
        <v>1353.59</v>
      </c>
    </row>
    <row r="1330" spans="1:10" x14ac:dyDescent="0.25">
      <c r="A1330" t="s">
        <v>61</v>
      </c>
      <c r="B1330" t="s">
        <v>59</v>
      </c>
      <c r="C1330" s="82">
        <v>306220294</v>
      </c>
      <c r="D1330">
        <v>201606</v>
      </c>
      <c r="E1330" s="1">
        <v>42522</v>
      </c>
      <c r="F1330" s="1">
        <v>42550</v>
      </c>
      <c r="G1330" t="s">
        <v>430</v>
      </c>
      <c r="H1330" s="81">
        <v>70</v>
      </c>
      <c r="I1330" t="s">
        <v>47</v>
      </c>
      <c r="J1330" s="3">
        <v>752.89</v>
      </c>
    </row>
    <row r="1331" spans="1:10" x14ac:dyDescent="0.25">
      <c r="A1331" t="s">
        <v>296</v>
      </c>
      <c r="B1331" t="s">
        <v>59</v>
      </c>
      <c r="C1331" s="82" t="s">
        <v>459</v>
      </c>
      <c r="D1331">
        <v>201507</v>
      </c>
      <c r="E1331" s="1">
        <v>42186</v>
      </c>
      <c r="F1331" s="1">
        <v>42214</v>
      </c>
      <c r="G1331" t="s">
        <v>459</v>
      </c>
      <c r="H1331" s="81">
        <v>85</v>
      </c>
      <c r="I1331" t="s">
        <v>47</v>
      </c>
      <c r="J1331" s="3">
        <v>782.86</v>
      </c>
    </row>
    <row r="1332" spans="1:10" x14ac:dyDescent="0.25">
      <c r="A1332" t="s">
        <v>296</v>
      </c>
      <c r="B1332" t="s">
        <v>59</v>
      </c>
      <c r="C1332" s="82" t="s">
        <v>459</v>
      </c>
      <c r="D1332">
        <v>201508</v>
      </c>
      <c r="E1332" s="1">
        <v>42215</v>
      </c>
      <c r="F1332" s="1">
        <v>42243</v>
      </c>
      <c r="G1332" t="s">
        <v>459</v>
      </c>
      <c r="H1332" s="81">
        <v>29</v>
      </c>
      <c r="I1332" t="s">
        <v>47</v>
      </c>
      <c r="J1332" s="3">
        <v>268.94</v>
      </c>
    </row>
    <row r="1333" spans="1:10" x14ac:dyDescent="0.25">
      <c r="A1333" t="s">
        <v>296</v>
      </c>
      <c r="B1333" t="s">
        <v>59</v>
      </c>
      <c r="C1333" s="82" t="s">
        <v>459</v>
      </c>
      <c r="D1333">
        <v>201509</v>
      </c>
      <c r="E1333" s="1">
        <v>42244</v>
      </c>
      <c r="F1333" s="1">
        <v>42275</v>
      </c>
      <c r="G1333" t="s">
        <v>459</v>
      </c>
      <c r="H1333" s="81">
        <v>92</v>
      </c>
      <c r="I1333" t="s">
        <v>47</v>
      </c>
      <c r="J1333" s="3">
        <v>848.31</v>
      </c>
    </row>
    <row r="1334" spans="1:10" x14ac:dyDescent="0.25">
      <c r="A1334" t="s">
        <v>296</v>
      </c>
      <c r="B1334" t="s">
        <v>59</v>
      </c>
      <c r="C1334" s="82" t="s">
        <v>459</v>
      </c>
      <c r="D1334">
        <v>201511</v>
      </c>
      <c r="E1334" s="1">
        <v>42311</v>
      </c>
      <c r="F1334" s="1">
        <v>42341</v>
      </c>
      <c r="G1334" t="s">
        <v>459</v>
      </c>
      <c r="H1334" s="81">
        <v>76</v>
      </c>
      <c r="I1334" t="s">
        <v>47</v>
      </c>
      <c r="J1334" s="3">
        <v>701.12</v>
      </c>
    </row>
    <row r="1335" spans="1:10" x14ac:dyDescent="0.25">
      <c r="A1335" t="s">
        <v>296</v>
      </c>
      <c r="B1335" t="s">
        <v>59</v>
      </c>
      <c r="C1335" s="82" t="s">
        <v>459</v>
      </c>
      <c r="D1335">
        <v>201512</v>
      </c>
      <c r="E1335" s="1">
        <v>42341</v>
      </c>
      <c r="F1335" s="1">
        <v>42369</v>
      </c>
      <c r="G1335" t="s">
        <v>459</v>
      </c>
      <c r="H1335" s="81">
        <v>56</v>
      </c>
      <c r="I1335" t="s">
        <v>47</v>
      </c>
      <c r="J1335" s="3">
        <v>512.46</v>
      </c>
    </row>
    <row r="1336" spans="1:10" x14ac:dyDescent="0.25">
      <c r="A1336" t="s">
        <v>296</v>
      </c>
      <c r="B1336" t="s">
        <v>59</v>
      </c>
      <c r="C1336" s="82" t="s">
        <v>459</v>
      </c>
      <c r="D1336">
        <v>201601</v>
      </c>
      <c r="E1336" s="1">
        <v>42370</v>
      </c>
      <c r="F1336" s="1">
        <v>42402</v>
      </c>
      <c r="G1336" t="s">
        <v>459</v>
      </c>
      <c r="H1336" s="81">
        <v>52</v>
      </c>
      <c r="I1336" t="s">
        <v>47</v>
      </c>
      <c r="J1336" s="3">
        <v>476.34</v>
      </c>
    </row>
    <row r="1337" spans="1:10" x14ac:dyDescent="0.25">
      <c r="A1337" t="s">
        <v>296</v>
      </c>
      <c r="B1337" t="s">
        <v>59</v>
      </c>
      <c r="C1337" s="82" t="s">
        <v>459</v>
      </c>
      <c r="D1337">
        <v>201602</v>
      </c>
      <c r="E1337" s="1">
        <v>42403</v>
      </c>
      <c r="F1337" s="1">
        <v>42433</v>
      </c>
      <c r="G1337" t="s">
        <v>459</v>
      </c>
      <c r="H1337" s="81">
        <v>97</v>
      </c>
      <c r="I1337" t="s">
        <v>47</v>
      </c>
      <c r="J1337" s="3">
        <v>888.44</v>
      </c>
    </row>
    <row r="1338" spans="1:10" x14ac:dyDescent="0.25">
      <c r="A1338" t="s">
        <v>296</v>
      </c>
      <c r="B1338" t="s">
        <v>59</v>
      </c>
      <c r="C1338" s="82" t="s">
        <v>459</v>
      </c>
      <c r="D1338">
        <v>201603</v>
      </c>
      <c r="E1338" s="1">
        <v>42434</v>
      </c>
      <c r="F1338" s="1">
        <v>42461</v>
      </c>
      <c r="G1338" t="s">
        <v>459</v>
      </c>
      <c r="H1338" s="81">
        <v>63</v>
      </c>
      <c r="I1338" t="s">
        <v>47</v>
      </c>
      <c r="J1338" s="3">
        <v>584.83000000000004</v>
      </c>
    </row>
    <row r="1339" spans="1:10" x14ac:dyDescent="0.25">
      <c r="A1339" t="s">
        <v>296</v>
      </c>
      <c r="B1339" t="s">
        <v>59</v>
      </c>
      <c r="C1339" s="82" t="s">
        <v>459</v>
      </c>
      <c r="D1339">
        <v>201604</v>
      </c>
      <c r="E1339" s="1">
        <v>42462</v>
      </c>
      <c r="F1339" s="1">
        <v>42493</v>
      </c>
      <c r="G1339" t="s">
        <v>459</v>
      </c>
      <c r="H1339" s="81">
        <v>96</v>
      </c>
      <c r="I1339" t="s">
        <v>47</v>
      </c>
      <c r="J1339" s="3">
        <v>896.93</v>
      </c>
    </row>
    <row r="1340" spans="1:10" x14ac:dyDescent="0.25">
      <c r="A1340" t="s">
        <v>296</v>
      </c>
      <c r="B1340" t="s">
        <v>59</v>
      </c>
      <c r="C1340" s="82" t="s">
        <v>459</v>
      </c>
      <c r="D1340">
        <v>201605</v>
      </c>
      <c r="E1340" s="1">
        <v>42494</v>
      </c>
      <c r="F1340" s="1">
        <v>42521</v>
      </c>
      <c r="G1340" t="s">
        <v>459</v>
      </c>
      <c r="H1340" s="81">
        <v>43</v>
      </c>
      <c r="I1340" t="s">
        <v>47</v>
      </c>
      <c r="J1340" s="3">
        <v>404.36</v>
      </c>
    </row>
    <row r="1341" spans="1:10" x14ac:dyDescent="0.25">
      <c r="A1341" t="s">
        <v>296</v>
      </c>
      <c r="B1341" t="s">
        <v>59</v>
      </c>
      <c r="C1341" s="82" t="s">
        <v>459</v>
      </c>
      <c r="D1341">
        <v>201606</v>
      </c>
      <c r="E1341" s="1">
        <v>42522</v>
      </c>
      <c r="F1341" s="1">
        <v>42550</v>
      </c>
      <c r="G1341" t="s">
        <v>459</v>
      </c>
      <c r="H1341" s="81">
        <v>59</v>
      </c>
      <c r="I1341" t="s">
        <v>47</v>
      </c>
      <c r="J1341" s="3">
        <v>549.55999999999995</v>
      </c>
    </row>
    <row r="1342" spans="1:10" x14ac:dyDescent="0.25">
      <c r="A1342" t="s">
        <v>299</v>
      </c>
      <c r="B1342" t="s">
        <v>59</v>
      </c>
      <c r="C1342" s="82" t="s">
        <v>460</v>
      </c>
      <c r="D1342">
        <v>201507</v>
      </c>
      <c r="E1342" s="1">
        <v>42186</v>
      </c>
      <c r="F1342" s="1">
        <v>42214</v>
      </c>
      <c r="G1342" t="s">
        <v>460</v>
      </c>
      <c r="H1342" s="81">
        <v>85</v>
      </c>
      <c r="I1342" t="s">
        <v>47</v>
      </c>
      <c r="J1342" s="3">
        <v>777.8</v>
      </c>
    </row>
    <row r="1343" spans="1:10" x14ac:dyDescent="0.25">
      <c r="A1343" t="s">
        <v>299</v>
      </c>
      <c r="B1343" t="s">
        <v>59</v>
      </c>
      <c r="C1343" s="82" t="s">
        <v>460</v>
      </c>
      <c r="D1343">
        <v>201508</v>
      </c>
      <c r="E1343" s="1">
        <v>42215</v>
      </c>
      <c r="F1343" s="1">
        <v>42243</v>
      </c>
      <c r="G1343" t="s">
        <v>460</v>
      </c>
      <c r="H1343" s="81">
        <v>29</v>
      </c>
      <c r="I1343" t="s">
        <v>47</v>
      </c>
      <c r="J1343" s="3">
        <v>267.2</v>
      </c>
    </row>
    <row r="1344" spans="1:10" x14ac:dyDescent="0.25">
      <c r="A1344" t="s">
        <v>299</v>
      </c>
      <c r="B1344" t="s">
        <v>59</v>
      </c>
      <c r="C1344" s="82" t="s">
        <v>460</v>
      </c>
      <c r="D1344">
        <v>201509</v>
      </c>
      <c r="E1344" s="1">
        <v>42244</v>
      </c>
      <c r="F1344" s="1">
        <v>42275</v>
      </c>
      <c r="G1344" t="s">
        <v>460</v>
      </c>
      <c r="H1344" s="81">
        <v>92</v>
      </c>
      <c r="I1344" t="s">
        <v>47</v>
      </c>
      <c r="J1344" s="3">
        <v>842.83</v>
      </c>
    </row>
    <row r="1345" spans="1:10" x14ac:dyDescent="0.25">
      <c r="A1345" t="s">
        <v>299</v>
      </c>
      <c r="B1345" t="s">
        <v>59</v>
      </c>
      <c r="C1345" s="82" t="s">
        <v>460</v>
      </c>
      <c r="D1345">
        <v>201511</v>
      </c>
      <c r="E1345" s="1">
        <v>42311</v>
      </c>
      <c r="F1345" s="1">
        <v>42341</v>
      </c>
      <c r="G1345" t="s">
        <v>460</v>
      </c>
      <c r="H1345" s="81">
        <v>76</v>
      </c>
      <c r="I1345" t="s">
        <v>47</v>
      </c>
      <c r="J1345" s="3">
        <v>696.6</v>
      </c>
    </row>
    <row r="1346" spans="1:10" x14ac:dyDescent="0.25">
      <c r="A1346" t="s">
        <v>299</v>
      </c>
      <c r="B1346" t="s">
        <v>59</v>
      </c>
      <c r="C1346" s="82" t="s">
        <v>460</v>
      </c>
      <c r="D1346">
        <v>201512</v>
      </c>
      <c r="E1346" s="1">
        <v>42341</v>
      </c>
      <c r="F1346" s="1">
        <v>42369</v>
      </c>
      <c r="G1346" t="s">
        <v>460</v>
      </c>
      <c r="H1346" s="81">
        <v>55</v>
      </c>
      <c r="I1346" t="s">
        <v>47</v>
      </c>
      <c r="J1346" s="3">
        <v>509.15</v>
      </c>
    </row>
    <row r="1347" spans="1:10" x14ac:dyDescent="0.25">
      <c r="A1347" t="s">
        <v>299</v>
      </c>
      <c r="B1347" t="s">
        <v>59</v>
      </c>
      <c r="C1347" s="82" t="s">
        <v>460</v>
      </c>
      <c r="D1347">
        <v>201601</v>
      </c>
      <c r="E1347" s="1">
        <v>42370</v>
      </c>
      <c r="F1347" s="1">
        <v>42402</v>
      </c>
      <c r="G1347" t="s">
        <v>460</v>
      </c>
      <c r="H1347" s="81">
        <v>51</v>
      </c>
      <c r="I1347" t="s">
        <v>47</v>
      </c>
      <c r="J1347" s="3">
        <v>473.26</v>
      </c>
    </row>
    <row r="1348" spans="1:10" x14ac:dyDescent="0.25">
      <c r="A1348" t="s">
        <v>299</v>
      </c>
      <c r="B1348" t="s">
        <v>59</v>
      </c>
      <c r="C1348" s="82" t="s">
        <v>460</v>
      </c>
      <c r="D1348">
        <v>201602</v>
      </c>
      <c r="E1348" s="1">
        <v>42403</v>
      </c>
      <c r="F1348" s="1">
        <v>42433</v>
      </c>
      <c r="G1348" t="s">
        <v>460</v>
      </c>
      <c r="H1348" s="81">
        <v>96</v>
      </c>
      <c r="I1348" t="s">
        <v>47</v>
      </c>
      <c r="J1348" s="3">
        <v>882.71</v>
      </c>
    </row>
    <row r="1349" spans="1:10" x14ac:dyDescent="0.25">
      <c r="A1349" t="s">
        <v>299</v>
      </c>
      <c r="B1349" t="s">
        <v>59</v>
      </c>
      <c r="C1349" s="82" t="s">
        <v>460</v>
      </c>
      <c r="D1349">
        <v>201603</v>
      </c>
      <c r="E1349" s="1">
        <v>42434</v>
      </c>
      <c r="F1349" s="1">
        <v>42461</v>
      </c>
      <c r="G1349" t="s">
        <v>460</v>
      </c>
      <c r="H1349" s="81">
        <v>62</v>
      </c>
      <c r="I1349" t="s">
        <v>47</v>
      </c>
      <c r="J1349" s="3">
        <v>581.05999999999995</v>
      </c>
    </row>
    <row r="1350" spans="1:10" x14ac:dyDescent="0.25">
      <c r="A1350" t="s">
        <v>299</v>
      </c>
      <c r="B1350" t="s">
        <v>59</v>
      </c>
      <c r="C1350" s="82" t="s">
        <v>460</v>
      </c>
      <c r="D1350">
        <v>201604</v>
      </c>
      <c r="E1350" s="1">
        <v>42462</v>
      </c>
      <c r="F1350" s="1">
        <v>42493</v>
      </c>
      <c r="G1350" t="s">
        <v>460</v>
      </c>
      <c r="H1350" s="81">
        <v>96</v>
      </c>
      <c r="I1350" t="s">
        <v>47</v>
      </c>
      <c r="J1350" s="3">
        <v>891.14</v>
      </c>
    </row>
    <row r="1351" spans="1:10" x14ac:dyDescent="0.25">
      <c r="A1351" t="s">
        <v>299</v>
      </c>
      <c r="B1351" t="s">
        <v>59</v>
      </c>
      <c r="C1351" s="82" t="s">
        <v>460</v>
      </c>
      <c r="D1351">
        <v>201605</v>
      </c>
      <c r="E1351" s="1">
        <v>42494</v>
      </c>
      <c r="F1351" s="1">
        <v>42521</v>
      </c>
      <c r="G1351" t="s">
        <v>460</v>
      </c>
      <c r="H1351" s="81">
        <v>43</v>
      </c>
      <c r="I1351" t="s">
        <v>47</v>
      </c>
      <c r="J1351" s="3">
        <v>401.75</v>
      </c>
    </row>
    <row r="1352" spans="1:10" x14ac:dyDescent="0.25">
      <c r="A1352" t="s">
        <v>299</v>
      </c>
      <c r="B1352" t="s">
        <v>59</v>
      </c>
      <c r="C1352" s="82" t="s">
        <v>460</v>
      </c>
      <c r="D1352">
        <v>201606</v>
      </c>
      <c r="E1352" s="1">
        <v>42522</v>
      </c>
      <c r="F1352" s="1">
        <v>42550</v>
      </c>
      <c r="G1352" t="s">
        <v>460</v>
      </c>
      <c r="H1352" s="81">
        <v>59</v>
      </c>
      <c r="I1352" t="s">
        <v>47</v>
      </c>
      <c r="J1352" s="3">
        <v>546.01</v>
      </c>
    </row>
    <row r="1353" spans="1:10" x14ac:dyDescent="0.25">
      <c r="A1353" t="s">
        <v>435</v>
      </c>
      <c r="B1353" t="s">
        <v>59</v>
      </c>
      <c r="C1353" s="82">
        <v>301882759</v>
      </c>
      <c r="D1353">
        <v>201507</v>
      </c>
      <c r="E1353" s="1">
        <v>42186</v>
      </c>
      <c r="F1353" s="1">
        <v>42214</v>
      </c>
      <c r="G1353" t="s">
        <v>436</v>
      </c>
      <c r="H1353" s="81">
        <v>587</v>
      </c>
      <c r="I1353" t="s">
        <v>47</v>
      </c>
      <c r="J1353" s="3">
        <v>5556.41</v>
      </c>
    </row>
    <row r="1354" spans="1:10" x14ac:dyDescent="0.25">
      <c r="A1354" t="s">
        <v>435</v>
      </c>
      <c r="B1354" t="s">
        <v>59</v>
      </c>
      <c r="C1354" s="82">
        <v>301882759</v>
      </c>
      <c r="D1354">
        <v>201508</v>
      </c>
      <c r="E1354" s="1">
        <v>42215</v>
      </c>
      <c r="F1354" s="1">
        <v>42243</v>
      </c>
      <c r="G1354" t="s">
        <v>436</v>
      </c>
      <c r="H1354" s="81">
        <v>201</v>
      </c>
      <c r="I1354" t="s">
        <v>47</v>
      </c>
      <c r="J1354" s="3">
        <v>2058.56</v>
      </c>
    </row>
    <row r="1355" spans="1:10" x14ac:dyDescent="0.25">
      <c r="A1355" t="s">
        <v>435</v>
      </c>
      <c r="B1355" t="s">
        <v>59</v>
      </c>
      <c r="C1355" s="82">
        <v>301882759</v>
      </c>
      <c r="D1355">
        <v>201509</v>
      </c>
      <c r="E1355" s="1">
        <v>42244</v>
      </c>
      <c r="F1355" s="1">
        <v>42275</v>
      </c>
      <c r="G1355" t="s">
        <v>436</v>
      </c>
      <c r="H1355" s="81">
        <v>634</v>
      </c>
      <c r="I1355" t="s">
        <v>47</v>
      </c>
      <c r="J1355" s="3">
        <v>6042.16</v>
      </c>
    </row>
    <row r="1356" spans="1:10" x14ac:dyDescent="0.25">
      <c r="A1356" t="s">
        <v>435</v>
      </c>
      <c r="B1356" t="s">
        <v>59</v>
      </c>
      <c r="C1356" s="82">
        <v>301882759</v>
      </c>
      <c r="D1356">
        <v>201510</v>
      </c>
      <c r="E1356" s="1">
        <v>42276</v>
      </c>
      <c r="F1356" s="1">
        <v>42310</v>
      </c>
      <c r="G1356" t="s">
        <v>436</v>
      </c>
      <c r="H1356" s="81">
        <v>764</v>
      </c>
      <c r="I1356" t="s">
        <v>47</v>
      </c>
      <c r="J1356" s="3">
        <v>7369.51</v>
      </c>
    </row>
    <row r="1357" spans="1:10" x14ac:dyDescent="0.25">
      <c r="A1357" t="s">
        <v>435</v>
      </c>
      <c r="B1357" t="s">
        <v>59</v>
      </c>
      <c r="C1357" s="82">
        <v>301882759</v>
      </c>
      <c r="D1357">
        <v>201511</v>
      </c>
      <c r="E1357" s="1">
        <v>42311</v>
      </c>
      <c r="F1357" s="1">
        <v>42341</v>
      </c>
      <c r="G1357" t="s">
        <v>436</v>
      </c>
      <c r="H1357" s="81">
        <v>524</v>
      </c>
      <c r="I1357" t="s">
        <v>47</v>
      </c>
      <c r="J1357" s="3">
        <v>5030.16</v>
      </c>
    </row>
    <row r="1358" spans="1:10" x14ac:dyDescent="0.25">
      <c r="A1358" t="s">
        <v>435</v>
      </c>
      <c r="B1358" t="s">
        <v>59</v>
      </c>
      <c r="C1358" s="82">
        <v>301882759</v>
      </c>
      <c r="D1358">
        <v>201512</v>
      </c>
      <c r="E1358" s="1">
        <v>42342</v>
      </c>
      <c r="F1358" s="1">
        <v>42369</v>
      </c>
      <c r="G1358" t="s">
        <v>436</v>
      </c>
      <c r="H1358" s="81">
        <v>383</v>
      </c>
      <c r="I1358" t="s">
        <v>47</v>
      </c>
      <c r="J1358" s="3">
        <v>3732.96</v>
      </c>
    </row>
    <row r="1359" spans="1:10" x14ac:dyDescent="0.25">
      <c r="A1359" t="s">
        <v>435</v>
      </c>
      <c r="B1359" t="s">
        <v>59</v>
      </c>
      <c r="C1359" s="82">
        <v>301882759</v>
      </c>
      <c r="D1359">
        <v>201601</v>
      </c>
      <c r="E1359" s="1">
        <v>42370</v>
      </c>
      <c r="F1359" s="1">
        <v>42402</v>
      </c>
      <c r="G1359" t="s">
        <v>436</v>
      </c>
      <c r="H1359" s="81">
        <v>356</v>
      </c>
      <c r="I1359" t="s">
        <v>47</v>
      </c>
      <c r="J1359" s="3">
        <v>3484.56</v>
      </c>
    </row>
    <row r="1360" spans="1:10" x14ac:dyDescent="0.25">
      <c r="A1360" t="s">
        <v>435</v>
      </c>
      <c r="B1360" t="s">
        <v>59</v>
      </c>
      <c r="C1360" s="82">
        <v>301882759</v>
      </c>
      <c r="D1360">
        <v>201602</v>
      </c>
      <c r="E1360" s="1">
        <v>42403</v>
      </c>
      <c r="F1360" s="1">
        <v>42433</v>
      </c>
      <c r="G1360" t="s">
        <v>436</v>
      </c>
      <c r="H1360" s="81">
        <v>664</v>
      </c>
      <c r="I1360" t="s">
        <v>47</v>
      </c>
      <c r="J1360" s="3">
        <v>6318.16</v>
      </c>
    </row>
    <row r="1361" spans="1:10" x14ac:dyDescent="0.25">
      <c r="A1361" t="s">
        <v>435</v>
      </c>
      <c r="B1361" t="s">
        <v>59</v>
      </c>
      <c r="C1361" s="82">
        <v>301882759</v>
      </c>
      <c r="D1361">
        <v>201603</v>
      </c>
      <c r="E1361" s="1">
        <v>42434</v>
      </c>
      <c r="F1361" s="1">
        <v>42461</v>
      </c>
      <c r="G1361" t="s">
        <v>436</v>
      </c>
      <c r="H1361" s="81">
        <v>431</v>
      </c>
      <c r="I1361" t="s">
        <v>47</v>
      </c>
      <c r="J1361" s="3">
        <v>4232.74</v>
      </c>
    </row>
    <row r="1362" spans="1:10" x14ac:dyDescent="0.25">
      <c r="A1362" t="s">
        <v>435</v>
      </c>
      <c r="B1362" t="s">
        <v>59</v>
      </c>
      <c r="C1362" s="82">
        <v>301882759</v>
      </c>
      <c r="D1362">
        <v>201604</v>
      </c>
      <c r="E1362" s="1">
        <v>42462</v>
      </c>
      <c r="F1362" s="1">
        <v>42493</v>
      </c>
      <c r="G1362" t="s">
        <v>436</v>
      </c>
      <c r="H1362" s="81">
        <v>661</v>
      </c>
      <c r="I1362" t="s">
        <v>47</v>
      </c>
      <c r="J1362" s="3">
        <v>6378.64</v>
      </c>
    </row>
    <row r="1363" spans="1:10" x14ac:dyDescent="0.25">
      <c r="A1363" t="s">
        <v>435</v>
      </c>
      <c r="B1363" t="s">
        <v>59</v>
      </c>
      <c r="C1363" s="82">
        <v>301882759</v>
      </c>
      <c r="D1363">
        <v>201605</v>
      </c>
      <c r="E1363" s="1">
        <v>42494</v>
      </c>
      <c r="F1363" s="1">
        <v>42521</v>
      </c>
      <c r="G1363" t="s">
        <v>436</v>
      </c>
      <c r="H1363" s="81">
        <v>298</v>
      </c>
      <c r="I1363" t="s">
        <v>47</v>
      </c>
      <c r="J1363" s="3">
        <v>2991.85</v>
      </c>
    </row>
    <row r="1364" spans="1:10" x14ac:dyDescent="0.25">
      <c r="A1364" t="s">
        <v>435</v>
      </c>
      <c r="B1364" t="s">
        <v>59</v>
      </c>
      <c r="C1364" s="82">
        <v>301882759</v>
      </c>
      <c r="D1364">
        <v>201606</v>
      </c>
      <c r="E1364" s="1">
        <v>42522</v>
      </c>
      <c r="F1364" s="1">
        <v>42550</v>
      </c>
      <c r="G1364" t="s">
        <v>436</v>
      </c>
      <c r="H1364" s="81">
        <v>405</v>
      </c>
      <c r="I1364" t="s">
        <v>47</v>
      </c>
      <c r="J1364" s="3">
        <v>3990.16</v>
      </c>
    </row>
    <row r="1365" spans="1:10" x14ac:dyDescent="0.25">
      <c r="A1365" t="s">
        <v>331</v>
      </c>
      <c r="B1365" t="s">
        <v>59</v>
      </c>
      <c r="C1365" s="82">
        <v>301881462</v>
      </c>
      <c r="D1365">
        <v>201507</v>
      </c>
      <c r="E1365" s="1">
        <v>42186</v>
      </c>
      <c r="F1365" s="1">
        <v>42214</v>
      </c>
      <c r="G1365" t="s">
        <v>431</v>
      </c>
      <c r="H1365" s="81">
        <v>46</v>
      </c>
      <c r="I1365" t="s">
        <v>47</v>
      </c>
      <c r="J1365" s="3">
        <v>595.44000000000005</v>
      </c>
    </row>
    <row r="1366" spans="1:10" x14ac:dyDescent="0.25">
      <c r="A1366" t="s">
        <v>331</v>
      </c>
      <c r="B1366" t="s">
        <v>59</v>
      </c>
      <c r="C1366" s="82">
        <v>301881462</v>
      </c>
      <c r="D1366">
        <v>201508</v>
      </c>
      <c r="E1366" s="1">
        <v>42215</v>
      </c>
      <c r="F1366" s="1">
        <v>42243</v>
      </c>
      <c r="G1366" t="s">
        <v>431</v>
      </c>
      <c r="H1366" s="81">
        <v>54</v>
      </c>
      <c r="I1366" t="s">
        <v>47</v>
      </c>
      <c r="J1366" s="3">
        <v>706.16</v>
      </c>
    </row>
    <row r="1367" spans="1:10" x14ac:dyDescent="0.25">
      <c r="A1367" t="s">
        <v>331</v>
      </c>
      <c r="B1367" t="s">
        <v>59</v>
      </c>
      <c r="C1367" s="82">
        <v>301881462</v>
      </c>
      <c r="D1367">
        <v>201509</v>
      </c>
      <c r="E1367" s="1">
        <v>42244</v>
      </c>
      <c r="F1367" s="1">
        <v>42275</v>
      </c>
      <c r="G1367" t="s">
        <v>431</v>
      </c>
      <c r="H1367" s="81">
        <v>254</v>
      </c>
      <c r="I1367" t="s">
        <v>47</v>
      </c>
      <c r="J1367" s="3">
        <v>2546.16</v>
      </c>
    </row>
    <row r="1368" spans="1:10" x14ac:dyDescent="0.25">
      <c r="A1368" t="s">
        <v>331</v>
      </c>
      <c r="B1368" t="s">
        <v>59</v>
      </c>
      <c r="C1368" s="82">
        <v>301881462</v>
      </c>
      <c r="D1368">
        <v>201510</v>
      </c>
      <c r="E1368" s="1">
        <v>42276</v>
      </c>
      <c r="F1368" s="1">
        <v>42310</v>
      </c>
      <c r="G1368" t="s">
        <v>431</v>
      </c>
      <c r="H1368" s="81">
        <v>242</v>
      </c>
      <c r="I1368" t="s">
        <v>47</v>
      </c>
      <c r="J1368" s="3">
        <v>2435.7600000000002</v>
      </c>
    </row>
    <row r="1369" spans="1:10" x14ac:dyDescent="0.25">
      <c r="A1369" t="s">
        <v>331</v>
      </c>
      <c r="B1369" t="s">
        <v>59</v>
      </c>
      <c r="C1369" s="82">
        <v>301881462</v>
      </c>
      <c r="D1369">
        <v>201511</v>
      </c>
      <c r="E1369" s="1">
        <v>42311</v>
      </c>
      <c r="F1369" s="1">
        <v>42341</v>
      </c>
      <c r="G1369" t="s">
        <v>431</v>
      </c>
      <c r="H1369" s="81">
        <v>170</v>
      </c>
      <c r="I1369" t="s">
        <v>47</v>
      </c>
      <c r="J1369" s="3">
        <v>1773.36</v>
      </c>
    </row>
    <row r="1370" spans="1:10" x14ac:dyDescent="0.25">
      <c r="A1370" t="s">
        <v>331</v>
      </c>
      <c r="B1370" t="s">
        <v>59</v>
      </c>
      <c r="C1370" s="82">
        <v>301881462</v>
      </c>
      <c r="D1370">
        <v>201512</v>
      </c>
      <c r="E1370" s="1">
        <v>42342</v>
      </c>
      <c r="F1370" s="1">
        <v>42369</v>
      </c>
      <c r="G1370" t="s">
        <v>431</v>
      </c>
      <c r="H1370" s="81">
        <v>120</v>
      </c>
      <c r="I1370" t="s">
        <v>47</v>
      </c>
      <c r="J1370" s="3">
        <v>1313.36</v>
      </c>
    </row>
    <row r="1371" spans="1:10" x14ac:dyDescent="0.25">
      <c r="A1371" t="s">
        <v>331</v>
      </c>
      <c r="B1371" t="s">
        <v>59</v>
      </c>
      <c r="C1371" s="82">
        <v>301881462</v>
      </c>
      <c r="D1371">
        <v>201601</v>
      </c>
      <c r="E1371" s="1">
        <v>42370</v>
      </c>
      <c r="F1371" s="1">
        <v>42402</v>
      </c>
      <c r="G1371" t="s">
        <v>431</v>
      </c>
      <c r="H1371" s="81">
        <v>109</v>
      </c>
      <c r="I1371" t="s">
        <v>47</v>
      </c>
      <c r="J1371" s="3">
        <v>1212.1600000000001</v>
      </c>
    </row>
    <row r="1372" spans="1:10" x14ac:dyDescent="0.25">
      <c r="A1372" t="s">
        <v>331</v>
      </c>
      <c r="B1372" t="s">
        <v>59</v>
      </c>
      <c r="C1372" s="82">
        <v>301881462</v>
      </c>
      <c r="D1372">
        <v>201602</v>
      </c>
      <c r="E1372" s="1">
        <v>42403</v>
      </c>
      <c r="F1372" s="1">
        <v>42433</v>
      </c>
      <c r="G1372" t="s">
        <v>431</v>
      </c>
      <c r="H1372" s="81">
        <v>208</v>
      </c>
      <c r="I1372" t="s">
        <v>47</v>
      </c>
      <c r="J1372" s="3">
        <v>2122.96</v>
      </c>
    </row>
    <row r="1373" spans="1:10" x14ac:dyDescent="0.25">
      <c r="A1373" t="s">
        <v>331</v>
      </c>
      <c r="B1373" t="s">
        <v>59</v>
      </c>
      <c r="C1373" s="82">
        <v>301881462</v>
      </c>
      <c r="D1373">
        <v>201603</v>
      </c>
      <c r="E1373" s="1">
        <v>42434</v>
      </c>
      <c r="F1373" s="1">
        <v>42461</v>
      </c>
      <c r="G1373" t="s">
        <v>431</v>
      </c>
      <c r="H1373" s="81">
        <v>153</v>
      </c>
      <c r="I1373" t="s">
        <v>47</v>
      </c>
      <c r="J1373" s="3">
        <v>1639</v>
      </c>
    </row>
    <row r="1374" spans="1:10" x14ac:dyDescent="0.25">
      <c r="A1374" t="s">
        <v>331</v>
      </c>
      <c r="B1374" t="s">
        <v>59</v>
      </c>
      <c r="C1374" s="82">
        <v>301881462</v>
      </c>
      <c r="D1374">
        <v>201604</v>
      </c>
      <c r="E1374" s="1">
        <v>42462</v>
      </c>
      <c r="F1374" s="1">
        <v>42493</v>
      </c>
      <c r="G1374" t="s">
        <v>431</v>
      </c>
      <c r="H1374" s="81">
        <v>214</v>
      </c>
      <c r="I1374" t="s">
        <v>47</v>
      </c>
      <c r="J1374" s="3">
        <v>2208.13</v>
      </c>
    </row>
    <row r="1375" spans="1:10" x14ac:dyDescent="0.25">
      <c r="A1375" t="s">
        <v>331</v>
      </c>
      <c r="B1375" t="s">
        <v>59</v>
      </c>
      <c r="C1375" s="82">
        <v>301881462</v>
      </c>
      <c r="D1375">
        <v>201605</v>
      </c>
      <c r="E1375" s="1">
        <v>42494</v>
      </c>
      <c r="F1375" s="1">
        <v>42521</v>
      </c>
      <c r="G1375" t="s">
        <v>431</v>
      </c>
      <c r="H1375" s="81">
        <v>70</v>
      </c>
      <c r="I1375" t="s">
        <v>47</v>
      </c>
      <c r="J1375" s="3">
        <v>864.61</v>
      </c>
    </row>
    <row r="1376" spans="1:10" x14ac:dyDescent="0.25">
      <c r="A1376" t="s">
        <v>331</v>
      </c>
      <c r="B1376" t="s">
        <v>59</v>
      </c>
      <c r="C1376" s="82">
        <v>301881462</v>
      </c>
      <c r="D1376">
        <v>201606</v>
      </c>
      <c r="E1376" s="1">
        <v>42522</v>
      </c>
      <c r="F1376" s="1">
        <v>42550</v>
      </c>
      <c r="G1376" t="s">
        <v>431</v>
      </c>
      <c r="H1376" s="81">
        <v>33</v>
      </c>
      <c r="I1376" t="s">
        <v>47</v>
      </c>
      <c r="J1376" s="3">
        <v>519.4</v>
      </c>
    </row>
    <row r="1377" spans="1:10" x14ac:dyDescent="0.25">
      <c r="A1377" t="s">
        <v>335</v>
      </c>
      <c r="B1377" t="s">
        <v>59</v>
      </c>
      <c r="C1377" s="82" t="s">
        <v>461</v>
      </c>
      <c r="D1377">
        <v>201507</v>
      </c>
      <c r="E1377" s="1">
        <v>42186</v>
      </c>
      <c r="F1377" s="1">
        <v>42214</v>
      </c>
      <c r="G1377" t="s">
        <v>461</v>
      </c>
      <c r="H1377" s="81">
        <v>80</v>
      </c>
      <c r="I1377" t="s">
        <v>47</v>
      </c>
      <c r="J1377" s="3">
        <v>731</v>
      </c>
    </row>
    <row r="1378" spans="1:10" x14ac:dyDescent="0.25">
      <c r="A1378" t="s">
        <v>335</v>
      </c>
      <c r="B1378" t="s">
        <v>59</v>
      </c>
      <c r="C1378" s="82" t="s">
        <v>461</v>
      </c>
      <c r="D1378">
        <v>201508</v>
      </c>
      <c r="E1378" s="1">
        <v>42215</v>
      </c>
      <c r="F1378" s="1">
        <v>42243</v>
      </c>
      <c r="G1378" t="s">
        <v>461</v>
      </c>
      <c r="H1378" s="81">
        <v>27</v>
      </c>
      <c r="I1378" t="s">
        <v>47</v>
      </c>
      <c r="J1378" s="3">
        <v>251.13</v>
      </c>
    </row>
    <row r="1379" spans="1:10" x14ac:dyDescent="0.25">
      <c r="A1379" t="s">
        <v>335</v>
      </c>
      <c r="B1379" t="s">
        <v>59</v>
      </c>
      <c r="C1379" s="82" t="s">
        <v>461</v>
      </c>
      <c r="D1379">
        <v>201509</v>
      </c>
      <c r="E1379" s="1">
        <v>42244</v>
      </c>
      <c r="F1379" s="1">
        <v>42275</v>
      </c>
      <c r="G1379" t="s">
        <v>461</v>
      </c>
      <c r="H1379" s="81">
        <v>86</v>
      </c>
      <c r="I1379" t="s">
        <v>47</v>
      </c>
      <c r="J1379" s="3">
        <v>792.11</v>
      </c>
    </row>
    <row r="1380" spans="1:10" x14ac:dyDescent="0.25">
      <c r="A1380" t="s">
        <v>335</v>
      </c>
      <c r="B1380" t="s">
        <v>59</v>
      </c>
      <c r="C1380" s="82" t="s">
        <v>461</v>
      </c>
      <c r="D1380">
        <v>201511</v>
      </c>
      <c r="E1380" s="1">
        <v>42311</v>
      </c>
      <c r="F1380" s="1">
        <v>42341</v>
      </c>
      <c r="G1380" t="s">
        <v>461</v>
      </c>
      <c r="H1380" s="81">
        <v>71</v>
      </c>
      <c r="I1380" t="s">
        <v>47</v>
      </c>
      <c r="J1380" s="3">
        <v>654.67999999999995</v>
      </c>
    </row>
    <row r="1381" spans="1:10" x14ac:dyDescent="0.25">
      <c r="A1381" t="s">
        <v>335</v>
      </c>
      <c r="B1381" t="s">
        <v>59</v>
      </c>
      <c r="C1381" s="82" t="s">
        <v>461</v>
      </c>
      <c r="D1381">
        <v>201512</v>
      </c>
      <c r="E1381" s="1">
        <v>42341</v>
      </c>
      <c r="F1381" s="1">
        <v>42369</v>
      </c>
      <c r="G1381" t="s">
        <v>461</v>
      </c>
      <c r="H1381" s="81">
        <v>52</v>
      </c>
      <c r="I1381" t="s">
        <v>47</v>
      </c>
      <c r="J1381" s="3">
        <v>478.51</v>
      </c>
    </row>
    <row r="1382" spans="1:10" x14ac:dyDescent="0.25">
      <c r="A1382" t="s">
        <v>335</v>
      </c>
      <c r="B1382" t="s">
        <v>59</v>
      </c>
      <c r="C1382" s="82" t="s">
        <v>461</v>
      </c>
      <c r="D1382">
        <v>201601</v>
      </c>
      <c r="E1382" s="1">
        <v>42370</v>
      </c>
      <c r="F1382" s="1">
        <v>42402</v>
      </c>
      <c r="G1382" t="s">
        <v>461</v>
      </c>
      <c r="H1382" s="81">
        <v>48</v>
      </c>
      <c r="I1382" t="s">
        <v>47</v>
      </c>
      <c r="J1382" s="3">
        <v>444.78</v>
      </c>
    </row>
    <row r="1383" spans="1:10" x14ac:dyDescent="0.25">
      <c r="A1383" t="s">
        <v>335</v>
      </c>
      <c r="B1383" t="s">
        <v>59</v>
      </c>
      <c r="C1383" s="82" t="s">
        <v>461</v>
      </c>
      <c r="D1383">
        <v>201602</v>
      </c>
      <c r="E1383" s="1">
        <v>42403</v>
      </c>
      <c r="F1383" s="1">
        <v>42433</v>
      </c>
      <c r="G1383" t="s">
        <v>461</v>
      </c>
      <c r="H1383" s="81">
        <v>90</v>
      </c>
      <c r="I1383" t="s">
        <v>47</v>
      </c>
      <c r="J1383" s="3">
        <v>829.59</v>
      </c>
    </row>
    <row r="1384" spans="1:10" x14ac:dyDescent="0.25">
      <c r="A1384" t="s">
        <v>335</v>
      </c>
      <c r="B1384" t="s">
        <v>59</v>
      </c>
      <c r="C1384" s="82" t="s">
        <v>461</v>
      </c>
      <c r="D1384">
        <v>201603</v>
      </c>
      <c r="E1384" s="1">
        <v>42434</v>
      </c>
      <c r="F1384" s="1">
        <v>42461</v>
      </c>
      <c r="G1384" t="s">
        <v>461</v>
      </c>
      <c r="H1384" s="81">
        <v>59</v>
      </c>
      <c r="I1384" t="s">
        <v>47</v>
      </c>
      <c r="J1384" s="3">
        <v>546.09</v>
      </c>
    </row>
    <row r="1385" spans="1:10" x14ac:dyDescent="0.25">
      <c r="A1385" t="s">
        <v>335</v>
      </c>
      <c r="B1385" t="s">
        <v>59</v>
      </c>
      <c r="C1385" s="82" t="s">
        <v>461</v>
      </c>
      <c r="D1385">
        <v>201604</v>
      </c>
      <c r="E1385" s="1">
        <v>42462</v>
      </c>
      <c r="F1385" s="1">
        <v>42493</v>
      </c>
      <c r="G1385" t="s">
        <v>461</v>
      </c>
      <c r="H1385" s="81">
        <v>90</v>
      </c>
      <c r="I1385" t="s">
        <v>47</v>
      </c>
      <c r="J1385" s="3">
        <v>837.51</v>
      </c>
    </row>
    <row r="1386" spans="1:10" x14ac:dyDescent="0.25">
      <c r="A1386" t="s">
        <v>335</v>
      </c>
      <c r="B1386" t="s">
        <v>59</v>
      </c>
      <c r="C1386" s="82" t="s">
        <v>461</v>
      </c>
      <c r="D1386">
        <v>201605</v>
      </c>
      <c r="E1386" s="1">
        <v>42494</v>
      </c>
      <c r="F1386" s="1">
        <v>42521</v>
      </c>
      <c r="G1386" t="s">
        <v>461</v>
      </c>
      <c r="H1386" s="81">
        <v>40</v>
      </c>
      <c r="I1386" t="s">
        <v>47</v>
      </c>
      <c r="J1386" s="3">
        <v>377.58</v>
      </c>
    </row>
    <row r="1387" spans="1:10" x14ac:dyDescent="0.25">
      <c r="A1387" t="s">
        <v>335</v>
      </c>
      <c r="B1387" t="s">
        <v>59</v>
      </c>
      <c r="C1387" s="82" t="s">
        <v>461</v>
      </c>
      <c r="D1387">
        <v>201606</v>
      </c>
      <c r="E1387" s="1">
        <v>42522</v>
      </c>
      <c r="F1387" s="1">
        <v>42550</v>
      </c>
      <c r="G1387" t="s">
        <v>461</v>
      </c>
      <c r="H1387" s="81">
        <v>55</v>
      </c>
      <c r="I1387" t="s">
        <v>47</v>
      </c>
      <c r="J1387" s="3">
        <v>513.15</v>
      </c>
    </row>
    <row r="1388" spans="1:10" x14ac:dyDescent="0.25">
      <c r="A1388" t="s">
        <v>333</v>
      </c>
      <c r="B1388" t="s">
        <v>59</v>
      </c>
      <c r="C1388" s="82">
        <v>301881512</v>
      </c>
      <c r="D1388">
        <v>201507</v>
      </c>
      <c r="E1388" s="1">
        <v>42186</v>
      </c>
      <c r="F1388" s="1">
        <v>42214</v>
      </c>
      <c r="G1388" t="s">
        <v>432</v>
      </c>
      <c r="H1388" s="81">
        <v>190</v>
      </c>
      <c r="I1388" t="s">
        <v>47</v>
      </c>
      <c r="J1388" s="3">
        <v>1915.92</v>
      </c>
    </row>
    <row r="1389" spans="1:10" x14ac:dyDescent="0.25">
      <c r="A1389" t="s">
        <v>333</v>
      </c>
      <c r="B1389" t="s">
        <v>59</v>
      </c>
      <c r="C1389" s="82">
        <v>301881512</v>
      </c>
      <c r="D1389">
        <v>201508</v>
      </c>
      <c r="E1389" s="1">
        <v>42215</v>
      </c>
      <c r="F1389" s="1">
        <v>42243</v>
      </c>
      <c r="G1389" t="s">
        <v>432</v>
      </c>
      <c r="H1389" s="81">
        <v>84</v>
      </c>
      <c r="I1389" t="s">
        <v>47</v>
      </c>
      <c r="J1389" s="3">
        <v>982.16</v>
      </c>
    </row>
    <row r="1390" spans="1:10" x14ac:dyDescent="0.25">
      <c r="A1390" t="s">
        <v>333</v>
      </c>
      <c r="B1390" t="s">
        <v>59</v>
      </c>
      <c r="C1390" s="82">
        <v>301881512</v>
      </c>
      <c r="D1390">
        <v>201509</v>
      </c>
      <c r="E1390" s="1">
        <v>42244</v>
      </c>
      <c r="F1390" s="1">
        <v>42275</v>
      </c>
      <c r="G1390" t="s">
        <v>432</v>
      </c>
      <c r="H1390" s="81">
        <v>222</v>
      </c>
      <c r="I1390" t="s">
        <v>47</v>
      </c>
      <c r="J1390" s="3">
        <v>2251.7600000000002</v>
      </c>
    </row>
    <row r="1391" spans="1:10" x14ac:dyDescent="0.25">
      <c r="A1391" t="s">
        <v>333</v>
      </c>
      <c r="B1391" t="s">
        <v>59</v>
      </c>
      <c r="C1391" s="82">
        <v>301881512</v>
      </c>
      <c r="D1391">
        <v>201510</v>
      </c>
      <c r="E1391" s="1">
        <v>42276</v>
      </c>
      <c r="F1391" s="1">
        <v>42310</v>
      </c>
      <c r="G1391" t="s">
        <v>432</v>
      </c>
      <c r="H1391" s="81">
        <v>260</v>
      </c>
      <c r="I1391" t="s">
        <v>47</v>
      </c>
      <c r="J1391" s="3">
        <v>2601.36</v>
      </c>
    </row>
    <row r="1392" spans="1:10" x14ac:dyDescent="0.25">
      <c r="A1392" t="s">
        <v>333</v>
      </c>
      <c r="B1392" t="s">
        <v>59</v>
      </c>
      <c r="C1392" s="82">
        <v>301881512</v>
      </c>
      <c r="D1392">
        <v>201511</v>
      </c>
      <c r="E1392" s="1">
        <v>42311</v>
      </c>
      <c r="F1392" s="1">
        <v>42341</v>
      </c>
      <c r="G1392" t="s">
        <v>432</v>
      </c>
      <c r="H1392" s="81">
        <v>174</v>
      </c>
      <c r="I1392" t="s">
        <v>47</v>
      </c>
      <c r="J1392" s="3">
        <v>1810.16</v>
      </c>
    </row>
    <row r="1393" spans="1:10" x14ac:dyDescent="0.25">
      <c r="A1393" t="s">
        <v>333</v>
      </c>
      <c r="B1393" t="s">
        <v>59</v>
      </c>
      <c r="C1393" s="82">
        <v>301881512</v>
      </c>
      <c r="D1393">
        <v>201512</v>
      </c>
      <c r="E1393" s="1">
        <v>42342</v>
      </c>
      <c r="F1393" s="1">
        <v>42369</v>
      </c>
      <c r="G1393" t="s">
        <v>432</v>
      </c>
      <c r="H1393" s="81">
        <v>165</v>
      </c>
      <c r="I1393" t="s">
        <v>47</v>
      </c>
      <c r="J1393" s="3">
        <v>1727.36</v>
      </c>
    </row>
    <row r="1394" spans="1:10" x14ac:dyDescent="0.25">
      <c r="A1394" t="s">
        <v>333</v>
      </c>
      <c r="B1394" t="s">
        <v>59</v>
      </c>
      <c r="C1394" s="82">
        <v>301881512</v>
      </c>
      <c r="D1394">
        <v>201601</v>
      </c>
      <c r="E1394" s="1">
        <v>42370</v>
      </c>
      <c r="F1394" s="1">
        <v>42402</v>
      </c>
      <c r="G1394" t="s">
        <v>432</v>
      </c>
      <c r="H1394" s="81">
        <v>230</v>
      </c>
      <c r="I1394" t="s">
        <v>47</v>
      </c>
      <c r="J1394" s="3">
        <v>2325.36</v>
      </c>
    </row>
    <row r="1395" spans="1:10" x14ac:dyDescent="0.25">
      <c r="A1395" t="s">
        <v>333</v>
      </c>
      <c r="B1395" t="s">
        <v>59</v>
      </c>
      <c r="C1395" s="82">
        <v>301881512</v>
      </c>
      <c r="D1395">
        <v>201602</v>
      </c>
      <c r="E1395" s="1">
        <v>42403</v>
      </c>
      <c r="F1395" s="1">
        <v>42433</v>
      </c>
      <c r="G1395" t="s">
        <v>432</v>
      </c>
      <c r="H1395" s="81">
        <v>229</v>
      </c>
      <c r="I1395" t="s">
        <v>47</v>
      </c>
      <c r="J1395" s="3">
        <v>2316.16</v>
      </c>
    </row>
    <row r="1396" spans="1:10" x14ac:dyDescent="0.25">
      <c r="A1396" t="s">
        <v>333</v>
      </c>
      <c r="B1396" t="s">
        <v>59</v>
      </c>
      <c r="C1396" s="82">
        <v>301881512</v>
      </c>
      <c r="D1396">
        <v>201603</v>
      </c>
      <c r="E1396" s="1">
        <v>42434</v>
      </c>
      <c r="F1396" s="1">
        <v>42461</v>
      </c>
      <c r="G1396" t="s">
        <v>432</v>
      </c>
      <c r="H1396" s="81">
        <v>222</v>
      </c>
      <c r="I1396" t="s">
        <v>47</v>
      </c>
      <c r="J1396" s="3">
        <v>2282.77</v>
      </c>
    </row>
    <row r="1397" spans="1:10" x14ac:dyDescent="0.25">
      <c r="A1397" t="s">
        <v>333</v>
      </c>
      <c r="B1397" t="s">
        <v>59</v>
      </c>
      <c r="C1397" s="82">
        <v>301881512</v>
      </c>
      <c r="D1397">
        <v>201604</v>
      </c>
      <c r="E1397" s="1">
        <v>42462</v>
      </c>
      <c r="F1397" s="1">
        <v>42493</v>
      </c>
      <c r="G1397" t="s">
        <v>432</v>
      </c>
      <c r="H1397" s="81">
        <v>296</v>
      </c>
      <c r="I1397" t="s">
        <v>47</v>
      </c>
      <c r="J1397" s="3">
        <v>2973.19</v>
      </c>
    </row>
    <row r="1398" spans="1:10" x14ac:dyDescent="0.25">
      <c r="A1398" t="s">
        <v>333</v>
      </c>
      <c r="B1398" t="s">
        <v>59</v>
      </c>
      <c r="C1398" s="82">
        <v>301881512</v>
      </c>
      <c r="D1398">
        <v>201605</v>
      </c>
      <c r="E1398" s="1">
        <v>42494</v>
      </c>
      <c r="F1398" s="1">
        <v>42521</v>
      </c>
      <c r="G1398" t="s">
        <v>432</v>
      </c>
      <c r="H1398" s="81">
        <v>131</v>
      </c>
      <c r="I1398" t="s">
        <v>47</v>
      </c>
      <c r="J1398" s="3">
        <v>1433.74</v>
      </c>
    </row>
    <row r="1399" spans="1:10" x14ac:dyDescent="0.25">
      <c r="A1399" t="s">
        <v>333</v>
      </c>
      <c r="B1399" t="s">
        <v>59</v>
      </c>
      <c r="C1399" s="82">
        <v>301881512</v>
      </c>
      <c r="D1399">
        <v>201606</v>
      </c>
      <c r="E1399" s="1">
        <v>42522</v>
      </c>
      <c r="F1399" s="1">
        <v>42550</v>
      </c>
      <c r="G1399" t="s">
        <v>432</v>
      </c>
      <c r="H1399" s="81">
        <v>14</v>
      </c>
      <c r="I1399" t="s">
        <v>47</v>
      </c>
      <c r="J1399" s="3">
        <v>342.13</v>
      </c>
    </row>
    <row r="1400" spans="1:10" x14ac:dyDescent="0.25">
      <c r="A1400" t="s">
        <v>374</v>
      </c>
      <c r="B1400" t="s">
        <v>59</v>
      </c>
      <c r="C1400" s="82">
        <v>306220328</v>
      </c>
      <c r="D1400">
        <v>201507</v>
      </c>
      <c r="E1400" s="1">
        <v>42186</v>
      </c>
      <c r="F1400" s="1">
        <v>42214</v>
      </c>
      <c r="G1400" t="s">
        <v>433</v>
      </c>
      <c r="H1400" s="81">
        <v>42</v>
      </c>
      <c r="I1400" t="s">
        <v>47</v>
      </c>
      <c r="J1400" s="3">
        <v>254.03</v>
      </c>
    </row>
    <row r="1401" spans="1:10" x14ac:dyDescent="0.25">
      <c r="A1401" t="s">
        <v>374</v>
      </c>
      <c r="B1401" t="s">
        <v>59</v>
      </c>
      <c r="C1401" s="82">
        <v>306220328</v>
      </c>
      <c r="D1401">
        <v>201508</v>
      </c>
      <c r="E1401" s="1">
        <v>42215</v>
      </c>
      <c r="F1401" s="1">
        <v>42243</v>
      </c>
      <c r="G1401" t="s">
        <v>433</v>
      </c>
      <c r="H1401" s="81">
        <v>106</v>
      </c>
      <c r="I1401" t="s">
        <v>47</v>
      </c>
      <c r="J1401" s="3">
        <v>412.23</v>
      </c>
    </row>
    <row r="1402" spans="1:10" x14ac:dyDescent="0.25">
      <c r="A1402" t="s">
        <v>374</v>
      </c>
      <c r="B1402" t="s">
        <v>59</v>
      </c>
      <c r="C1402" s="82">
        <v>306220328</v>
      </c>
      <c r="D1402">
        <v>201509</v>
      </c>
      <c r="E1402" s="1">
        <v>42244</v>
      </c>
      <c r="F1402" s="1">
        <v>42275</v>
      </c>
      <c r="G1402" t="s">
        <v>433</v>
      </c>
      <c r="H1402" s="81">
        <v>190</v>
      </c>
      <c r="I1402" t="s">
        <v>47</v>
      </c>
      <c r="J1402" s="3">
        <v>1158.43</v>
      </c>
    </row>
    <row r="1403" spans="1:10" x14ac:dyDescent="0.25">
      <c r="A1403" t="s">
        <v>374</v>
      </c>
      <c r="B1403" t="s">
        <v>59</v>
      </c>
      <c r="C1403" s="82">
        <v>306220328</v>
      </c>
      <c r="D1403">
        <v>201510</v>
      </c>
      <c r="E1403" s="1">
        <v>42276</v>
      </c>
      <c r="F1403" s="1">
        <v>42310</v>
      </c>
      <c r="G1403" t="s">
        <v>433</v>
      </c>
      <c r="H1403" s="81">
        <v>69</v>
      </c>
      <c r="I1403" t="s">
        <v>47</v>
      </c>
      <c r="J1403" s="3">
        <v>477.48</v>
      </c>
    </row>
    <row r="1404" spans="1:10" x14ac:dyDescent="0.25">
      <c r="A1404" t="s">
        <v>374</v>
      </c>
      <c r="B1404" t="s">
        <v>59</v>
      </c>
      <c r="C1404" s="82">
        <v>306220328</v>
      </c>
      <c r="D1404">
        <v>201511</v>
      </c>
      <c r="E1404" s="1">
        <v>42311</v>
      </c>
      <c r="F1404" s="1">
        <v>42341</v>
      </c>
      <c r="G1404" t="s">
        <v>433</v>
      </c>
      <c r="H1404" s="81">
        <v>152</v>
      </c>
      <c r="I1404" t="s">
        <v>47</v>
      </c>
      <c r="J1404" s="3">
        <v>1533.68</v>
      </c>
    </row>
    <row r="1405" spans="1:10" x14ac:dyDescent="0.25">
      <c r="A1405" t="s">
        <v>374</v>
      </c>
      <c r="B1405" t="s">
        <v>59</v>
      </c>
      <c r="C1405" s="82">
        <v>306220328</v>
      </c>
      <c r="D1405">
        <v>201512</v>
      </c>
      <c r="E1405" s="1">
        <v>42342</v>
      </c>
      <c r="F1405" s="1">
        <v>42369</v>
      </c>
      <c r="G1405" t="s">
        <v>433</v>
      </c>
      <c r="H1405" s="81">
        <v>125</v>
      </c>
      <c r="I1405" t="s">
        <v>47</v>
      </c>
      <c r="J1405" s="3">
        <v>1285.28</v>
      </c>
    </row>
    <row r="1406" spans="1:10" x14ac:dyDescent="0.25">
      <c r="A1406" t="s">
        <v>374</v>
      </c>
      <c r="B1406" t="s">
        <v>59</v>
      </c>
      <c r="C1406" s="82">
        <v>306220328</v>
      </c>
      <c r="D1406">
        <v>201601</v>
      </c>
      <c r="E1406" s="1">
        <v>42370</v>
      </c>
      <c r="F1406" s="1">
        <v>42402</v>
      </c>
      <c r="G1406" t="s">
        <v>433</v>
      </c>
      <c r="H1406" s="81">
        <v>118</v>
      </c>
      <c r="I1406" t="s">
        <v>47</v>
      </c>
      <c r="J1406" s="3">
        <v>1220.8800000000001</v>
      </c>
    </row>
    <row r="1407" spans="1:10" x14ac:dyDescent="0.25">
      <c r="A1407" t="s">
        <v>374</v>
      </c>
      <c r="B1407" t="s">
        <v>59</v>
      </c>
      <c r="C1407" s="82">
        <v>306220328</v>
      </c>
      <c r="D1407">
        <v>201602</v>
      </c>
      <c r="E1407" s="1">
        <v>42403</v>
      </c>
      <c r="F1407" s="1">
        <v>42433</v>
      </c>
      <c r="G1407" t="s">
        <v>433</v>
      </c>
      <c r="H1407" s="81">
        <v>163</v>
      </c>
      <c r="I1407" t="s">
        <v>47</v>
      </c>
      <c r="J1407" s="3">
        <v>1634.88</v>
      </c>
    </row>
    <row r="1408" spans="1:10" x14ac:dyDescent="0.25">
      <c r="A1408" t="s">
        <v>374</v>
      </c>
      <c r="B1408" t="s">
        <v>59</v>
      </c>
      <c r="C1408" s="82">
        <v>306220328</v>
      </c>
      <c r="D1408">
        <v>201603</v>
      </c>
      <c r="E1408" s="1">
        <v>42434</v>
      </c>
      <c r="F1408" s="1">
        <v>42461</v>
      </c>
      <c r="G1408" t="s">
        <v>433</v>
      </c>
      <c r="H1408" s="81">
        <v>124</v>
      </c>
      <c r="I1408" t="s">
        <v>47</v>
      </c>
      <c r="J1408" s="3">
        <v>1294.24</v>
      </c>
    </row>
    <row r="1409" spans="1:10" x14ac:dyDescent="0.25">
      <c r="A1409" t="s">
        <v>374</v>
      </c>
      <c r="B1409" t="s">
        <v>59</v>
      </c>
      <c r="C1409" s="82">
        <v>306220328</v>
      </c>
      <c r="D1409">
        <v>201604</v>
      </c>
      <c r="E1409" s="1">
        <v>42462</v>
      </c>
      <c r="F1409" s="1">
        <v>42493</v>
      </c>
      <c r="G1409" t="s">
        <v>433</v>
      </c>
      <c r="H1409" s="81">
        <v>173</v>
      </c>
      <c r="I1409" t="s">
        <v>47</v>
      </c>
      <c r="J1409" s="3">
        <v>1751.41</v>
      </c>
    </row>
    <row r="1410" spans="1:10" x14ac:dyDescent="0.25">
      <c r="A1410" t="s">
        <v>374</v>
      </c>
      <c r="B1410" t="s">
        <v>59</v>
      </c>
      <c r="C1410" s="82">
        <v>306220328</v>
      </c>
      <c r="D1410">
        <v>201605</v>
      </c>
      <c r="E1410" s="1">
        <v>42494</v>
      </c>
      <c r="F1410" s="1">
        <v>42521</v>
      </c>
      <c r="G1410" t="s">
        <v>433</v>
      </c>
      <c r="H1410" s="81">
        <v>113</v>
      </c>
      <c r="I1410" t="s">
        <v>47</v>
      </c>
      <c r="J1410" s="3">
        <v>1191.6099999999999</v>
      </c>
    </row>
    <row r="1411" spans="1:10" x14ac:dyDescent="0.25">
      <c r="A1411" t="s">
        <v>374</v>
      </c>
      <c r="B1411" t="s">
        <v>59</v>
      </c>
      <c r="C1411" s="82">
        <v>306220328</v>
      </c>
      <c r="D1411">
        <v>201606</v>
      </c>
      <c r="E1411" s="1">
        <v>42522</v>
      </c>
      <c r="F1411" s="1">
        <v>42550</v>
      </c>
      <c r="G1411" t="s">
        <v>433</v>
      </c>
      <c r="H1411" s="81">
        <v>132</v>
      </c>
      <c r="I1411" t="s">
        <v>47</v>
      </c>
      <c r="J1411" s="3">
        <v>1189.33</v>
      </c>
    </row>
    <row r="1412" spans="1:10" x14ac:dyDescent="0.25">
      <c r="A1412" t="s">
        <v>337</v>
      </c>
      <c r="B1412" t="s">
        <v>59</v>
      </c>
      <c r="C1412" s="82">
        <v>304581952</v>
      </c>
      <c r="D1412">
        <v>201507</v>
      </c>
      <c r="E1412" s="1">
        <v>42186</v>
      </c>
      <c r="F1412" s="1">
        <v>42214</v>
      </c>
      <c r="G1412" t="s">
        <v>434</v>
      </c>
      <c r="H1412" s="81">
        <v>112</v>
      </c>
      <c r="I1412" t="s">
        <v>47</v>
      </c>
      <c r="J1412" s="3">
        <v>663.82</v>
      </c>
    </row>
    <row r="1413" spans="1:10" x14ac:dyDescent="0.25">
      <c r="A1413" t="s">
        <v>337</v>
      </c>
      <c r="B1413" t="s">
        <v>59</v>
      </c>
      <c r="C1413" s="82">
        <v>304581952</v>
      </c>
      <c r="D1413">
        <v>201508</v>
      </c>
      <c r="E1413" s="1">
        <v>42215</v>
      </c>
      <c r="F1413" s="1">
        <v>42243</v>
      </c>
      <c r="G1413" t="s">
        <v>434</v>
      </c>
      <c r="H1413" s="81">
        <v>124</v>
      </c>
      <c r="I1413" t="s">
        <v>47</v>
      </c>
      <c r="J1413" s="3">
        <v>598.83000000000004</v>
      </c>
    </row>
    <row r="1414" spans="1:10" x14ac:dyDescent="0.25">
      <c r="A1414" t="s">
        <v>337</v>
      </c>
      <c r="B1414" t="s">
        <v>59</v>
      </c>
      <c r="C1414" s="82">
        <v>304581952</v>
      </c>
      <c r="D1414">
        <v>201509</v>
      </c>
      <c r="E1414" s="1">
        <v>42244</v>
      </c>
      <c r="F1414" s="1">
        <v>42275</v>
      </c>
      <c r="G1414" t="s">
        <v>434</v>
      </c>
      <c r="H1414" s="81">
        <v>651</v>
      </c>
      <c r="I1414" t="s">
        <v>47</v>
      </c>
      <c r="J1414" s="3">
        <v>5470.33</v>
      </c>
    </row>
    <row r="1415" spans="1:10" x14ac:dyDescent="0.25">
      <c r="A1415" t="s">
        <v>337</v>
      </c>
      <c r="B1415" t="s">
        <v>59</v>
      </c>
      <c r="C1415" s="82">
        <v>304581952</v>
      </c>
      <c r="D1415">
        <v>201510</v>
      </c>
      <c r="E1415" s="1">
        <v>42276</v>
      </c>
      <c r="F1415" s="1">
        <v>42310</v>
      </c>
      <c r="G1415" t="s">
        <v>434</v>
      </c>
      <c r="H1415" s="81">
        <v>700</v>
      </c>
      <c r="I1415" t="s">
        <v>47</v>
      </c>
      <c r="J1415" s="3">
        <v>6593.83</v>
      </c>
    </row>
    <row r="1416" spans="1:10" x14ac:dyDescent="0.25">
      <c r="A1416" t="s">
        <v>337</v>
      </c>
      <c r="B1416" t="s">
        <v>59</v>
      </c>
      <c r="C1416" s="82">
        <v>304581952</v>
      </c>
      <c r="D1416">
        <v>201511</v>
      </c>
      <c r="E1416" s="1">
        <v>42311</v>
      </c>
      <c r="F1416" s="1">
        <v>42341</v>
      </c>
      <c r="G1416" t="s">
        <v>434</v>
      </c>
      <c r="H1416" s="81">
        <v>451</v>
      </c>
      <c r="I1416" t="s">
        <v>47</v>
      </c>
      <c r="J1416" s="3">
        <v>4278.88</v>
      </c>
    </row>
    <row r="1417" spans="1:10" x14ac:dyDescent="0.25">
      <c r="A1417" t="s">
        <v>337</v>
      </c>
      <c r="B1417" t="s">
        <v>59</v>
      </c>
      <c r="C1417" s="82">
        <v>304581952</v>
      </c>
      <c r="D1417">
        <v>201512</v>
      </c>
      <c r="E1417" s="1">
        <v>42342</v>
      </c>
      <c r="F1417" s="1">
        <v>42369</v>
      </c>
      <c r="G1417" t="s">
        <v>434</v>
      </c>
      <c r="H1417" s="81">
        <v>371</v>
      </c>
      <c r="I1417" t="s">
        <v>47</v>
      </c>
      <c r="J1417" s="3">
        <v>3542.88</v>
      </c>
    </row>
    <row r="1418" spans="1:10" x14ac:dyDescent="0.25">
      <c r="A1418" t="s">
        <v>337</v>
      </c>
      <c r="B1418" t="s">
        <v>59</v>
      </c>
      <c r="C1418" s="82">
        <v>304581952</v>
      </c>
      <c r="D1418">
        <v>201601</v>
      </c>
      <c r="E1418" s="1">
        <v>42370</v>
      </c>
      <c r="F1418" s="1">
        <v>42402</v>
      </c>
      <c r="G1418" t="s">
        <v>434</v>
      </c>
      <c r="H1418" s="81">
        <v>322</v>
      </c>
      <c r="I1418" t="s">
        <v>47</v>
      </c>
      <c r="J1418" s="3">
        <v>3092.08</v>
      </c>
    </row>
    <row r="1419" spans="1:10" x14ac:dyDescent="0.25">
      <c r="A1419" t="s">
        <v>337</v>
      </c>
      <c r="B1419" t="s">
        <v>59</v>
      </c>
      <c r="C1419" s="82">
        <v>304581952</v>
      </c>
      <c r="D1419">
        <v>201602</v>
      </c>
      <c r="E1419" s="1">
        <v>42403</v>
      </c>
      <c r="F1419" s="1">
        <v>42433</v>
      </c>
      <c r="G1419" t="s">
        <v>434</v>
      </c>
      <c r="H1419" s="81">
        <v>647</v>
      </c>
      <c r="I1419" t="s">
        <v>47</v>
      </c>
      <c r="J1419" s="3">
        <v>6082.08</v>
      </c>
    </row>
    <row r="1420" spans="1:10" x14ac:dyDescent="0.25">
      <c r="A1420" t="s">
        <v>337</v>
      </c>
      <c r="B1420" t="s">
        <v>59</v>
      </c>
      <c r="C1420" s="82">
        <v>304581952</v>
      </c>
      <c r="D1420">
        <v>201603</v>
      </c>
      <c r="E1420" s="1">
        <v>42434</v>
      </c>
      <c r="F1420" s="1">
        <v>42461</v>
      </c>
      <c r="G1420" t="s">
        <v>434</v>
      </c>
      <c r="H1420" s="81">
        <v>400</v>
      </c>
      <c r="I1420" t="s">
        <v>47</v>
      </c>
      <c r="J1420" s="3">
        <v>3863</v>
      </c>
    </row>
    <row r="1421" spans="1:10" x14ac:dyDescent="0.25">
      <c r="A1421" t="s">
        <v>337</v>
      </c>
      <c r="B1421" t="s">
        <v>59</v>
      </c>
      <c r="C1421" s="82">
        <v>304581952</v>
      </c>
      <c r="D1421">
        <v>201604</v>
      </c>
      <c r="E1421" s="1">
        <v>42462</v>
      </c>
      <c r="F1421" s="1">
        <v>42493</v>
      </c>
      <c r="G1421" t="s">
        <v>434</v>
      </c>
      <c r="H1421" s="81">
        <v>591</v>
      </c>
      <c r="I1421" t="s">
        <v>47</v>
      </c>
      <c r="J1421" s="3">
        <v>5239.38</v>
      </c>
    </row>
    <row r="1422" spans="1:10" x14ac:dyDescent="0.25">
      <c r="A1422" t="s">
        <v>337</v>
      </c>
      <c r="B1422" t="s">
        <v>59</v>
      </c>
      <c r="C1422" s="82">
        <v>304581952</v>
      </c>
      <c r="D1422">
        <v>201605</v>
      </c>
      <c r="E1422" s="1">
        <v>42494</v>
      </c>
      <c r="F1422" s="1">
        <v>42530</v>
      </c>
      <c r="G1422" t="s">
        <v>434</v>
      </c>
      <c r="H1422" s="81">
        <v>176</v>
      </c>
      <c r="I1422" t="s">
        <v>47</v>
      </c>
      <c r="J1422" s="3">
        <v>1513.73</v>
      </c>
    </row>
    <row r="1423" spans="1:10" x14ac:dyDescent="0.25">
      <c r="A1423" t="s">
        <v>337</v>
      </c>
      <c r="B1423" t="s">
        <v>59</v>
      </c>
      <c r="C1423" s="82">
        <v>304581952</v>
      </c>
      <c r="D1423">
        <v>201606</v>
      </c>
      <c r="E1423" s="1">
        <v>42531</v>
      </c>
      <c r="F1423" s="1">
        <v>42550</v>
      </c>
      <c r="G1423" t="s">
        <v>434</v>
      </c>
      <c r="H1423" s="81">
        <v>70</v>
      </c>
      <c r="I1423" t="s">
        <v>47</v>
      </c>
      <c r="J1423" s="3">
        <v>484.85</v>
      </c>
    </row>
    <row r="1424" spans="1:10" x14ac:dyDescent="0.25">
      <c r="A1424" t="s">
        <v>340</v>
      </c>
      <c r="B1424" t="s">
        <v>59</v>
      </c>
      <c r="C1424" s="82" t="s">
        <v>462</v>
      </c>
      <c r="D1424">
        <v>201507</v>
      </c>
      <c r="E1424" s="1">
        <v>42186</v>
      </c>
      <c r="F1424" s="1">
        <v>42214</v>
      </c>
      <c r="G1424" t="s">
        <v>462</v>
      </c>
      <c r="H1424" s="81">
        <v>82</v>
      </c>
      <c r="I1424" t="s">
        <v>47</v>
      </c>
      <c r="J1424" s="3">
        <v>750.29</v>
      </c>
    </row>
    <row r="1425" spans="1:10" x14ac:dyDescent="0.25">
      <c r="A1425" t="s">
        <v>340</v>
      </c>
      <c r="B1425" t="s">
        <v>59</v>
      </c>
      <c r="C1425" s="82" t="s">
        <v>462</v>
      </c>
      <c r="D1425">
        <v>201508</v>
      </c>
      <c r="E1425" s="1">
        <v>42215</v>
      </c>
      <c r="F1425" s="1">
        <v>42243</v>
      </c>
      <c r="G1425" t="s">
        <v>462</v>
      </c>
      <c r="H1425" s="81">
        <v>28</v>
      </c>
      <c r="I1425" t="s">
        <v>47</v>
      </c>
      <c r="J1425" s="3">
        <v>257.75</v>
      </c>
    </row>
    <row r="1426" spans="1:10" x14ac:dyDescent="0.25">
      <c r="A1426" t="s">
        <v>340</v>
      </c>
      <c r="B1426" t="s">
        <v>59</v>
      </c>
      <c r="C1426" s="82" t="s">
        <v>462</v>
      </c>
      <c r="D1426">
        <v>201509</v>
      </c>
      <c r="E1426" s="1">
        <v>42244</v>
      </c>
      <c r="F1426" s="1">
        <v>42275</v>
      </c>
      <c r="G1426" t="s">
        <v>462</v>
      </c>
      <c r="H1426" s="81">
        <v>88</v>
      </c>
      <c r="I1426" t="s">
        <v>47</v>
      </c>
      <c r="J1426" s="3">
        <v>813.02</v>
      </c>
    </row>
    <row r="1427" spans="1:10" x14ac:dyDescent="0.25">
      <c r="A1427" t="s">
        <v>340</v>
      </c>
      <c r="B1427" t="s">
        <v>59</v>
      </c>
      <c r="C1427" s="82" t="s">
        <v>462</v>
      </c>
      <c r="D1427">
        <v>201511</v>
      </c>
      <c r="E1427" s="1">
        <v>42311</v>
      </c>
      <c r="F1427" s="1">
        <v>42341</v>
      </c>
      <c r="G1427" t="s">
        <v>462</v>
      </c>
      <c r="H1427" s="81">
        <v>73</v>
      </c>
      <c r="I1427" t="s">
        <v>47</v>
      </c>
      <c r="J1427" s="3">
        <v>671.96</v>
      </c>
    </row>
    <row r="1428" spans="1:10" x14ac:dyDescent="0.25">
      <c r="A1428" t="s">
        <v>340</v>
      </c>
      <c r="B1428" t="s">
        <v>59</v>
      </c>
      <c r="C1428" s="82" t="s">
        <v>462</v>
      </c>
      <c r="D1428">
        <v>201512</v>
      </c>
      <c r="E1428" s="1">
        <v>42341</v>
      </c>
      <c r="F1428" s="1">
        <v>42369</v>
      </c>
      <c r="G1428" t="s">
        <v>462</v>
      </c>
      <c r="H1428" s="81">
        <v>53</v>
      </c>
      <c r="I1428" t="s">
        <v>47</v>
      </c>
      <c r="J1428" s="3">
        <v>491.14</v>
      </c>
    </row>
    <row r="1429" spans="1:10" x14ac:dyDescent="0.25">
      <c r="A1429" t="s">
        <v>340</v>
      </c>
      <c r="B1429" t="s">
        <v>59</v>
      </c>
      <c r="C1429" s="82" t="s">
        <v>462</v>
      </c>
      <c r="D1429">
        <v>201601</v>
      </c>
      <c r="E1429" s="1">
        <v>42370</v>
      </c>
      <c r="F1429" s="1">
        <v>42402</v>
      </c>
      <c r="G1429" t="s">
        <v>462</v>
      </c>
      <c r="H1429" s="81">
        <v>50</v>
      </c>
      <c r="I1429" t="s">
        <v>47</v>
      </c>
      <c r="J1429" s="3">
        <v>456.52</v>
      </c>
    </row>
    <row r="1430" spans="1:10" x14ac:dyDescent="0.25">
      <c r="A1430" t="s">
        <v>340</v>
      </c>
      <c r="B1430" t="s">
        <v>59</v>
      </c>
      <c r="C1430" s="82" t="s">
        <v>462</v>
      </c>
      <c r="D1430">
        <v>201602</v>
      </c>
      <c r="E1430" s="1">
        <v>42403</v>
      </c>
      <c r="F1430" s="1">
        <v>42433</v>
      </c>
      <c r="G1430" t="s">
        <v>462</v>
      </c>
      <c r="H1430" s="81">
        <v>93</v>
      </c>
      <c r="I1430" t="s">
        <v>47</v>
      </c>
      <c r="J1430" s="3">
        <v>851.49</v>
      </c>
    </row>
    <row r="1431" spans="1:10" x14ac:dyDescent="0.25">
      <c r="A1431" t="s">
        <v>340</v>
      </c>
      <c r="B1431" t="s">
        <v>59</v>
      </c>
      <c r="C1431" s="82" t="s">
        <v>462</v>
      </c>
      <c r="D1431">
        <v>201603</v>
      </c>
      <c r="E1431" s="1">
        <v>42434</v>
      </c>
      <c r="F1431" s="1">
        <v>42461</v>
      </c>
      <c r="G1431" t="s">
        <v>462</v>
      </c>
      <c r="H1431" s="81">
        <v>60</v>
      </c>
      <c r="I1431" t="s">
        <v>47</v>
      </c>
      <c r="J1431" s="3">
        <v>560.5</v>
      </c>
    </row>
    <row r="1432" spans="1:10" x14ac:dyDescent="0.25">
      <c r="A1432" t="s">
        <v>340</v>
      </c>
      <c r="B1432" t="s">
        <v>59</v>
      </c>
      <c r="C1432" s="82" t="s">
        <v>462</v>
      </c>
      <c r="D1432">
        <v>201604</v>
      </c>
      <c r="E1432" s="1">
        <v>42462</v>
      </c>
      <c r="F1432" s="1">
        <v>42493</v>
      </c>
      <c r="G1432" t="s">
        <v>462</v>
      </c>
      <c r="H1432" s="81">
        <v>92</v>
      </c>
      <c r="I1432" t="s">
        <v>47</v>
      </c>
      <c r="J1432" s="3">
        <v>859.62</v>
      </c>
    </row>
    <row r="1433" spans="1:10" x14ac:dyDescent="0.25">
      <c r="A1433" t="s">
        <v>340</v>
      </c>
      <c r="B1433" t="s">
        <v>59</v>
      </c>
      <c r="C1433" s="82" t="s">
        <v>462</v>
      </c>
      <c r="D1433">
        <v>201605</v>
      </c>
      <c r="E1433" s="1">
        <v>42494</v>
      </c>
      <c r="F1433" s="1">
        <v>42521</v>
      </c>
      <c r="G1433" t="s">
        <v>462</v>
      </c>
      <c r="H1433" s="81">
        <v>42</v>
      </c>
      <c r="I1433" t="s">
        <v>47</v>
      </c>
      <c r="J1433" s="3">
        <v>387.54</v>
      </c>
    </row>
    <row r="1434" spans="1:10" x14ac:dyDescent="0.25">
      <c r="A1434" t="s">
        <v>340</v>
      </c>
      <c r="B1434" t="s">
        <v>59</v>
      </c>
      <c r="C1434" s="82" t="s">
        <v>462</v>
      </c>
      <c r="D1434">
        <v>201606</v>
      </c>
      <c r="E1434" s="1">
        <v>42522</v>
      </c>
      <c r="F1434" s="1">
        <v>42550</v>
      </c>
      <c r="G1434" t="s">
        <v>462</v>
      </c>
      <c r="H1434" s="81">
        <v>56</v>
      </c>
      <c r="I1434" t="s">
        <v>47</v>
      </c>
      <c r="J1434" s="3">
        <v>526.69000000000005</v>
      </c>
    </row>
    <row r="1435" spans="1:10" x14ac:dyDescent="0.25">
      <c r="A1435" t="s">
        <v>343</v>
      </c>
      <c r="B1435" t="s">
        <v>59</v>
      </c>
      <c r="C1435" s="82" t="s">
        <v>463</v>
      </c>
      <c r="D1435">
        <v>201507</v>
      </c>
      <c r="E1435" s="1">
        <v>42186</v>
      </c>
      <c r="F1435" s="1">
        <v>42214</v>
      </c>
      <c r="G1435" t="s">
        <v>463</v>
      </c>
      <c r="H1435" s="81">
        <v>55</v>
      </c>
      <c r="I1435" t="s">
        <v>47</v>
      </c>
      <c r="J1435" s="3">
        <v>507.8</v>
      </c>
    </row>
    <row r="1436" spans="1:10" x14ac:dyDescent="0.25">
      <c r="A1436" t="s">
        <v>343</v>
      </c>
      <c r="B1436" t="s">
        <v>59</v>
      </c>
      <c r="C1436" s="82" t="s">
        <v>463</v>
      </c>
      <c r="D1436">
        <v>201508</v>
      </c>
      <c r="E1436" s="1">
        <v>42215</v>
      </c>
      <c r="F1436" s="1">
        <v>42243</v>
      </c>
      <c r="G1436" t="s">
        <v>463</v>
      </c>
      <c r="H1436" s="81">
        <v>19</v>
      </c>
      <c r="I1436" t="s">
        <v>47</v>
      </c>
      <c r="J1436" s="3">
        <v>174.44</v>
      </c>
    </row>
    <row r="1437" spans="1:10" x14ac:dyDescent="0.25">
      <c r="A1437" t="s">
        <v>343</v>
      </c>
      <c r="B1437" t="s">
        <v>59</v>
      </c>
      <c r="C1437" s="82" t="s">
        <v>463</v>
      </c>
      <c r="D1437">
        <v>201509</v>
      </c>
      <c r="E1437" s="1">
        <v>42244</v>
      </c>
      <c r="F1437" s="1">
        <v>42275</v>
      </c>
      <c r="G1437" t="s">
        <v>463</v>
      </c>
      <c r="H1437" s="81">
        <v>60</v>
      </c>
      <c r="I1437" t="s">
        <v>47</v>
      </c>
      <c r="J1437" s="3">
        <v>550.24</v>
      </c>
    </row>
    <row r="1438" spans="1:10" x14ac:dyDescent="0.25">
      <c r="A1438" t="s">
        <v>343</v>
      </c>
      <c r="B1438" t="s">
        <v>59</v>
      </c>
      <c r="C1438" s="82" t="s">
        <v>463</v>
      </c>
      <c r="D1438">
        <v>201511</v>
      </c>
      <c r="E1438" s="1">
        <v>42311</v>
      </c>
      <c r="F1438" s="1">
        <v>42341</v>
      </c>
      <c r="G1438" t="s">
        <v>463</v>
      </c>
      <c r="H1438" s="81">
        <v>49</v>
      </c>
      <c r="I1438" t="s">
        <v>47</v>
      </c>
      <c r="J1438" s="3">
        <v>454.77</v>
      </c>
    </row>
    <row r="1439" spans="1:10" x14ac:dyDescent="0.25">
      <c r="A1439" t="s">
        <v>343</v>
      </c>
      <c r="B1439" t="s">
        <v>59</v>
      </c>
      <c r="C1439" s="82" t="s">
        <v>463</v>
      </c>
      <c r="D1439">
        <v>201512</v>
      </c>
      <c r="E1439" s="1">
        <v>42341</v>
      </c>
      <c r="F1439" s="1">
        <v>42369</v>
      </c>
      <c r="G1439" t="s">
        <v>463</v>
      </c>
      <c r="H1439" s="81">
        <v>36</v>
      </c>
      <c r="I1439" t="s">
        <v>47</v>
      </c>
      <c r="J1439" s="3">
        <v>332.4</v>
      </c>
    </row>
    <row r="1440" spans="1:10" x14ac:dyDescent="0.25">
      <c r="A1440" t="s">
        <v>343</v>
      </c>
      <c r="B1440" t="s">
        <v>59</v>
      </c>
      <c r="C1440" s="82" t="s">
        <v>463</v>
      </c>
      <c r="D1440">
        <v>201601</v>
      </c>
      <c r="E1440" s="1">
        <v>42370</v>
      </c>
      <c r="F1440" s="1">
        <v>42402</v>
      </c>
      <c r="G1440" t="s">
        <v>463</v>
      </c>
      <c r="H1440" s="81">
        <v>34</v>
      </c>
      <c r="I1440" t="s">
        <v>47</v>
      </c>
      <c r="J1440" s="3">
        <v>308.97000000000003</v>
      </c>
    </row>
    <row r="1441" spans="1:10" x14ac:dyDescent="0.25">
      <c r="A1441" t="s">
        <v>343</v>
      </c>
      <c r="B1441" t="s">
        <v>59</v>
      </c>
      <c r="C1441" s="82" t="s">
        <v>463</v>
      </c>
      <c r="D1441">
        <v>201602</v>
      </c>
      <c r="E1441" s="1">
        <v>42403</v>
      </c>
      <c r="F1441" s="1">
        <v>42433</v>
      </c>
      <c r="G1441" t="s">
        <v>463</v>
      </c>
      <c r="H1441" s="81">
        <v>63</v>
      </c>
      <c r="I1441" t="s">
        <v>47</v>
      </c>
      <c r="J1441" s="3">
        <v>576.28</v>
      </c>
    </row>
    <row r="1442" spans="1:10" x14ac:dyDescent="0.25">
      <c r="A1442" t="s">
        <v>343</v>
      </c>
      <c r="B1442" t="s">
        <v>59</v>
      </c>
      <c r="C1442" s="82" t="s">
        <v>463</v>
      </c>
      <c r="D1442">
        <v>201603</v>
      </c>
      <c r="E1442" s="1">
        <v>42434</v>
      </c>
      <c r="F1442" s="1">
        <v>42461</v>
      </c>
      <c r="G1442" t="s">
        <v>463</v>
      </c>
      <c r="H1442" s="81">
        <v>41</v>
      </c>
      <c r="I1442" t="s">
        <v>47</v>
      </c>
      <c r="J1442" s="3">
        <v>379.35</v>
      </c>
    </row>
    <row r="1443" spans="1:10" x14ac:dyDescent="0.25">
      <c r="A1443" t="s">
        <v>343</v>
      </c>
      <c r="B1443" t="s">
        <v>59</v>
      </c>
      <c r="C1443" s="82" t="s">
        <v>463</v>
      </c>
      <c r="D1443">
        <v>201604</v>
      </c>
      <c r="E1443" s="1">
        <v>42462</v>
      </c>
      <c r="F1443" s="1">
        <v>42493</v>
      </c>
      <c r="G1443" t="s">
        <v>463</v>
      </c>
      <c r="H1443" s="81">
        <v>62</v>
      </c>
      <c r="I1443" t="s">
        <v>47</v>
      </c>
      <c r="J1443" s="3">
        <v>581.79</v>
      </c>
    </row>
    <row r="1444" spans="1:10" x14ac:dyDescent="0.25">
      <c r="A1444" t="s">
        <v>343</v>
      </c>
      <c r="B1444" t="s">
        <v>59</v>
      </c>
      <c r="C1444" s="82" t="s">
        <v>463</v>
      </c>
      <c r="D1444">
        <v>201605</v>
      </c>
      <c r="E1444" s="1">
        <v>42494</v>
      </c>
      <c r="F1444" s="1">
        <v>42521</v>
      </c>
      <c r="G1444" t="s">
        <v>463</v>
      </c>
      <c r="H1444" s="81">
        <v>28</v>
      </c>
      <c r="I1444" t="s">
        <v>47</v>
      </c>
      <c r="J1444" s="3">
        <v>262.29000000000002</v>
      </c>
    </row>
    <row r="1445" spans="1:10" x14ac:dyDescent="0.25">
      <c r="A1445" t="s">
        <v>343</v>
      </c>
      <c r="B1445" t="s">
        <v>59</v>
      </c>
      <c r="C1445" s="82" t="s">
        <v>463</v>
      </c>
      <c r="D1445">
        <v>201606</v>
      </c>
      <c r="E1445" s="1">
        <v>42522</v>
      </c>
      <c r="F1445" s="1">
        <v>42550</v>
      </c>
      <c r="G1445" t="s">
        <v>463</v>
      </c>
      <c r="H1445" s="81">
        <v>38</v>
      </c>
      <c r="I1445" t="s">
        <v>47</v>
      </c>
      <c r="J1445" s="3">
        <v>356.46</v>
      </c>
    </row>
    <row r="1446" spans="1:10" x14ac:dyDescent="0.25">
      <c r="A1446" t="s">
        <v>346</v>
      </c>
      <c r="B1446" t="s">
        <v>59</v>
      </c>
      <c r="C1446" s="82" t="s">
        <v>464</v>
      </c>
      <c r="D1446">
        <v>201507</v>
      </c>
      <c r="E1446" s="1">
        <v>42186</v>
      </c>
      <c r="F1446" s="1">
        <v>42214</v>
      </c>
      <c r="G1446" t="s">
        <v>464</v>
      </c>
      <c r="H1446" s="81">
        <v>58</v>
      </c>
      <c r="I1446" t="s">
        <v>47</v>
      </c>
      <c r="J1446" s="3">
        <v>533.26</v>
      </c>
    </row>
    <row r="1447" spans="1:10" x14ac:dyDescent="0.25">
      <c r="A1447" t="s">
        <v>346</v>
      </c>
      <c r="B1447" t="s">
        <v>59</v>
      </c>
      <c r="C1447" s="82" t="s">
        <v>464</v>
      </c>
      <c r="D1447">
        <v>201508</v>
      </c>
      <c r="E1447" s="1">
        <v>42215</v>
      </c>
      <c r="F1447" s="1">
        <v>42243</v>
      </c>
      <c r="G1447" t="s">
        <v>464</v>
      </c>
      <c r="H1447" s="81">
        <v>20</v>
      </c>
      <c r="I1447" t="s">
        <v>47</v>
      </c>
      <c r="J1447" s="3">
        <v>183.2</v>
      </c>
    </row>
    <row r="1448" spans="1:10" x14ac:dyDescent="0.25">
      <c r="A1448" t="s">
        <v>346</v>
      </c>
      <c r="B1448" t="s">
        <v>59</v>
      </c>
      <c r="C1448" s="82" t="s">
        <v>464</v>
      </c>
      <c r="D1448">
        <v>201509</v>
      </c>
      <c r="E1448" s="1">
        <v>42244</v>
      </c>
      <c r="F1448" s="1">
        <v>42275</v>
      </c>
      <c r="G1448" t="s">
        <v>464</v>
      </c>
      <c r="H1448" s="81">
        <v>63</v>
      </c>
      <c r="I1448" t="s">
        <v>47</v>
      </c>
      <c r="J1448" s="3">
        <v>577.84</v>
      </c>
    </row>
    <row r="1449" spans="1:10" x14ac:dyDescent="0.25">
      <c r="A1449" t="s">
        <v>346</v>
      </c>
      <c r="B1449" t="s">
        <v>59</v>
      </c>
      <c r="C1449" s="82" t="s">
        <v>464</v>
      </c>
      <c r="D1449">
        <v>201511</v>
      </c>
      <c r="E1449" s="1">
        <v>42311</v>
      </c>
      <c r="F1449" s="1">
        <v>42341</v>
      </c>
      <c r="G1449" t="s">
        <v>464</v>
      </c>
      <c r="H1449" s="81">
        <v>52</v>
      </c>
      <c r="I1449" t="s">
        <v>47</v>
      </c>
      <c r="J1449" s="3">
        <v>477.58</v>
      </c>
    </row>
    <row r="1450" spans="1:10" x14ac:dyDescent="0.25">
      <c r="A1450" t="s">
        <v>346</v>
      </c>
      <c r="B1450" t="s">
        <v>59</v>
      </c>
      <c r="C1450" s="82" t="s">
        <v>464</v>
      </c>
      <c r="D1450">
        <v>201512</v>
      </c>
      <c r="E1450" s="1">
        <v>42341</v>
      </c>
      <c r="F1450" s="1">
        <v>42369</v>
      </c>
      <c r="G1450" t="s">
        <v>464</v>
      </c>
      <c r="H1450" s="81">
        <v>38</v>
      </c>
      <c r="I1450" t="s">
        <v>47</v>
      </c>
      <c r="J1450" s="3">
        <v>349.07</v>
      </c>
    </row>
    <row r="1451" spans="1:10" x14ac:dyDescent="0.25">
      <c r="A1451" t="s">
        <v>346</v>
      </c>
      <c r="B1451" t="s">
        <v>59</v>
      </c>
      <c r="C1451" s="82" t="s">
        <v>464</v>
      </c>
      <c r="D1451">
        <v>201601</v>
      </c>
      <c r="E1451" s="1">
        <v>42370</v>
      </c>
      <c r="F1451" s="1">
        <v>42402</v>
      </c>
      <c r="G1451" t="s">
        <v>464</v>
      </c>
      <c r="H1451" s="81">
        <v>35</v>
      </c>
      <c r="I1451" t="s">
        <v>47</v>
      </c>
      <c r="J1451" s="3">
        <v>324.45999999999998</v>
      </c>
    </row>
    <row r="1452" spans="1:10" x14ac:dyDescent="0.25">
      <c r="A1452" t="s">
        <v>346</v>
      </c>
      <c r="B1452" t="s">
        <v>59</v>
      </c>
      <c r="C1452" s="82" t="s">
        <v>464</v>
      </c>
      <c r="D1452">
        <v>201602</v>
      </c>
      <c r="E1452" s="1">
        <v>42403</v>
      </c>
      <c r="F1452" s="1">
        <v>42433</v>
      </c>
      <c r="G1452" t="s">
        <v>464</v>
      </c>
      <c r="H1452" s="81">
        <v>66</v>
      </c>
      <c r="I1452" t="s">
        <v>47</v>
      </c>
      <c r="J1452" s="3">
        <v>605.19000000000005</v>
      </c>
    </row>
    <row r="1453" spans="1:10" x14ac:dyDescent="0.25">
      <c r="A1453" t="s">
        <v>346</v>
      </c>
      <c r="B1453" t="s">
        <v>59</v>
      </c>
      <c r="C1453" s="82" t="s">
        <v>464</v>
      </c>
      <c r="D1453">
        <v>201603</v>
      </c>
      <c r="E1453" s="1">
        <v>42434</v>
      </c>
      <c r="F1453" s="1">
        <v>42461</v>
      </c>
      <c r="G1453" t="s">
        <v>464</v>
      </c>
      <c r="H1453" s="81">
        <v>43</v>
      </c>
      <c r="I1453" t="s">
        <v>47</v>
      </c>
      <c r="J1453" s="3">
        <v>398.37</v>
      </c>
    </row>
    <row r="1454" spans="1:10" x14ac:dyDescent="0.25">
      <c r="A1454" t="s">
        <v>346</v>
      </c>
      <c r="B1454" t="s">
        <v>59</v>
      </c>
      <c r="C1454" s="82" t="s">
        <v>464</v>
      </c>
      <c r="D1454">
        <v>201604</v>
      </c>
      <c r="E1454" s="1">
        <v>42462</v>
      </c>
      <c r="F1454" s="1">
        <v>42493</v>
      </c>
      <c r="G1454" t="s">
        <v>464</v>
      </c>
      <c r="H1454" s="81">
        <v>65</v>
      </c>
      <c r="I1454" t="s">
        <v>47</v>
      </c>
      <c r="J1454" s="3">
        <v>610.97</v>
      </c>
    </row>
    <row r="1455" spans="1:10" x14ac:dyDescent="0.25">
      <c r="A1455" t="s">
        <v>346</v>
      </c>
      <c r="B1455" t="s">
        <v>59</v>
      </c>
      <c r="C1455" s="82" t="s">
        <v>464</v>
      </c>
      <c r="D1455">
        <v>201605</v>
      </c>
      <c r="E1455" s="1">
        <v>42494</v>
      </c>
      <c r="F1455" s="1">
        <v>42521</v>
      </c>
      <c r="G1455" t="s">
        <v>464</v>
      </c>
      <c r="H1455" s="81">
        <v>30</v>
      </c>
      <c r="I1455" t="s">
        <v>47</v>
      </c>
      <c r="J1455" s="3">
        <v>275.44</v>
      </c>
    </row>
    <row r="1456" spans="1:10" x14ac:dyDescent="0.25">
      <c r="A1456" t="s">
        <v>346</v>
      </c>
      <c r="B1456" t="s">
        <v>59</v>
      </c>
      <c r="C1456" s="82" t="s">
        <v>464</v>
      </c>
      <c r="D1456">
        <v>201606</v>
      </c>
      <c r="E1456" s="1">
        <v>42522</v>
      </c>
      <c r="F1456" s="1">
        <v>42550</v>
      </c>
      <c r="G1456" t="s">
        <v>464</v>
      </c>
      <c r="H1456" s="81">
        <v>40</v>
      </c>
      <c r="I1456" t="s">
        <v>47</v>
      </c>
      <c r="J1456" s="3">
        <v>374.35</v>
      </c>
    </row>
    <row r="1457" spans="1:10" x14ac:dyDescent="0.25">
      <c r="A1457" t="s">
        <v>352</v>
      </c>
      <c r="B1457" t="s">
        <v>59</v>
      </c>
      <c r="C1457" s="82" t="s">
        <v>465</v>
      </c>
      <c r="D1457">
        <v>201507</v>
      </c>
      <c r="E1457" s="1">
        <v>42186</v>
      </c>
      <c r="F1457" s="1">
        <v>42214</v>
      </c>
      <c r="G1457" t="s">
        <v>465</v>
      </c>
      <c r="H1457" s="81">
        <v>60</v>
      </c>
      <c r="I1457" t="s">
        <v>47</v>
      </c>
      <c r="J1457" s="3">
        <v>553.04</v>
      </c>
    </row>
    <row r="1458" spans="1:10" x14ac:dyDescent="0.25">
      <c r="A1458" t="s">
        <v>352</v>
      </c>
      <c r="B1458" t="s">
        <v>59</v>
      </c>
      <c r="C1458" s="82" t="s">
        <v>465</v>
      </c>
      <c r="D1458">
        <v>201508</v>
      </c>
      <c r="E1458" s="1">
        <v>42215</v>
      </c>
      <c r="F1458" s="1">
        <v>42243</v>
      </c>
      <c r="G1458" t="s">
        <v>465</v>
      </c>
      <c r="H1458" s="81">
        <v>21</v>
      </c>
      <c r="I1458" t="s">
        <v>47</v>
      </c>
      <c r="J1458" s="3">
        <v>189.99</v>
      </c>
    </row>
    <row r="1459" spans="1:10" x14ac:dyDescent="0.25">
      <c r="A1459" t="s">
        <v>352</v>
      </c>
      <c r="B1459" t="s">
        <v>59</v>
      </c>
      <c r="C1459" s="82" t="s">
        <v>465</v>
      </c>
      <c r="D1459">
        <v>201509</v>
      </c>
      <c r="E1459" s="1">
        <v>42244</v>
      </c>
      <c r="F1459" s="1">
        <v>42275</v>
      </c>
      <c r="G1459" t="s">
        <v>465</v>
      </c>
      <c r="H1459" s="81">
        <v>65</v>
      </c>
      <c r="I1459" t="s">
        <v>47</v>
      </c>
      <c r="J1459" s="3">
        <v>599.29</v>
      </c>
    </row>
    <row r="1460" spans="1:10" x14ac:dyDescent="0.25">
      <c r="A1460" t="s">
        <v>352</v>
      </c>
      <c r="B1460" t="s">
        <v>59</v>
      </c>
      <c r="C1460" s="82" t="s">
        <v>465</v>
      </c>
      <c r="D1460">
        <v>201511</v>
      </c>
      <c r="E1460" s="1">
        <v>42311</v>
      </c>
      <c r="F1460" s="1">
        <v>42341</v>
      </c>
      <c r="G1460" t="s">
        <v>465</v>
      </c>
      <c r="H1460" s="81">
        <v>54</v>
      </c>
      <c r="I1460" t="s">
        <v>47</v>
      </c>
      <c r="J1460" s="3">
        <v>495.31</v>
      </c>
    </row>
    <row r="1461" spans="1:10" x14ac:dyDescent="0.25">
      <c r="A1461" t="s">
        <v>352</v>
      </c>
      <c r="B1461" t="s">
        <v>59</v>
      </c>
      <c r="C1461" s="82" t="s">
        <v>465</v>
      </c>
      <c r="D1461">
        <v>201512</v>
      </c>
      <c r="E1461" s="1">
        <v>42341</v>
      </c>
      <c r="F1461" s="1">
        <v>42369</v>
      </c>
      <c r="G1461" t="s">
        <v>465</v>
      </c>
      <c r="H1461" s="81">
        <v>39</v>
      </c>
      <c r="I1461" t="s">
        <v>47</v>
      </c>
      <c r="J1461" s="3">
        <v>362.02</v>
      </c>
    </row>
    <row r="1462" spans="1:10" x14ac:dyDescent="0.25">
      <c r="A1462" t="s">
        <v>352</v>
      </c>
      <c r="B1462" t="s">
        <v>59</v>
      </c>
      <c r="C1462" s="82" t="s">
        <v>465</v>
      </c>
      <c r="D1462">
        <v>201601</v>
      </c>
      <c r="E1462" s="1">
        <v>42370</v>
      </c>
      <c r="F1462" s="1">
        <v>42402</v>
      </c>
      <c r="G1462" t="s">
        <v>465</v>
      </c>
      <c r="H1462" s="81">
        <v>37</v>
      </c>
      <c r="I1462" t="s">
        <v>47</v>
      </c>
      <c r="J1462" s="3">
        <v>336.5</v>
      </c>
    </row>
    <row r="1463" spans="1:10" x14ac:dyDescent="0.25">
      <c r="A1463" t="s">
        <v>352</v>
      </c>
      <c r="B1463" t="s">
        <v>59</v>
      </c>
      <c r="C1463" s="82" t="s">
        <v>465</v>
      </c>
      <c r="D1463">
        <v>201602</v>
      </c>
      <c r="E1463" s="1">
        <v>42403</v>
      </c>
      <c r="F1463" s="1">
        <v>42433</v>
      </c>
      <c r="G1463" t="s">
        <v>465</v>
      </c>
      <c r="H1463" s="81">
        <v>68</v>
      </c>
      <c r="I1463" t="s">
        <v>47</v>
      </c>
      <c r="J1463" s="3">
        <v>627.63</v>
      </c>
    </row>
    <row r="1464" spans="1:10" x14ac:dyDescent="0.25">
      <c r="A1464" t="s">
        <v>352</v>
      </c>
      <c r="B1464" t="s">
        <v>59</v>
      </c>
      <c r="C1464" s="82" t="s">
        <v>465</v>
      </c>
      <c r="D1464">
        <v>201603</v>
      </c>
      <c r="E1464" s="1">
        <v>42434</v>
      </c>
      <c r="F1464" s="1">
        <v>42461</v>
      </c>
      <c r="G1464" t="s">
        <v>465</v>
      </c>
      <c r="H1464" s="81">
        <v>44</v>
      </c>
      <c r="I1464" t="s">
        <v>47</v>
      </c>
      <c r="J1464" s="3">
        <v>413.16</v>
      </c>
    </row>
    <row r="1465" spans="1:10" x14ac:dyDescent="0.25">
      <c r="A1465" t="s">
        <v>352</v>
      </c>
      <c r="B1465" t="s">
        <v>59</v>
      </c>
      <c r="C1465" s="82" t="s">
        <v>465</v>
      </c>
      <c r="D1465">
        <v>201604</v>
      </c>
      <c r="E1465" s="1">
        <v>42462</v>
      </c>
      <c r="F1465" s="1">
        <v>42493</v>
      </c>
      <c r="G1465" t="s">
        <v>465</v>
      </c>
      <c r="H1465" s="81">
        <v>68</v>
      </c>
      <c r="I1465" t="s">
        <v>47</v>
      </c>
      <c r="J1465" s="3">
        <v>633.63</v>
      </c>
    </row>
    <row r="1466" spans="1:10" x14ac:dyDescent="0.25">
      <c r="A1466" t="s">
        <v>352</v>
      </c>
      <c r="B1466" t="s">
        <v>59</v>
      </c>
      <c r="C1466" s="82" t="s">
        <v>465</v>
      </c>
      <c r="D1466">
        <v>201605</v>
      </c>
      <c r="E1466" s="1">
        <v>42494</v>
      </c>
      <c r="F1466" s="1">
        <v>42521</v>
      </c>
      <c r="G1466" t="s">
        <v>465</v>
      </c>
      <c r="H1466" s="81">
        <v>31</v>
      </c>
      <c r="I1466" t="s">
        <v>47</v>
      </c>
      <c r="J1466" s="3">
        <v>285.66000000000003</v>
      </c>
    </row>
    <row r="1467" spans="1:10" x14ac:dyDescent="0.25">
      <c r="A1467" t="s">
        <v>352</v>
      </c>
      <c r="B1467" t="s">
        <v>59</v>
      </c>
      <c r="C1467" s="82" t="s">
        <v>465</v>
      </c>
      <c r="D1467">
        <v>201606</v>
      </c>
      <c r="E1467" s="1">
        <v>42522</v>
      </c>
      <c r="F1467" s="1">
        <v>42550</v>
      </c>
      <c r="G1467" t="s">
        <v>465</v>
      </c>
      <c r="H1467" s="81">
        <v>42</v>
      </c>
      <c r="I1467" t="s">
        <v>47</v>
      </c>
      <c r="J1467" s="3">
        <v>388.23</v>
      </c>
    </row>
    <row r="1468" spans="1:10" x14ac:dyDescent="0.25">
      <c r="A1468" t="s">
        <v>393</v>
      </c>
      <c r="B1468" t="s">
        <v>59</v>
      </c>
      <c r="C1468" s="82">
        <v>301886842</v>
      </c>
      <c r="D1468">
        <v>201507</v>
      </c>
      <c r="E1468" s="1">
        <v>42186</v>
      </c>
      <c r="F1468" s="1">
        <v>42214</v>
      </c>
      <c r="G1468" t="s">
        <v>437</v>
      </c>
      <c r="H1468" s="81">
        <v>7</v>
      </c>
      <c r="I1468" t="s">
        <v>47</v>
      </c>
      <c r="J1468" s="3">
        <v>169.47</v>
      </c>
    </row>
    <row r="1469" spans="1:10" x14ac:dyDescent="0.25">
      <c r="A1469" t="s">
        <v>393</v>
      </c>
      <c r="B1469" t="s">
        <v>59</v>
      </c>
      <c r="C1469" s="82">
        <v>301886842</v>
      </c>
      <c r="D1469">
        <v>201508</v>
      </c>
      <c r="E1469" s="1">
        <v>42215</v>
      </c>
      <c r="F1469" s="1">
        <v>42243</v>
      </c>
      <c r="G1469" t="s">
        <v>437</v>
      </c>
      <c r="H1469" s="81">
        <v>26</v>
      </c>
      <c r="I1469" t="s">
        <v>47</v>
      </c>
      <c r="J1469" s="3">
        <v>365.93</v>
      </c>
    </row>
    <row r="1470" spans="1:10" x14ac:dyDescent="0.25">
      <c r="A1470" t="s">
        <v>393</v>
      </c>
      <c r="B1470" t="s">
        <v>59</v>
      </c>
      <c r="C1470" s="82">
        <v>301886842</v>
      </c>
      <c r="D1470">
        <v>201509</v>
      </c>
      <c r="E1470" s="1">
        <v>42244</v>
      </c>
      <c r="F1470" s="1">
        <v>42275</v>
      </c>
      <c r="G1470" t="s">
        <v>437</v>
      </c>
      <c r="H1470" s="81">
        <v>242</v>
      </c>
      <c r="I1470" t="s">
        <v>47</v>
      </c>
      <c r="J1470" s="3">
        <v>2353.13</v>
      </c>
    </row>
    <row r="1471" spans="1:10" x14ac:dyDescent="0.25">
      <c r="A1471" t="s">
        <v>393</v>
      </c>
      <c r="B1471" t="s">
        <v>59</v>
      </c>
      <c r="C1471" s="82">
        <v>301886842</v>
      </c>
      <c r="D1471">
        <v>201510</v>
      </c>
      <c r="E1471" s="1">
        <v>42276</v>
      </c>
      <c r="F1471" s="1">
        <v>42310</v>
      </c>
      <c r="G1471" t="s">
        <v>437</v>
      </c>
      <c r="H1471" s="81">
        <v>290</v>
      </c>
      <c r="I1471" t="s">
        <v>47</v>
      </c>
      <c r="J1471" s="3">
        <v>2798.28</v>
      </c>
    </row>
    <row r="1472" spans="1:10" x14ac:dyDescent="0.25">
      <c r="A1472" t="s">
        <v>393</v>
      </c>
      <c r="B1472" t="s">
        <v>59</v>
      </c>
      <c r="C1472" s="82">
        <v>301886842</v>
      </c>
      <c r="D1472">
        <v>201511</v>
      </c>
      <c r="E1472" s="1">
        <v>42311</v>
      </c>
      <c r="F1472" s="1">
        <v>42341</v>
      </c>
      <c r="G1472" t="s">
        <v>437</v>
      </c>
      <c r="H1472" s="81">
        <v>206</v>
      </c>
      <c r="I1472" t="s">
        <v>47</v>
      </c>
      <c r="J1472" s="3">
        <v>2021.93</v>
      </c>
    </row>
    <row r="1473" spans="1:10" x14ac:dyDescent="0.25">
      <c r="A1473" t="s">
        <v>393</v>
      </c>
      <c r="B1473" t="s">
        <v>59</v>
      </c>
      <c r="C1473" s="82">
        <v>301886842</v>
      </c>
      <c r="D1473">
        <v>201512</v>
      </c>
      <c r="E1473" s="1">
        <v>42342</v>
      </c>
      <c r="F1473" s="1">
        <v>42369</v>
      </c>
      <c r="G1473" t="s">
        <v>437</v>
      </c>
      <c r="H1473" s="81">
        <v>148</v>
      </c>
      <c r="I1473" t="s">
        <v>47</v>
      </c>
      <c r="J1473" s="3">
        <v>1488.33</v>
      </c>
    </row>
    <row r="1474" spans="1:10" x14ac:dyDescent="0.25">
      <c r="A1474" t="s">
        <v>393</v>
      </c>
      <c r="B1474" t="s">
        <v>59</v>
      </c>
      <c r="C1474" s="82">
        <v>301886842</v>
      </c>
      <c r="D1474">
        <v>201601</v>
      </c>
      <c r="E1474" s="1">
        <v>42370</v>
      </c>
      <c r="F1474" s="1">
        <v>42402</v>
      </c>
      <c r="G1474" t="s">
        <v>437</v>
      </c>
      <c r="H1474" s="81">
        <v>138</v>
      </c>
      <c r="I1474" t="s">
        <v>47</v>
      </c>
      <c r="J1474" s="3">
        <v>1396.33</v>
      </c>
    </row>
    <row r="1475" spans="1:10" x14ac:dyDescent="0.25">
      <c r="A1475" t="s">
        <v>393</v>
      </c>
      <c r="B1475" t="s">
        <v>59</v>
      </c>
      <c r="C1475" s="82">
        <v>301886842</v>
      </c>
      <c r="D1475">
        <v>201602</v>
      </c>
      <c r="E1475" s="1">
        <v>42403</v>
      </c>
      <c r="F1475" s="1">
        <v>42433</v>
      </c>
      <c r="G1475" t="s">
        <v>437</v>
      </c>
      <c r="H1475" s="81">
        <v>267</v>
      </c>
      <c r="I1475" t="s">
        <v>47</v>
      </c>
      <c r="J1475" s="3">
        <v>2583.13</v>
      </c>
    </row>
    <row r="1476" spans="1:10" x14ac:dyDescent="0.25">
      <c r="A1476" t="s">
        <v>393</v>
      </c>
      <c r="B1476" t="s">
        <v>59</v>
      </c>
      <c r="C1476" s="82">
        <v>301886842</v>
      </c>
      <c r="D1476">
        <v>201603</v>
      </c>
      <c r="E1476" s="1">
        <v>42434</v>
      </c>
      <c r="F1476" s="1">
        <v>42461</v>
      </c>
      <c r="G1476" t="s">
        <v>437</v>
      </c>
      <c r="H1476" s="81">
        <v>172</v>
      </c>
      <c r="I1476" t="s">
        <v>47</v>
      </c>
      <c r="J1476" s="3">
        <v>1733.06</v>
      </c>
    </row>
    <row r="1477" spans="1:10" x14ac:dyDescent="0.25">
      <c r="A1477" t="s">
        <v>393</v>
      </c>
      <c r="B1477" t="s">
        <v>59</v>
      </c>
      <c r="C1477" s="82">
        <v>301886842</v>
      </c>
      <c r="D1477">
        <v>201604</v>
      </c>
      <c r="E1477" s="1">
        <v>42462</v>
      </c>
      <c r="F1477" s="1">
        <v>42494</v>
      </c>
      <c r="G1477" t="s">
        <v>437</v>
      </c>
      <c r="H1477" s="81">
        <v>274</v>
      </c>
      <c r="I1477" t="s">
        <v>47</v>
      </c>
      <c r="J1477" s="3">
        <v>2684.72</v>
      </c>
    </row>
    <row r="1478" spans="1:10" x14ac:dyDescent="0.25">
      <c r="A1478" t="s">
        <v>393</v>
      </c>
      <c r="B1478" t="s">
        <v>59</v>
      </c>
      <c r="C1478" s="82">
        <v>301886842</v>
      </c>
      <c r="D1478">
        <v>201605</v>
      </c>
      <c r="E1478" s="1">
        <v>42495</v>
      </c>
      <c r="F1478" s="1">
        <v>42521</v>
      </c>
      <c r="G1478" t="s">
        <v>437</v>
      </c>
      <c r="H1478" s="81">
        <v>84</v>
      </c>
      <c r="I1478" t="s">
        <v>47</v>
      </c>
      <c r="J1478" s="3">
        <v>912.02</v>
      </c>
    </row>
    <row r="1479" spans="1:10" x14ac:dyDescent="0.25">
      <c r="A1479" t="s">
        <v>393</v>
      </c>
      <c r="B1479" t="s">
        <v>59</v>
      </c>
      <c r="C1479" s="82">
        <v>301886842</v>
      </c>
      <c r="D1479">
        <v>201606</v>
      </c>
      <c r="E1479" s="1">
        <v>42522</v>
      </c>
      <c r="F1479" s="1">
        <v>42550</v>
      </c>
      <c r="G1479" t="s">
        <v>437</v>
      </c>
      <c r="H1479" s="81">
        <v>6</v>
      </c>
      <c r="I1479" t="s">
        <v>47</v>
      </c>
      <c r="J1479" s="3">
        <v>184.28</v>
      </c>
    </row>
    <row r="1480" spans="1:10" x14ac:dyDescent="0.25">
      <c r="A1480" t="s">
        <v>355</v>
      </c>
      <c r="B1480" t="s">
        <v>59</v>
      </c>
      <c r="C1480" s="82">
        <v>301865390</v>
      </c>
      <c r="D1480">
        <v>201507</v>
      </c>
      <c r="E1480" s="1">
        <v>42186</v>
      </c>
      <c r="F1480" s="1">
        <v>42215</v>
      </c>
      <c r="G1480" t="s">
        <v>438</v>
      </c>
      <c r="H1480" s="81">
        <v>5</v>
      </c>
      <c r="I1480" t="s">
        <v>47</v>
      </c>
      <c r="J1480" s="3">
        <v>219.47</v>
      </c>
    </row>
    <row r="1481" spans="1:10" x14ac:dyDescent="0.25">
      <c r="A1481" t="s">
        <v>355</v>
      </c>
      <c r="B1481" t="s">
        <v>59</v>
      </c>
      <c r="C1481" s="82">
        <v>301865390</v>
      </c>
      <c r="D1481">
        <v>201508</v>
      </c>
      <c r="E1481" s="1">
        <v>42216</v>
      </c>
      <c r="F1481" s="1">
        <v>42243</v>
      </c>
      <c r="G1481" t="s">
        <v>438</v>
      </c>
      <c r="H1481" s="81">
        <v>5</v>
      </c>
      <c r="I1481" t="s">
        <v>47</v>
      </c>
      <c r="J1481" s="3">
        <v>255.36</v>
      </c>
    </row>
    <row r="1482" spans="1:10" x14ac:dyDescent="0.25">
      <c r="A1482" t="s">
        <v>355</v>
      </c>
      <c r="B1482" t="s">
        <v>59</v>
      </c>
      <c r="C1482" s="82">
        <v>301865390</v>
      </c>
      <c r="D1482">
        <v>201509</v>
      </c>
      <c r="E1482" s="1">
        <v>42244</v>
      </c>
      <c r="F1482" s="1">
        <v>42275</v>
      </c>
      <c r="G1482" t="s">
        <v>438</v>
      </c>
      <c r="H1482" s="81">
        <v>35</v>
      </c>
      <c r="I1482" t="s">
        <v>47</v>
      </c>
      <c r="J1482" s="3">
        <v>531.36</v>
      </c>
    </row>
    <row r="1483" spans="1:10" x14ac:dyDescent="0.25">
      <c r="A1483" t="s">
        <v>355</v>
      </c>
      <c r="B1483" t="s">
        <v>59</v>
      </c>
      <c r="C1483" s="82">
        <v>301865390</v>
      </c>
      <c r="D1483">
        <v>201510</v>
      </c>
      <c r="E1483" s="1">
        <v>42276</v>
      </c>
      <c r="F1483" s="1">
        <v>42310</v>
      </c>
      <c r="G1483" t="s">
        <v>438</v>
      </c>
      <c r="H1483" s="81">
        <v>35</v>
      </c>
      <c r="I1483" t="s">
        <v>47</v>
      </c>
      <c r="J1483" s="3">
        <v>531.36</v>
      </c>
    </row>
    <row r="1484" spans="1:10" x14ac:dyDescent="0.25">
      <c r="A1484" t="s">
        <v>355</v>
      </c>
      <c r="B1484" t="s">
        <v>59</v>
      </c>
      <c r="C1484" s="82">
        <v>301865390</v>
      </c>
      <c r="D1484">
        <v>201511</v>
      </c>
      <c r="E1484" s="1">
        <v>42311</v>
      </c>
      <c r="F1484" s="1">
        <v>42341</v>
      </c>
      <c r="G1484" t="s">
        <v>438</v>
      </c>
      <c r="H1484" s="81">
        <v>22</v>
      </c>
      <c r="I1484" t="s">
        <v>47</v>
      </c>
      <c r="J1484" s="3">
        <v>411.76</v>
      </c>
    </row>
    <row r="1485" spans="1:10" x14ac:dyDescent="0.25">
      <c r="A1485" t="s">
        <v>355</v>
      </c>
      <c r="B1485" t="s">
        <v>59</v>
      </c>
      <c r="C1485" s="82">
        <v>301865390</v>
      </c>
      <c r="D1485">
        <v>201512</v>
      </c>
      <c r="E1485" s="1">
        <v>42342</v>
      </c>
      <c r="F1485" s="1">
        <v>42373</v>
      </c>
      <c r="G1485" t="s">
        <v>438</v>
      </c>
      <c r="H1485" s="81">
        <v>22</v>
      </c>
      <c r="I1485" t="s">
        <v>47</v>
      </c>
      <c r="J1485" s="3">
        <v>411.76</v>
      </c>
    </row>
    <row r="1486" spans="1:10" x14ac:dyDescent="0.25">
      <c r="A1486" t="s">
        <v>355</v>
      </c>
      <c r="B1486" t="s">
        <v>59</v>
      </c>
      <c r="C1486" s="82">
        <v>301865390</v>
      </c>
      <c r="D1486">
        <v>201601</v>
      </c>
      <c r="E1486" s="1">
        <v>42374</v>
      </c>
      <c r="F1486" s="1">
        <v>42404</v>
      </c>
      <c r="G1486" t="s">
        <v>438</v>
      </c>
      <c r="H1486" s="81">
        <v>26</v>
      </c>
      <c r="I1486" t="s">
        <v>47</v>
      </c>
      <c r="J1486" s="3">
        <v>448.56</v>
      </c>
    </row>
    <row r="1487" spans="1:10" x14ac:dyDescent="0.25">
      <c r="A1487" t="s">
        <v>355</v>
      </c>
      <c r="B1487" t="s">
        <v>59</v>
      </c>
      <c r="C1487" s="82">
        <v>301865390</v>
      </c>
      <c r="D1487">
        <v>201602</v>
      </c>
      <c r="E1487" s="1">
        <v>42405</v>
      </c>
      <c r="F1487" s="1">
        <v>42433</v>
      </c>
      <c r="G1487" t="s">
        <v>438</v>
      </c>
      <c r="H1487" s="81">
        <v>21</v>
      </c>
      <c r="I1487" t="s">
        <v>47</v>
      </c>
      <c r="J1487" s="3">
        <v>402.56</v>
      </c>
    </row>
    <row r="1488" spans="1:10" x14ac:dyDescent="0.25">
      <c r="A1488" t="s">
        <v>355</v>
      </c>
      <c r="B1488" t="s">
        <v>59</v>
      </c>
      <c r="C1488" s="82">
        <v>301865390</v>
      </c>
      <c r="D1488">
        <v>201603</v>
      </c>
      <c r="E1488" s="1">
        <v>42434</v>
      </c>
      <c r="F1488" s="1">
        <v>42461</v>
      </c>
      <c r="G1488" t="s">
        <v>438</v>
      </c>
      <c r="H1488" s="81">
        <v>22</v>
      </c>
      <c r="I1488" t="s">
        <v>47</v>
      </c>
      <c r="J1488" s="3">
        <v>416.77</v>
      </c>
    </row>
    <row r="1489" spans="1:10" x14ac:dyDescent="0.25">
      <c r="A1489" t="s">
        <v>355</v>
      </c>
      <c r="B1489" t="s">
        <v>59</v>
      </c>
      <c r="C1489" s="82">
        <v>301865390</v>
      </c>
      <c r="D1489">
        <v>201604</v>
      </c>
      <c r="E1489" s="1">
        <v>42462</v>
      </c>
      <c r="F1489" s="1">
        <v>42494</v>
      </c>
      <c r="G1489" t="s">
        <v>438</v>
      </c>
      <c r="H1489" s="81">
        <v>31</v>
      </c>
      <c r="I1489" t="s">
        <v>47</v>
      </c>
      <c r="J1489" s="3">
        <v>500.74</v>
      </c>
    </row>
    <row r="1490" spans="1:10" x14ac:dyDescent="0.25">
      <c r="A1490" t="s">
        <v>355</v>
      </c>
      <c r="B1490" t="s">
        <v>59</v>
      </c>
      <c r="C1490" s="82">
        <v>301865390</v>
      </c>
      <c r="D1490">
        <v>201605</v>
      </c>
      <c r="E1490" s="1">
        <v>42495</v>
      </c>
      <c r="F1490" s="1">
        <v>42521</v>
      </c>
      <c r="G1490" t="s">
        <v>438</v>
      </c>
      <c r="H1490" s="81">
        <v>6</v>
      </c>
      <c r="I1490" t="s">
        <v>47</v>
      </c>
      <c r="J1490" s="3">
        <v>267.49</v>
      </c>
    </row>
    <row r="1491" spans="1:10" x14ac:dyDescent="0.25">
      <c r="A1491" t="s">
        <v>355</v>
      </c>
      <c r="B1491" t="s">
        <v>59</v>
      </c>
      <c r="C1491" s="82">
        <v>301865390</v>
      </c>
      <c r="D1491">
        <v>201606</v>
      </c>
      <c r="E1491" s="1">
        <v>42522</v>
      </c>
      <c r="F1491" s="1">
        <v>42550</v>
      </c>
      <c r="G1491" t="s">
        <v>438</v>
      </c>
      <c r="H1491" s="81">
        <v>2</v>
      </c>
      <c r="I1491" t="s">
        <v>47</v>
      </c>
      <c r="J1491" s="3">
        <v>230.17</v>
      </c>
    </row>
    <row r="1492" spans="1:10" x14ac:dyDescent="0.25">
      <c r="A1492" t="s">
        <v>397</v>
      </c>
      <c r="B1492" t="s">
        <v>59</v>
      </c>
      <c r="C1492" s="82">
        <v>301865499</v>
      </c>
      <c r="D1492">
        <v>201507</v>
      </c>
      <c r="E1492" s="1">
        <v>42186</v>
      </c>
      <c r="F1492" s="1">
        <v>42214</v>
      </c>
      <c r="G1492" t="s">
        <v>439</v>
      </c>
      <c r="H1492" s="81">
        <v>4</v>
      </c>
      <c r="I1492" t="s">
        <v>47</v>
      </c>
      <c r="J1492" s="3">
        <v>383.92</v>
      </c>
    </row>
    <row r="1493" spans="1:10" x14ac:dyDescent="0.25">
      <c r="A1493" t="s">
        <v>397</v>
      </c>
      <c r="B1493" t="s">
        <v>59</v>
      </c>
      <c r="C1493" s="82">
        <v>301865499</v>
      </c>
      <c r="D1493">
        <v>201508</v>
      </c>
      <c r="E1493" s="1">
        <v>42215</v>
      </c>
      <c r="F1493" s="1">
        <v>42243</v>
      </c>
      <c r="G1493" t="s">
        <v>439</v>
      </c>
      <c r="H1493" s="81">
        <v>1</v>
      </c>
      <c r="I1493" t="s">
        <v>47</v>
      </c>
      <c r="J1493" s="3">
        <v>427.92</v>
      </c>
    </row>
    <row r="1494" spans="1:10" x14ac:dyDescent="0.25">
      <c r="A1494" t="s">
        <v>397</v>
      </c>
      <c r="B1494" t="s">
        <v>59</v>
      </c>
      <c r="C1494" s="82">
        <v>301865499</v>
      </c>
      <c r="D1494">
        <v>201509</v>
      </c>
      <c r="E1494" s="1">
        <v>42244</v>
      </c>
      <c r="F1494" s="1">
        <v>42275</v>
      </c>
      <c r="G1494" t="s">
        <v>439</v>
      </c>
      <c r="H1494" s="81">
        <v>37</v>
      </c>
      <c r="I1494" t="s">
        <v>47</v>
      </c>
      <c r="J1494" s="3">
        <v>783.97</v>
      </c>
    </row>
    <row r="1495" spans="1:10" x14ac:dyDescent="0.25">
      <c r="A1495" t="s">
        <v>397</v>
      </c>
      <c r="B1495" t="s">
        <v>59</v>
      </c>
      <c r="C1495" s="82">
        <v>301865499</v>
      </c>
      <c r="D1495">
        <v>201510</v>
      </c>
      <c r="E1495" s="1">
        <v>42276</v>
      </c>
      <c r="F1495" s="1">
        <v>42310</v>
      </c>
      <c r="G1495" t="s">
        <v>439</v>
      </c>
      <c r="H1495" s="81">
        <v>36</v>
      </c>
      <c r="I1495" t="s">
        <v>47</v>
      </c>
      <c r="J1495" s="3">
        <v>771.22</v>
      </c>
    </row>
    <row r="1496" spans="1:10" x14ac:dyDescent="0.25">
      <c r="A1496" t="s">
        <v>397</v>
      </c>
      <c r="B1496" t="s">
        <v>59</v>
      </c>
      <c r="C1496" s="82">
        <v>301865499</v>
      </c>
      <c r="D1496">
        <v>201511</v>
      </c>
      <c r="E1496" s="1">
        <v>42311</v>
      </c>
      <c r="F1496" s="1">
        <v>42341</v>
      </c>
      <c r="G1496" t="s">
        <v>439</v>
      </c>
      <c r="H1496" s="81">
        <v>26</v>
      </c>
      <c r="I1496" t="s">
        <v>47</v>
      </c>
      <c r="J1496" s="3">
        <v>657.92</v>
      </c>
    </row>
    <row r="1497" spans="1:10" x14ac:dyDescent="0.25">
      <c r="A1497" t="s">
        <v>397</v>
      </c>
      <c r="B1497" t="s">
        <v>59</v>
      </c>
      <c r="C1497" s="82">
        <v>301865499</v>
      </c>
      <c r="D1497">
        <v>201512</v>
      </c>
      <c r="E1497" s="1">
        <v>42342</v>
      </c>
      <c r="F1497" s="1">
        <v>42369</v>
      </c>
      <c r="G1497" t="s">
        <v>439</v>
      </c>
      <c r="H1497" s="81">
        <v>18</v>
      </c>
      <c r="I1497" t="s">
        <v>47</v>
      </c>
      <c r="J1497" s="3">
        <v>584.32000000000005</v>
      </c>
    </row>
    <row r="1498" spans="1:10" x14ac:dyDescent="0.25">
      <c r="A1498" t="s">
        <v>397</v>
      </c>
      <c r="B1498" t="s">
        <v>59</v>
      </c>
      <c r="C1498" s="82">
        <v>301865499</v>
      </c>
      <c r="D1498">
        <v>201601</v>
      </c>
      <c r="E1498" s="1">
        <v>42370</v>
      </c>
      <c r="F1498" s="1">
        <v>42402</v>
      </c>
      <c r="G1498" t="s">
        <v>439</v>
      </c>
      <c r="H1498" s="81">
        <v>17</v>
      </c>
      <c r="I1498" t="s">
        <v>47</v>
      </c>
      <c r="J1498" s="3">
        <v>575.12</v>
      </c>
    </row>
    <row r="1499" spans="1:10" x14ac:dyDescent="0.25">
      <c r="A1499" t="s">
        <v>397</v>
      </c>
      <c r="B1499" t="s">
        <v>59</v>
      </c>
      <c r="C1499" s="82">
        <v>301865499</v>
      </c>
      <c r="D1499">
        <v>201602</v>
      </c>
      <c r="E1499" s="1">
        <v>42403</v>
      </c>
      <c r="F1499" s="1">
        <v>42433</v>
      </c>
      <c r="G1499" t="s">
        <v>439</v>
      </c>
      <c r="H1499" s="81">
        <v>32</v>
      </c>
      <c r="I1499" t="s">
        <v>47</v>
      </c>
      <c r="J1499" s="3">
        <v>713.12</v>
      </c>
    </row>
    <row r="1500" spans="1:10" x14ac:dyDescent="0.25">
      <c r="A1500" t="s">
        <v>397</v>
      </c>
      <c r="B1500" t="s">
        <v>59</v>
      </c>
      <c r="C1500" s="82">
        <v>301865499</v>
      </c>
      <c r="D1500">
        <v>201603</v>
      </c>
      <c r="E1500" s="1">
        <v>42434</v>
      </c>
      <c r="F1500" s="1">
        <v>42461</v>
      </c>
      <c r="G1500" t="s">
        <v>439</v>
      </c>
      <c r="H1500" s="81">
        <v>21</v>
      </c>
      <c r="I1500" t="s">
        <v>47</v>
      </c>
      <c r="J1500" s="3">
        <v>618.95000000000005</v>
      </c>
    </row>
    <row r="1501" spans="1:10" x14ac:dyDescent="0.25">
      <c r="A1501" t="s">
        <v>397</v>
      </c>
      <c r="B1501" t="s">
        <v>59</v>
      </c>
      <c r="C1501" s="82">
        <v>301865499</v>
      </c>
      <c r="D1501">
        <v>201604</v>
      </c>
      <c r="E1501" s="1">
        <v>42462</v>
      </c>
      <c r="F1501" s="1">
        <v>42493</v>
      </c>
      <c r="G1501" t="s">
        <v>439</v>
      </c>
      <c r="H1501" s="81">
        <v>31</v>
      </c>
      <c r="I1501" t="s">
        <v>47</v>
      </c>
      <c r="J1501" s="3">
        <v>712.25</v>
      </c>
    </row>
    <row r="1502" spans="1:10" x14ac:dyDescent="0.25">
      <c r="A1502" t="s">
        <v>397</v>
      </c>
      <c r="B1502" t="s">
        <v>59</v>
      </c>
      <c r="C1502" s="82">
        <v>301865499</v>
      </c>
      <c r="D1502">
        <v>201605</v>
      </c>
      <c r="E1502" s="1">
        <v>42494</v>
      </c>
      <c r="F1502" s="1">
        <v>42521</v>
      </c>
      <c r="G1502" t="s">
        <v>439</v>
      </c>
      <c r="H1502" s="81">
        <v>7</v>
      </c>
      <c r="I1502" t="s">
        <v>47</v>
      </c>
      <c r="J1502" s="3">
        <v>488.33</v>
      </c>
    </row>
    <row r="1503" spans="1:10" x14ac:dyDescent="0.25">
      <c r="A1503" t="s">
        <v>397</v>
      </c>
      <c r="B1503" t="s">
        <v>59</v>
      </c>
      <c r="C1503" s="82">
        <v>301865499</v>
      </c>
      <c r="D1503">
        <v>201606</v>
      </c>
      <c r="E1503" s="1">
        <v>42522</v>
      </c>
      <c r="F1503" s="1">
        <v>42550</v>
      </c>
      <c r="G1503" t="s">
        <v>439</v>
      </c>
      <c r="H1503" s="81">
        <v>1</v>
      </c>
      <c r="I1503" t="s">
        <v>47</v>
      </c>
      <c r="J1503" s="3">
        <v>432.35</v>
      </c>
    </row>
    <row r="1504" spans="1:10" x14ac:dyDescent="0.25">
      <c r="A1504" t="s">
        <v>349</v>
      </c>
      <c r="B1504" t="s">
        <v>59</v>
      </c>
      <c r="C1504" s="82">
        <v>304581937</v>
      </c>
      <c r="D1504">
        <v>201507</v>
      </c>
      <c r="E1504" s="1">
        <v>42186</v>
      </c>
      <c r="F1504" s="1">
        <v>42214</v>
      </c>
      <c r="G1504" t="s">
        <v>440</v>
      </c>
      <c r="H1504" s="81">
        <v>320</v>
      </c>
      <c r="I1504" t="s">
        <v>47</v>
      </c>
      <c r="J1504" s="3">
        <v>3144.96</v>
      </c>
    </row>
    <row r="1505" spans="1:10" x14ac:dyDescent="0.25">
      <c r="A1505" t="s">
        <v>349</v>
      </c>
      <c r="B1505" t="s">
        <v>59</v>
      </c>
      <c r="C1505" s="82">
        <v>304581937</v>
      </c>
      <c r="D1505">
        <v>201508</v>
      </c>
      <c r="E1505" s="1">
        <v>42215</v>
      </c>
      <c r="F1505" s="1">
        <v>42243</v>
      </c>
      <c r="G1505" t="s">
        <v>440</v>
      </c>
      <c r="H1505" s="81">
        <v>297</v>
      </c>
      <c r="I1505" t="s">
        <v>47</v>
      </c>
      <c r="J1505" s="3">
        <v>2985.86</v>
      </c>
    </row>
    <row r="1506" spans="1:10" x14ac:dyDescent="0.25">
      <c r="A1506" t="s">
        <v>349</v>
      </c>
      <c r="B1506" t="s">
        <v>59</v>
      </c>
      <c r="C1506" s="82">
        <v>304581937</v>
      </c>
      <c r="D1506">
        <v>201509</v>
      </c>
      <c r="E1506" s="1">
        <v>42244</v>
      </c>
      <c r="F1506" s="1">
        <v>42275</v>
      </c>
      <c r="G1506" t="s">
        <v>440</v>
      </c>
      <c r="H1506" s="81">
        <v>739</v>
      </c>
      <c r="I1506" t="s">
        <v>47</v>
      </c>
      <c r="J1506" s="3">
        <v>7052.26</v>
      </c>
    </row>
    <row r="1507" spans="1:10" x14ac:dyDescent="0.25">
      <c r="A1507" t="s">
        <v>349</v>
      </c>
      <c r="B1507" t="s">
        <v>59</v>
      </c>
      <c r="C1507" s="82">
        <v>304581937</v>
      </c>
      <c r="D1507">
        <v>201510</v>
      </c>
      <c r="E1507" s="1">
        <v>42276</v>
      </c>
      <c r="F1507" s="1">
        <v>42310</v>
      </c>
      <c r="G1507" t="s">
        <v>440</v>
      </c>
      <c r="H1507" s="81">
        <v>724</v>
      </c>
      <c r="I1507" t="s">
        <v>47</v>
      </c>
      <c r="J1507" s="3">
        <v>6914.26</v>
      </c>
    </row>
    <row r="1508" spans="1:10" x14ac:dyDescent="0.25">
      <c r="A1508" t="s">
        <v>349</v>
      </c>
      <c r="B1508" t="s">
        <v>59</v>
      </c>
      <c r="C1508" s="82">
        <v>304581937</v>
      </c>
      <c r="D1508">
        <v>201511</v>
      </c>
      <c r="E1508" s="1">
        <v>42311</v>
      </c>
      <c r="F1508" s="1">
        <v>42341</v>
      </c>
      <c r="G1508" t="s">
        <v>440</v>
      </c>
      <c r="H1508" s="81">
        <v>546</v>
      </c>
      <c r="I1508" t="s">
        <v>47</v>
      </c>
      <c r="J1508" s="3">
        <v>5276.66</v>
      </c>
    </row>
    <row r="1509" spans="1:10" x14ac:dyDescent="0.25">
      <c r="A1509" t="s">
        <v>349</v>
      </c>
      <c r="B1509" t="s">
        <v>59</v>
      </c>
      <c r="C1509" s="82">
        <v>304581937</v>
      </c>
      <c r="D1509">
        <v>201512</v>
      </c>
      <c r="E1509" s="1">
        <v>42342</v>
      </c>
      <c r="F1509" s="1">
        <v>42369</v>
      </c>
      <c r="G1509" t="s">
        <v>440</v>
      </c>
      <c r="H1509" s="81">
        <v>433</v>
      </c>
      <c r="I1509" t="s">
        <v>47</v>
      </c>
      <c r="J1509" s="3">
        <v>4237.0600000000004</v>
      </c>
    </row>
    <row r="1510" spans="1:10" x14ac:dyDescent="0.25">
      <c r="A1510" t="s">
        <v>349</v>
      </c>
      <c r="B1510" t="s">
        <v>59</v>
      </c>
      <c r="C1510" s="82">
        <v>304581937</v>
      </c>
      <c r="D1510">
        <v>201601</v>
      </c>
      <c r="E1510" s="1">
        <v>42370</v>
      </c>
      <c r="F1510" s="1">
        <v>42402</v>
      </c>
      <c r="G1510" t="s">
        <v>440</v>
      </c>
      <c r="H1510" s="81">
        <v>491</v>
      </c>
      <c r="I1510" t="s">
        <v>47</v>
      </c>
      <c r="J1510" s="3">
        <v>4770.66</v>
      </c>
    </row>
    <row r="1511" spans="1:10" x14ac:dyDescent="0.25">
      <c r="A1511" t="s">
        <v>349</v>
      </c>
      <c r="B1511" t="s">
        <v>59</v>
      </c>
      <c r="C1511" s="82">
        <v>304581937</v>
      </c>
      <c r="D1511">
        <v>201602</v>
      </c>
      <c r="E1511" s="1">
        <v>42403</v>
      </c>
      <c r="F1511" s="1">
        <v>42433</v>
      </c>
      <c r="G1511" t="s">
        <v>440</v>
      </c>
      <c r="H1511" s="81">
        <v>689</v>
      </c>
      <c r="I1511" t="s">
        <v>47</v>
      </c>
      <c r="J1511" s="3">
        <v>6592.26</v>
      </c>
    </row>
    <row r="1512" spans="1:10" x14ac:dyDescent="0.25">
      <c r="A1512" t="s">
        <v>349</v>
      </c>
      <c r="B1512" t="s">
        <v>59</v>
      </c>
      <c r="C1512" s="82">
        <v>304581937</v>
      </c>
      <c r="D1512">
        <v>201603</v>
      </c>
      <c r="E1512" s="1">
        <v>42434</v>
      </c>
      <c r="F1512" s="1">
        <v>42461</v>
      </c>
      <c r="G1512" t="s">
        <v>440</v>
      </c>
      <c r="H1512" s="81">
        <v>481</v>
      </c>
      <c r="I1512" t="s">
        <v>47</v>
      </c>
      <c r="J1512" s="3">
        <v>4744.33</v>
      </c>
    </row>
    <row r="1513" spans="1:10" x14ac:dyDescent="0.25">
      <c r="A1513" t="s">
        <v>349</v>
      </c>
      <c r="B1513" t="s">
        <v>59</v>
      </c>
      <c r="C1513" s="82">
        <v>304581937</v>
      </c>
      <c r="D1513">
        <v>201604</v>
      </c>
      <c r="E1513" s="1">
        <v>42462</v>
      </c>
      <c r="F1513" s="1">
        <v>42493</v>
      </c>
      <c r="G1513" t="s">
        <v>440</v>
      </c>
      <c r="H1513" s="81">
        <v>728</v>
      </c>
      <c r="I1513" t="s">
        <v>47</v>
      </c>
      <c r="J1513" s="3">
        <v>7048.84</v>
      </c>
    </row>
    <row r="1514" spans="1:10" x14ac:dyDescent="0.25">
      <c r="A1514" t="s">
        <v>349</v>
      </c>
      <c r="B1514" t="s">
        <v>59</v>
      </c>
      <c r="C1514" s="82">
        <v>304581937</v>
      </c>
      <c r="D1514">
        <v>201605</v>
      </c>
      <c r="E1514" s="1">
        <v>42494</v>
      </c>
      <c r="F1514" s="1">
        <v>42521</v>
      </c>
      <c r="G1514" t="s">
        <v>440</v>
      </c>
      <c r="H1514" s="81">
        <v>344</v>
      </c>
      <c r="I1514" t="s">
        <v>47</v>
      </c>
      <c r="J1514" s="3">
        <v>3466.12</v>
      </c>
    </row>
    <row r="1515" spans="1:10" x14ac:dyDescent="0.25">
      <c r="A1515" t="s">
        <v>349</v>
      </c>
      <c r="B1515" t="s">
        <v>59</v>
      </c>
      <c r="C1515" s="82">
        <v>304581937</v>
      </c>
      <c r="D1515">
        <v>201606</v>
      </c>
      <c r="E1515" s="1">
        <v>42522</v>
      </c>
      <c r="F1515" s="1">
        <v>42550</v>
      </c>
      <c r="G1515" t="s">
        <v>440</v>
      </c>
      <c r="H1515" s="81">
        <v>339</v>
      </c>
      <c r="I1515" t="s">
        <v>47</v>
      </c>
      <c r="J1515" s="3">
        <v>3419.47</v>
      </c>
    </row>
    <row r="1516" spans="1:10" x14ac:dyDescent="0.25">
      <c r="A1516" t="s">
        <v>361</v>
      </c>
      <c r="B1516" t="s">
        <v>59</v>
      </c>
      <c r="C1516" s="82">
        <v>301865432</v>
      </c>
      <c r="D1516">
        <v>201507</v>
      </c>
      <c r="E1516" s="1">
        <v>42186</v>
      </c>
      <c r="F1516" s="1">
        <v>42214</v>
      </c>
      <c r="G1516" t="s">
        <v>441</v>
      </c>
      <c r="H1516" s="81">
        <v>20</v>
      </c>
      <c r="I1516" t="s">
        <v>47</v>
      </c>
      <c r="J1516" s="3">
        <v>357.02</v>
      </c>
    </row>
    <row r="1517" spans="1:10" x14ac:dyDescent="0.25">
      <c r="A1517" t="s">
        <v>361</v>
      </c>
      <c r="B1517" t="s">
        <v>59</v>
      </c>
      <c r="C1517" s="82">
        <v>301865432</v>
      </c>
      <c r="D1517">
        <v>201508</v>
      </c>
      <c r="E1517" s="1">
        <v>42215</v>
      </c>
      <c r="F1517" s="1">
        <v>42243</v>
      </c>
      <c r="G1517" t="s">
        <v>441</v>
      </c>
      <c r="H1517" s="81">
        <v>10</v>
      </c>
      <c r="I1517" t="s">
        <v>47</v>
      </c>
      <c r="J1517" s="3">
        <v>301.36</v>
      </c>
    </row>
    <row r="1518" spans="1:10" x14ac:dyDescent="0.25">
      <c r="A1518" t="s">
        <v>361</v>
      </c>
      <c r="B1518" t="s">
        <v>59</v>
      </c>
      <c r="C1518" s="82">
        <v>301865432</v>
      </c>
      <c r="D1518">
        <v>201509</v>
      </c>
      <c r="E1518" s="1">
        <v>42244</v>
      </c>
      <c r="F1518" s="1">
        <v>42275</v>
      </c>
      <c r="G1518" t="s">
        <v>441</v>
      </c>
      <c r="H1518" s="81">
        <v>85</v>
      </c>
      <c r="I1518" t="s">
        <v>47</v>
      </c>
      <c r="J1518" s="3">
        <v>1101.4100000000001</v>
      </c>
    </row>
    <row r="1519" spans="1:10" x14ac:dyDescent="0.25">
      <c r="A1519" t="s">
        <v>361</v>
      </c>
      <c r="B1519" t="s">
        <v>59</v>
      </c>
      <c r="C1519" s="82">
        <v>301865432</v>
      </c>
      <c r="D1519">
        <v>201510</v>
      </c>
      <c r="E1519" s="1">
        <v>42276</v>
      </c>
      <c r="F1519" s="1">
        <v>42310</v>
      </c>
      <c r="G1519" t="s">
        <v>441</v>
      </c>
      <c r="H1519" s="81">
        <v>66</v>
      </c>
      <c r="I1519" t="s">
        <v>47</v>
      </c>
      <c r="J1519" s="3">
        <v>859.16</v>
      </c>
    </row>
    <row r="1520" spans="1:10" x14ac:dyDescent="0.25">
      <c r="A1520" t="s">
        <v>361</v>
      </c>
      <c r="B1520" t="s">
        <v>59</v>
      </c>
      <c r="C1520" s="82">
        <v>301865432</v>
      </c>
      <c r="D1520">
        <v>201511</v>
      </c>
      <c r="E1520" s="1">
        <v>42311</v>
      </c>
      <c r="F1520" s="1">
        <v>42341</v>
      </c>
      <c r="G1520" t="s">
        <v>441</v>
      </c>
      <c r="H1520" s="81">
        <v>45</v>
      </c>
      <c r="I1520" t="s">
        <v>47</v>
      </c>
      <c r="J1520" s="3">
        <v>623.36</v>
      </c>
    </row>
    <row r="1521" spans="1:10" x14ac:dyDescent="0.25">
      <c r="A1521" t="s">
        <v>361</v>
      </c>
      <c r="B1521" t="s">
        <v>59</v>
      </c>
      <c r="C1521" s="82">
        <v>301865432</v>
      </c>
      <c r="D1521">
        <v>201512</v>
      </c>
      <c r="E1521" s="1">
        <v>42342</v>
      </c>
      <c r="F1521" s="1">
        <v>42369</v>
      </c>
      <c r="G1521" t="s">
        <v>441</v>
      </c>
      <c r="H1521" s="81">
        <v>32</v>
      </c>
      <c r="I1521" t="s">
        <v>47</v>
      </c>
      <c r="J1521" s="3">
        <v>503.76</v>
      </c>
    </row>
    <row r="1522" spans="1:10" x14ac:dyDescent="0.25">
      <c r="A1522" t="s">
        <v>361</v>
      </c>
      <c r="B1522" t="s">
        <v>59</v>
      </c>
      <c r="C1522" s="82">
        <v>301865432</v>
      </c>
      <c r="D1522">
        <v>201601</v>
      </c>
      <c r="E1522" s="1">
        <v>42370</v>
      </c>
      <c r="F1522" s="1">
        <v>42402</v>
      </c>
      <c r="G1522" t="s">
        <v>441</v>
      </c>
      <c r="H1522" s="81">
        <v>28</v>
      </c>
      <c r="I1522" t="s">
        <v>47</v>
      </c>
      <c r="J1522" s="3">
        <v>466.96</v>
      </c>
    </row>
    <row r="1523" spans="1:10" x14ac:dyDescent="0.25">
      <c r="A1523" t="s">
        <v>361</v>
      </c>
      <c r="B1523" t="s">
        <v>59</v>
      </c>
      <c r="C1523" s="82">
        <v>301865432</v>
      </c>
      <c r="D1523">
        <v>201602</v>
      </c>
      <c r="E1523" s="1">
        <v>42403</v>
      </c>
      <c r="F1523" s="1">
        <v>42433</v>
      </c>
      <c r="G1523" t="s">
        <v>441</v>
      </c>
      <c r="H1523" s="81">
        <v>52</v>
      </c>
      <c r="I1523" t="s">
        <v>47</v>
      </c>
      <c r="J1523" s="3">
        <v>687.76</v>
      </c>
    </row>
    <row r="1524" spans="1:10" x14ac:dyDescent="0.25">
      <c r="A1524" t="s">
        <v>361</v>
      </c>
      <c r="B1524" t="s">
        <v>59</v>
      </c>
      <c r="C1524" s="82">
        <v>301865432</v>
      </c>
      <c r="D1524">
        <v>201603</v>
      </c>
      <c r="E1524" s="1">
        <v>42434</v>
      </c>
      <c r="F1524" s="1">
        <v>42461</v>
      </c>
      <c r="G1524" t="s">
        <v>441</v>
      </c>
      <c r="H1524" s="81">
        <v>35</v>
      </c>
      <c r="I1524" t="s">
        <v>47</v>
      </c>
      <c r="J1524" s="3">
        <v>538.05999999999995</v>
      </c>
    </row>
    <row r="1525" spans="1:10" x14ac:dyDescent="0.25">
      <c r="A1525" t="s">
        <v>361</v>
      </c>
      <c r="B1525" t="s">
        <v>59</v>
      </c>
      <c r="C1525" s="82">
        <v>301865432</v>
      </c>
      <c r="D1525">
        <v>201604</v>
      </c>
      <c r="E1525" s="1">
        <v>42462</v>
      </c>
      <c r="F1525" s="1">
        <v>42493</v>
      </c>
      <c r="G1525" t="s">
        <v>441</v>
      </c>
      <c r="H1525" s="81">
        <v>54</v>
      </c>
      <c r="I1525" t="s">
        <v>47</v>
      </c>
      <c r="J1525" s="3">
        <v>715.33</v>
      </c>
    </row>
    <row r="1526" spans="1:10" x14ac:dyDescent="0.25">
      <c r="A1526" t="s">
        <v>361</v>
      </c>
      <c r="B1526" t="s">
        <v>59</v>
      </c>
      <c r="C1526" s="82">
        <v>301865432</v>
      </c>
      <c r="D1526">
        <v>201605</v>
      </c>
      <c r="E1526" s="1">
        <v>42494</v>
      </c>
      <c r="F1526" s="1">
        <v>42521</v>
      </c>
      <c r="G1526" t="s">
        <v>441</v>
      </c>
      <c r="H1526" s="81">
        <v>17</v>
      </c>
      <c r="I1526" t="s">
        <v>47</v>
      </c>
      <c r="J1526" s="3">
        <v>370.12</v>
      </c>
    </row>
    <row r="1527" spans="1:10" x14ac:dyDescent="0.25">
      <c r="A1527" t="s">
        <v>361</v>
      </c>
      <c r="B1527" t="s">
        <v>59</v>
      </c>
      <c r="C1527" s="82">
        <v>301865432</v>
      </c>
      <c r="D1527">
        <v>201606</v>
      </c>
      <c r="E1527" s="1">
        <v>42522</v>
      </c>
      <c r="F1527" s="1">
        <v>42550</v>
      </c>
      <c r="G1527" t="s">
        <v>441</v>
      </c>
      <c r="H1527" s="81">
        <v>11</v>
      </c>
      <c r="I1527" t="s">
        <v>47</v>
      </c>
      <c r="J1527" s="3">
        <v>314.14</v>
      </c>
    </row>
    <row r="1528" spans="1:10" x14ac:dyDescent="0.25">
      <c r="A1528" t="s">
        <v>400</v>
      </c>
      <c r="B1528" t="s">
        <v>59</v>
      </c>
      <c r="C1528" s="82">
        <v>301887287</v>
      </c>
      <c r="D1528">
        <v>201507</v>
      </c>
      <c r="E1528" s="1">
        <v>42186</v>
      </c>
      <c r="F1528" s="1">
        <v>42214</v>
      </c>
      <c r="G1528" t="s">
        <v>442</v>
      </c>
      <c r="H1528" s="81">
        <v>10</v>
      </c>
      <c r="I1528" t="s">
        <v>47</v>
      </c>
      <c r="J1528" s="3">
        <v>196.98</v>
      </c>
    </row>
    <row r="1529" spans="1:10" x14ac:dyDescent="0.25">
      <c r="A1529" t="s">
        <v>400</v>
      </c>
      <c r="B1529" t="s">
        <v>59</v>
      </c>
      <c r="C1529" s="82">
        <v>301887287</v>
      </c>
      <c r="D1529">
        <v>201508</v>
      </c>
      <c r="E1529" s="1">
        <v>42215</v>
      </c>
      <c r="F1529" s="1">
        <v>42243</v>
      </c>
      <c r="G1529" t="s">
        <v>442</v>
      </c>
      <c r="H1529" s="81">
        <v>27</v>
      </c>
      <c r="I1529" t="s">
        <v>47</v>
      </c>
      <c r="J1529" s="3">
        <v>375.13</v>
      </c>
    </row>
    <row r="1530" spans="1:10" x14ac:dyDescent="0.25">
      <c r="A1530" t="s">
        <v>400</v>
      </c>
      <c r="B1530" t="s">
        <v>59</v>
      </c>
      <c r="C1530" s="82">
        <v>301887287</v>
      </c>
      <c r="D1530">
        <v>201509</v>
      </c>
      <c r="E1530" s="1">
        <v>42244</v>
      </c>
      <c r="F1530" s="1">
        <v>42275</v>
      </c>
      <c r="G1530" t="s">
        <v>442</v>
      </c>
      <c r="H1530" s="81">
        <v>76</v>
      </c>
      <c r="I1530" t="s">
        <v>47</v>
      </c>
      <c r="J1530" s="3">
        <v>850.78</v>
      </c>
    </row>
    <row r="1531" spans="1:10" x14ac:dyDescent="0.25">
      <c r="A1531" t="s">
        <v>400</v>
      </c>
      <c r="B1531" t="s">
        <v>59</v>
      </c>
      <c r="C1531" s="82">
        <v>301887287</v>
      </c>
      <c r="D1531">
        <v>201510</v>
      </c>
      <c r="E1531" s="1">
        <v>42276</v>
      </c>
      <c r="F1531" s="1">
        <v>42310</v>
      </c>
      <c r="G1531" t="s">
        <v>442</v>
      </c>
      <c r="H1531" s="81">
        <v>66</v>
      </c>
      <c r="I1531" t="s">
        <v>47</v>
      </c>
      <c r="J1531" s="3">
        <v>733.93</v>
      </c>
    </row>
    <row r="1532" spans="1:10" x14ac:dyDescent="0.25">
      <c r="A1532" t="s">
        <v>400</v>
      </c>
      <c r="B1532" t="s">
        <v>59</v>
      </c>
      <c r="C1532" s="82">
        <v>301887287</v>
      </c>
      <c r="D1532">
        <v>201511</v>
      </c>
      <c r="E1532" s="1">
        <v>42311</v>
      </c>
      <c r="F1532" s="1">
        <v>42341</v>
      </c>
      <c r="G1532" t="s">
        <v>442</v>
      </c>
      <c r="H1532" s="81">
        <v>48</v>
      </c>
      <c r="I1532" t="s">
        <v>47</v>
      </c>
      <c r="J1532" s="3">
        <v>568.33000000000004</v>
      </c>
    </row>
    <row r="1533" spans="1:10" x14ac:dyDescent="0.25">
      <c r="A1533" t="s">
        <v>400</v>
      </c>
      <c r="B1533" t="s">
        <v>59</v>
      </c>
      <c r="C1533" s="82">
        <v>301887287</v>
      </c>
      <c r="D1533">
        <v>201512</v>
      </c>
      <c r="E1533" s="1">
        <v>42342</v>
      </c>
      <c r="F1533" s="1">
        <v>42369</v>
      </c>
      <c r="G1533" t="s">
        <v>442</v>
      </c>
      <c r="H1533" s="81">
        <v>34</v>
      </c>
      <c r="I1533" t="s">
        <v>47</v>
      </c>
      <c r="J1533" s="3">
        <v>439.53</v>
      </c>
    </row>
    <row r="1534" spans="1:10" x14ac:dyDescent="0.25">
      <c r="A1534" t="s">
        <v>400</v>
      </c>
      <c r="B1534" t="s">
        <v>59</v>
      </c>
      <c r="C1534" s="82">
        <v>301887287</v>
      </c>
      <c r="D1534">
        <v>201601</v>
      </c>
      <c r="E1534" s="1">
        <v>42370</v>
      </c>
      <c r="F1534" s="1">
        <v>42402</v>
      </c>
      <c r="G1534" t="s">
        <v>442</v>
      </c>
      <c r="H1534" s="81">
        <v>31</v>
      </c>
      <c r="I1534" t="s">
        <v>47</v>
      </c>
      <c r="J1534" s="3">
        <v>411.93</v>
      </c>
    </row>
    <row r="1535" spans="1:10" x14ac:dyDescent="0.25">
      <c r="A1535" t="s">
        <v>400</v>
      </c>
      <c r="B1535" t="s">
        <v>59</v>
      </c>
      <c r="C1535" s="82">
        <v>301887287</v>
      </c>
      <c r="D1535">
        <v>201602</v>
      </c>
      <c r="E1535" s="1">
        <v>42403</v>
      </c>
      <c r="F1535" s="1">
        <v>42433</v>
      </c>
      <c r="G1535" t="s">
        <v>442</v>
      </c>
      <c r="H1535" s="81">
        <v>58</v>
      </c>
      <c r="I1535" t="s">
        <v>47</v>
      </c>
      <c r="J1535" s="3">
        <v>660.33</v>
      </c>
    </row>
    <row r="1536" spans="1:10" x14ac:dyDescent="0.25">
      <c r="A1536" t="s">
        <v>400</v>
      </c>
      <c r="B1536" t="s">
        <v>59</v>
      </c>
      <c r="C1536" s="82">
        <v>301887287</v>
      </c>
      <c r="D1536">
        <v>201603</v>
      </c>
      <c r="E1536" s="1">
        <v>42434</v>
      </c>
      <c r="F1536" s="1">
        <v>42461</v>
      </c>
      <c r="G1536" t="s">
        <v>442</v>
      </c>
      <c r="H1536" s="81">
        <v>42</v>
      </c>
      <c r="I1536" t="s">
        <v>47</v>
      </c>
      <c r="J1536" s="3">
        <v>520.16</v>
      </c>
    </row>
    <row r="1537" spans="1:10" x14ac:dyDescent="0.25">
      <c r="A1537" t="s">
        <v>400</v>
      </c>
      <c r="B1537" t="s">
        <v>59</v>
      </c>
      <c r="C1537" s="82">
        <v>301887287</v>
      </c>
      <c r="D1537">
        <v>201604</v>
      </c>
      <c r="E1537" s="1">
        <v>42462</v>
      </c>
      <c r="F1537" s="1">
        <v>42493</v>
      </c>
      <c r="G1537" t="s">
        <v>442</v>
      </c>
      <c r="H1537" s="81">
        <v>67</v>
      </c>
      <c r="I1537" t="s">
        <v>47</v>
      </c>
      <c r="J1537" s="3">
        <v>753.41</v>
      </c>
    </row>
    <row r="1538" spans="1:10" x14ac:dyDescent="0.25">
      <c r="A1538" t="s">
        <v>400</v>
      </c>
      <c r="B1538" t="s">
        <v>59</v>
      </c>
      <c r="C1538" s="82">
        <v>301887287</v>
      </c>
      <c r="D1538">
        <v>201605</v>
      </c>
      <c r="E1538" s="1">
        <v>42494</v>
      </c>
      <c r="F1538" s="1">
        <v>42521</v>
      </c>
      <c r="G1538" t="s">
        <v>442</v>
      </c>
      <c r="H1538" s="81">
        <v>17</v>
      </c>
      <c r="I1538" t="s">
        <v>47</v>
      </c>
      <c r="J1538" s="3">
        <v>286.91000000000003</v>
      </c>
    </row>
    <row r="1539" spans="1:10" x14ac:dyDescent="0.25">
      <c r="A1539" t="s">
        <v>400</v>
      </c>
      <c r="B1539" t="s">
        <v>59</v>
      </c>
      <c r="C1539" s="82">
        <v>301887287</v>
      </c>
      <c r="D1539">
        <v>201606</v>
      </c>
      <c r="E1539" s="1">
        <v>42522</v>
      </c>
      <c r="F1539" s="1">
        <v>42550</v>
      </c>
      <c r="G1539" t="s">
        <v>442</v>
      </c>
      <c r="H1539" s="81">
        <v>6</v>
      </c>
      <c r="I1539" t="s">
        <v>47</v>
      </c>
      <c r="J1539" s="3">
        <v>184.28</v>
      </c>
    </row>
    <row r="1540" spans="1:10" x14ac:dyDescent="0.25">
      <c r="A1540" t="s">
        <v>402</v>
      </c>
      <c r="B1540" t="s">
        <v>59</v>
      </c>
      <c r="C1540" s="82">
        <v>301887196</v>
      </c>
      <c r="D1540">
        <v>201507</v>
      </c>
      <c r="E1540" s="1">
        <v>42186</v>
      </c>
      <c r="F1540" s="1">
        <v>42214</v>
      </c>
      <c r="G1540" t="s">
        <v>443</v>
      </c>
      <c r="H1540" s="81">
        <v>0</v>
      </c>
      <c r="I1540" t="s">
        <v>47</v>
      </c>
      <c r="J1540" s="3">
        <v>105.28</v>
      </c>
    </row>
    <row r="1541" spans="1:10" x14ac:dyDescent="0.25">
      <c r="A1541" t="s">
        <v>402</v>
      </c>
      <c r="B1541" t="s">
        <v>59</v>
      </c>
      <c r="C1541" s="82">
        <v>301887196</v>
      </c>
      <c r="D1541">
        <v>201508</v>
      </c>
      <c r="E1541" s="1">
        <v>42215</v>
      </c>
      <c r="F1541" s="1">
        <v>42243</v>
      </c>
      <c r="G1541" t="s">
        <v>443</v>
      </c>
      <c r="H1541" s="81">
        <v>6</v>
      </c>
      <c r="I1541" t="s">
        <v>47</v>
      </c>
      <c r="J1541" s="3">
        <v>181.93</v>
      </c>
    </row>
    <row r="1542" spans="1:10" x14ac:dyDescent="0.25">
      <c r="A1542" t="s">
        <v>402</v>
      </c>
      <c r="B1542" t="s">
        <v>59</v>
      </c>
      <c r="C1542" s="82">
        <v>301887196</v>
      </c>
      <c r="D1542">
        <v>201509</v>
      </c>
      <c r="E1542" s="1">
        <v>42244</v>
      </c>
      <c r="F1542" s="1">
        <v>42275</v>
      </c>
      <c r="G1542" t="s">
        <v>443</v>
      </c>
      <c r="H1542" s="81">
        <v>74</v>
      </c>
      <c r="I1542" t="s">
        <v>47</v>
      </c>
      <c r="J1542" s="3">
        <v>807.53</v>
      </c>
    </row>
    <row r="1543" spans="1:10" x14ac:dyDescent="0.25">
      <c r="A1543" t="s">
        <v>402</v>
      </c>
      <c r="B1543" t="s">
        <v>59</v>
      </c>
      <c r="C1543" s="82">
        <v>301887196</v>
      </c>
      <c r="D1543">
        <v>201510</v>
      </c>
      <c r="E1543" s="1">
        <v>42276</v>
      </c>
      <c r="F1543" s="1">
        <v>42310</v>
      </c>
      <c r="G1543" t="s">
        <v>443</v>
      </c>
      <c r="H1543" s="81">
        <v>77</v>
      </c>
      <c r="I1543" t="s">
        <v>47</v>
      </c>
      <c r="J1543" s="3">
        <v>835.13</v>
      </c>
    </row>
    <row r="1544" spans="1:10" x14ac:dyDescent="0.25">
      <c r="A1544" t="s">
        <v>402</v>
      </c>
      <c r="B1544" t="s">
        <v>59</v>
      </c>
      <c r="C1544" s="82">
        <v>301887196</v>
      </c>
      <c r="D1544">
        <v>201511</v>
      </c>
      <c r="E1544" s="1">
        <v>42311</v>
      </c>
      <c r="F1544" s="1">
        <v>42341</v>
      </c>
      <c r="G1544" t="s">
        <v>443</v>
      </c>
      <c r="H1544" s="81">
        <v>56</v>
      </c>
      <c r="I1544" t="s">
        <v>47</v>
      </c>
      <c r="J1544" s="3">
        <v>641.92999999999995</v>
      </c>
    </row>
    <row r="1545" spans="1:10" x14ac:dyDescent="0.25">
      <c r="A1545" t="s">
        <v>402</v>
      </c>
      <c r="B1545" t="s">
        <v>59</v>
      </c>
      <c r="C1545" s="82">
        <v>301887196</v>
      </c>
      <c r="D1545">
        <v>201512</v>
      </c>
      <c r="E1545" s="1">
        <v>42342</v>
      </c>
      <c r="F1545" s="1">
        <v>42369</v>
      </c>
      <c r="G1545" t="s">
        <v>443</v>
      </c>
      <c r="H1545" s="81">
        <v>39</v>
      </c>
      <c r="I1545" t="s">
        <v>47</v>
      </c>
      <c r="J1545" s="3">
        <v>485.53</v>
      </c>
    </row>
    <row r="1546" spans="1:10" x14ac:dyDescent="0.25">
      <c r="A1546" t="s">
        <v>402</v>
      </c>
      <c r="B1546" t="s">
        <v>59</v>
      </c>
      <c r="C1546" s="82">
        <v>301887196</v>
      </c>
      <c r="D1546">
        <v>201601</v>
      </c>
      <c r="E1546" s="1">
        <v>42370</v>
      </c>
      <c r="F1546" s="1">
        <v>42402</v>
      </c>
      <c r="G1546" t="s">
        <v>443</v>
      </c>
      <c r="H1546" s="81">
        <v>35</v>
      </c>
      <c r="I1546" t="s">
        <v>47</v>
      </c>
      <c r="J1546" s="3">
        <v>448.73</v>
      </c>
    </row>
    <row r="1547" spans="1:10" x14ac:dyDescent="0.25">
      <c r="A1547" t="s">
        <v>402</v>
      </c>
      <c r="B1547" t="s">
        <v>59</v>
      </c>
      <c r="C1547" s="82">
        <v>301887196</v>
      </c>
      <c r="D1547">
        <v>201602</v>
      </c>
      <c r="E1547" s="1">
        <v>42403</v>
      </c>
      <c r="F1547" s="1">
        <v>42433</v>
      </c>
      <c r="G1547" t="s">
        <v>443</v>
      </c>
      <c r="H1547" s="81">
        <v>67</v>
      </c>
      <c r="I1547" t="s">
        <v>47</v>
      </c>
      <c r="J1547" s="3">
        <v>743.13</v>
      </c>
    </row>
    <row r="1548" spans="1:10" x14ac:dyDescent="0.25">
      <c r="A1548" t="s">
        <v>402</v>
      </c>
      <c r="B1548" t="s">
        <v>59</v>
      </c>
      <c r="C1548" s="82">
        <v>301887196</v>
      </c>
      <c r="D1548">
        <v>201603</v>
      </c>
      <c r="E1548" s="1">
        <v>42434</v>
      </c>
      <c r="F1548" s="1">
        <v>42461</v>
      </c>
      <c r="G1548" t="s">
        <v>443</v>
      </c>
      <c r="H1548" s="81">
        <v>46</v>
      </c>
      <c r="I1548" t="s">
        <v>47</v>
      </c>
      <c r="J1548" s="3">
        <v>557.48</v>
      </c>
    </row>
    <row r="1549" spans="1:10" x14ac:dyDescent="0.25">
      <c r="A1549" t="s">
        <v>402</v>
      </c>
      <c r="B1549" t="s">
        <v>59</v>
      </c>
      <c r="C1549" s="82">
        <v>301887196</v>
      </c>
      <c r="D1549">
        <v>201604</v>
      </c>
      <c r="E1549" s="1">
        <v>42462</v>
      </c>
      <c r="F1549" s="1">
        <v>42493</v>
      </c>
      <c r="G1549" t="s">
        <v>443</v>
      </c>
      <c r="H1549" s="81">
        <v>70</v>
      </c>
      <c r="I1549" t="s">
        <v>47</v>
      </c>
      <c r="J1549" s="3">
        <v>781.4</v>
      </c>
    </row>
    <row r="1550" spans="1:10" x14ac:dyDescent="0.25">
      <c r="A1550" t="s">
        <v>402</v>
      </c>
      <c r="B1550" t="s">
        <v>59</v>
      </c>
      <c r="C1550" s="82">
        <v>301887196</v>
      </c>
      <c r="D1550">
        <v>201605</v>
      </c>
      <c r="E1550" s="1">
        <v>42494</v>
      </c>
      <c r="F1550" s="1">
        <v>42521</v>
      </c>
      <c r="G1550" t="s">
        <v>443</v>
      </c>
      <c r="H1550" s="81">
        <v>18</v>
      </c>
      <c r="I1550" t="s">
        <v>47</v>
      </c>
      <c r="J1550" s="3">
        <v>296.24</v>
      </c>
    </row>
    <row r="1551" spans="1:10" x14ac:dyDescent="0.25">
      <c r="A1551" t="s">
        <v>402</v>
      </c>
      <c r="B1551" t="s">
        <v>59</v>
      </c>
      <c r="C1551" s="82">
        <v>301887196</v>
      </c>
      <c r="D1551">
        <v>201606</v>
      </c>
      <c r="E1551" s="1">
        <v>42522</v>
      </c>
      <c r="F1551" s="1">
        <v>42550</v>
      </c>
      <c r="G1551" t="s">
        <v>443</v>
      </c>
      <c r="H1551" s="81">
        <v>4</v>
      </c>
      <c r="I1551" t="s">
        <v>47</v>
      </c>
      <c r="J1551" s="3">
        <v>165.62</v>
      </c>
    </row>
    <row r="1552" spans="1:10" x14ac:dyDescent="0.25">
      <c r="A1552" t="s">
        <v>48</v>
      </c>
      <c r="B1552" t="s">
        <v>59</v>
      </c>
      <c r="C1552" s="82">
        <v>306220302</v>
      </c>
      <c r="D1552">
        <v>201507</v>
      </c>
      <c r="E1552" s="1">
        <v>42186</v>
      </c>
      <c r="F1552" s="1">
        <v>42214</v>
      </c>
      <c r="G1552" t="s">
        <v>444</v>
      </c>
      <c r="H1552" s="81">
        <v>186</v>
      </c>
      <c r="I1552" t="s">
        <v>47</v>
      </c>
      <c r="J1552" s="3">
        <v>1753.25</v>
      </c>
    </row>
    <row r="1553" spans="1:10" x14ac:dyDescent="0.25">
      <c r="A1553" t="s">
        <v>48</v>
      </c>
      <c r="B1553" t="s">
        <v>59</v>
      </c>
      <c r="C1553" s="82">
        <v>306220302</v>
      </c>
      <c r="D1553">
        <v>201508</v>
      </c>
      <c r="E1553" s="1">
        <v>42215</v>
      </c>
      <c r="F1553" s="1">
        <v>42243</v>
      </c>
      <c r="G1553" t="s">
        <v>444</v>
      </c>
      <c r="H1553" s="81">
        <v>105</v>
      </c>
      <c r="I1553" t="s">
        <v>47</v>
      </c>
      <c r="J1553" s="3">
        <v>1101.28</v>
      </c>
    </row>
    <row r="1554" spans="1:10" x14ac:dyDescent="0.25">
      <c r="A1554" t="s">
        <v>48</v>
      </c>
      <c r="B1554" t="s">
        <v>59</v>
      </c>
      <c r="C1554" s="82">
        <v>306220302</v>
      </c>
      <c r="D1554">
        <v>201509</v>
      </c>
      <c r="E1554" s="1">
        <v>42244</v>
      </c>
      <c r="F1554" s="1">
        <v>42275</v>
      </c>
      <c r="G1554" t="s">
        <v>444</v>
      </c>
      <c r="H1554" s="81">
        <v>574</v>
      </c>
      <c r="I1554" t="s">
        <v>47</v>
      </c>
      <c r="J1554" s="3">
        <v>5216.58</v>
      </c>
    </row>
    <row r="1555" spans="1:10" x14ac:dyDescent="0.25">
      <c r="A1555" t="s">
        <v>48</v>
      </c>
      <c r="B1555" t="s">
        <v>59</v>
      </c>
      <c r="C1555" s="82">
        <v>306220302</v>
      </c>
      <c r="D1555">
        <v>201510</v>
      </c>
      <c r="E1555" s="1">
        <v>42276</v>
      </c>
      <c r="F1555" s="1">
        <v>42310</v>
      </c>
      <c r="G1555" t="s">
        <v>444</v>
      </c>
      <c r="H1555" s="81">
        <v>401</v>
      </c>
      <c r="I1555" t="s">
        <v>47</v>
      </c>
      <c r="J1555" s="3">
        <v>3784.58</v>
      </c>
    </row>
    <row r="1556" spans="1:10" x14ac:dyDescent="0.25">
      <c r="A1556" t="s">
        <v>48</v>
      </c>
      <c r="B1556" t="s">
        <v>59</v>
      </c>
      <c r="C1556" s="82">
        <v>306220302</v>
      </c>
      <c r="D1556">
        <v>201511</v>
      </c>
      <c r="E1556" s="1">
        <v>42311</v>
      </c>
      <c r="F1556" s="1">
        <v>42341</v>
      </c>
      <c r="G1556" t="s">
        <v>444</v>
      </c>
      <c r="H1556" s="81">
        <v>353</v>
      </c>
      <c r="I1556" t="s">
        <v>47</v>
      </c>
      <c r="J1556" s="3">
        <v>3382.88</v>
      </c>
    </row>
    <row r="1557" spans="1:10" x14ac:dyDescent="0.25">
      <c r="A1557" t="s">
        <v>48</v>
      </c>
      <c r="B1557" t="s">
        <v>59</v>
      </c>
      <c r="C1557" s="82">
        <v>306220302</v>
      </c>
      <c r="D1557">
        <v>201512</v>
      </c>
      <c r="E1557" s="1">
        <v>42342</v>
      </c>
      <c r="F1557" s="1">
        <v>42369</v>
      </c>
      <c r="G1557" t="s">
        <v>444</v>
      </c>
      <c r="H1557" s="81">
        <v>288</v>
      </c>
      <c r="I1557" t="s">
        <v>47</v>
      </c>
      <c r="J1557" s="3">
        <v>2784.88</v>
      </c>
    </row>
    <row r="1558" spans="1:10" x14ac:dyDescent="0.25">
      <c r="A1558" t="s">
        <v>48</v>
      </c>
      <c r="B1558" t="s">
        <v>59</v>
      </c>
      <c r="C1558" s="82">
        <v>306220302</v>
      </c>
      <c r="D1558">
        <v>201601</v>
      </c>
      <c r="E1558" s="1">
        <v>42370</v>
      </c>
      <c r="F1558" s="1">
        <v>42402</v>
      </c>
      <c r="G1558" t="s">
        <v>444</v>
      </c>
      <c r="H1558" s="81">
        <v>276</v>
      </c>
      <c r="I1558" t="s">
        <v>47</v>
      </c>
      <c r="J1558" s="3">
        <v>2674.48</v>
      </c>
    </row>
    <row r="1559" spans="1:10" x14ac:dyDescent="0.25">
      <c r="A1559" t="s">
        <v>48</v>
      </c>
      <c r="B1559" t="s">
        <v>59</v>
      </c>
      <c r="C1559" s="82">
        <v>306220302</v>
      </c>
      <c r="D1559">
        <v>201602</v>
      </c>
      <c r="E1559" s="1">
        <v>42403</v>
      </c>
      <c r="F1559" s="1">
        <v>42433</v>
      </c>
      <c r="G1559" t="s">
        <v>444</v>
      </c>
      <c r="H1559" s="81">
        <v>428</v>
      </c>
      <c r="I1559" t="s">
        <v>47</v>
      </c>
      <c r="J1559" s="3">
        <v>4072.88</v>
      </c>
    </row>
    <row r="1560" spans="1:10" x14ac:dyDescent="0.25">
      <c r="A1560" t="s">
        <v>48</v>
      </c>
      <c r="B1560" t="s">
        <v>59</v>
      </c>
      <c r="C1560" s="82">
        <v>306220302</v>
      </c>
      <c r="D1560">
        <v>201603</v>
      </c>
      <c r="E1560" s="1">
        <v>42434</v>
      </c>
      <c r="F1560" s="1">
        <v>42461</v>
      </c>
      <c r="G1560" t="s">
        <v>444</v>
      </c>
      <c r="H1560" s="81">
        <v>275</v>
      </c>
      <c r="I1560" t="s">
        <v>47</v>
      </c>
      <c r="J1560" s="3">
        <v>2703.07</v>
      </c>
    </row>
    <row r="1561" spans="1:10" x14ac:dyDescent="0.25">
      <c r="A1561" t="s">
        <v>48</v>
      </c>
      <c r="B1561" t="s">
        <v>59</v>
      </c>
      <c r="C1561" s="82">
        <v>306220302</v>
      </c>
      <c r="D1561">
        <v>201604</v>
      </c>
      <c r="E1561" s="1">
        <v>42462</v>
      </c>
      <c r="F1561" s="1">
        <v>42493</v>
      </c>
      <c r="G1561" t="s">
        <v>444</v>
      </c>
      <c r="H1561" s="81">
        <v>441</v>
      </c>
      <c r="I1561" t="s">
        <v>47</v>
      </c>
      <c r="J1561" s="3">
        <v>4245.2</v>
      </c>
    </row>
    <row r="1562" spans="1:10" x14ac:dyDescent="0.25">
      <c r="A1562" t="s">
        <v>48</v>
      </c>
      <c r="B1562" t="s">
        <v>59</v>
      </c>
      <c r="C1562" s="82">
        <v>306220302</v>
      </c>
      <c r="D1562">
        <v>201605</v>
      </c>
      <c r="E1562" s="1">
        <v>42494</v>
      </c>
      <c r="F1562" s="1">
        <v>42521</v>
      </c>
      <c r="G1562" t="s">
        <v>444</v>
      </c>
      <c r="H1562" s="81">
        <v>211</v>
      </c>
      <c r="I1562" t="s">
        <v>47</v>
      </c>
      <c r="J1562" s="3">
        <v>2099.3000000000002</v>
      </c>
    </row>
    <row r="1563" spans="1:10" x14ac:dyDescent="0.25">
      <c r="A1563" t="s">
        <v>48</v>
      </c>
      <c r="B1563" t="s">
        <v>59</v>
      </c>
      <c r="C1563" s="82">
        <v>306220302</v>
      </c>
      <c r="D1563">
        <v>201606</v>
      </c>
      <c r="E1563" s="1">
        <v>42522</v>
      </c>
      <c r="F1563" s="1">
        <v>42550</v>
      </c>
      <c r="G1563" t="s">
        <v>444</v>
      </c>
      <c r="H1563" s="81">
        <v>96</v>
      </c>
      <c r="I1563" t="s">
        <v>47</v>
      </c>
      <c r="J1563" s="3">
        <v>806.9</v>
      </c>
    </row>
    <row r="1564" spans="1:10" x14ac:dyDescent="0.25">
      <c r="A1564" t="s">
        <v>68</v>
      </c>
      <c r="B1564" t="s">
        <v>59</v>
      </c>
      <c r="C1564" s="82">
        <v>306220385</v>
      </c>
      <c r="D1564">
        <v>201507</v>
      </c>
      <c r="E1564" s="1">
        <v>42186</v>
      </c>
      <c r="F1564" s="1">
        <v>42214</v>
      </c>
      <c r="G1564" t="s">
        <v>445</v>
      </c>
      <c r="H1564" s="81">
        <v>610</v>
      </c>
      <c r="I1564" t="s">
        <v>47</v>
      </c>
      <c r="J1564" s="3">
        <v>6303.17</v>
      </c>
    </row>
    <row r="1565" spans="1:10" x14ac:dyDescent="0.25">
      <c r="A1565" t="s">
        <v>68</v>
      </c>
      <c r="B1565" t="s">
        <v>59</v>
      </c>
      <c r="C1565" s="82">
        <v>306220385</v>
      </c>
      <c r="D1565">
        <v>201508</v>
      </c>
      <c r="E1565" s="1">
        <v>42215</v>
      </c>
      <c r="F1565" s="1">
        <v>42243</v>
      </c>
      <c r="G1565" t="s">
        <v>445</v>
      </c>
      <c r="H1565" s="81">
        <v>1155</v>
      </c>
      <c r="I1565" t="s">
        <v>47</v>
      </c>
      <c r="J1565" s="3">
        <v>13097.98</v>
      </c>
    </row>
    <row r="1566" spans="1:10" x14ac:dyDescent="0.25">
      <c r="A1566" t="s">
        <v>68</v>
      </c>
      <c r="B1566" t="s">
        <v>59</v>
      </c>
      <c r="C1566" s="82">
        <v>306220385</v>
      </c>
      <c r="D1566">
        <v>201509</v>
      </c>
      <c r="E1566" s="1">
        <v>42244</v>
      </c>
      <c r="F1566" s="1">
        <v>42275</v>
      </c>
      <c r="G1566" t="s">
        <v>445</v>
      </c>
      <c r="H1566" s="81">
        <v>1000</v>
      </c>
      <c r="I1566" t="s">
        <v>47</v>
      </c>
      <c r="J1566" s="3">
        <v>11427.63</v>
      </c>
    </row>
    <row r="1567" spans="1:10" x14ac:dyDescent="0.25">
      <c r="A1567" t="s">
        <v>68</v>
      </c>
      <c r="B1567" t="s">
        <v>59</v>
      </c>
      <c r="C1567" s="82">
        <v>306220385</v>
      </c>
      <c r="D1567">
        <v>201510</v>
      </c>
      <c r="E1567" s="1">
        <v>42276</v>
      </c>
      <c r="F1567" s="1">
        <v>42310</v>
      </c>
      <c r="G1567" t="s">
        <v>445</v>
      </c>
      <c r="H1567" s="81">
        <v>908</v>
      </c>
      <c r="I1567" t="s">
        <v>47</v>
      </c>
      <c r="J1567" s="3">
        <v>10327.780000000001</v>
      </c>
    </row>
    <row r="1568" spans="1:10" x14ac:dyDescent="0.25">
      <c r="A1568" t="s">
        <v>68</v>
      </c>
      <c r="B1568" t="s">
        <v>59</v>
      </c>
      <c r="C1568" s="82">
        <v>306220385</v>
      </c>
      <c r="D1568">
        <v>201511</v>
      </c>
      <c r="E1568" s="1">
        <v>42311</v>
      </c>
      <c r="F1568" s="1">
        <v>42341</v>
      </c>
      <c r="G1568" t="s">
        <v>445</v>
      </c>
      <c r="H1568" s="81">
        <v>662</v>
      </c>
      <c r="I1568" t="s">
        <v>47</v>
      </c>
      <c r="J1568" s="3">
        <v>7191.28</v>
      </c>
    </row>
    <row r="1569" spans="1:10" x14ac:dyDescent="0.25">
      <c r="A1569" t="s">
        <v>68</v>
      </c>
      <c r="B1569" t="s">
        <v>59</v>
      </c>
      <c r="C1569" s="82">
        <v>306220385</v>
      </c>
      <c r="D1569">
        <v>201512</v>
      </c>
      <c r="E1569" s="1">
        <v>42342</v>
      </c>
      <c r="F1569" s="1">
        <v>42369</v>
      </c>
      <c r="G1569" t="s">
        <v>445</v>
      </c>
      <c r="H1569" s="81">
        <v>593</v>
      </c>
      <c r="I1569" t="s">
        <v>47</v>
      </c>
      <c r="J1569" s="3">
        <v>5590.88</v>
      </c>
    </row>
    <row r="1570" spans="1:10" x14ac:dyDescent="0.25">
      <c r="A1570" t="s">
        <v>68</v>
      </c>
      <c r="B1570" t="s">
        <v>59</v>
      </c>
      <c r="C1570" s="82">
        <v>306220385</v>
      </c>
      <c r="D1570">
        <v>201601</v>
      </c>
      <c r="E1570" s="1">
        <v>42370</v>
      </c>
      <c r="F1570" s="1">
        <v>42402</v>
      </c>
      <c r="G1570" t="s">
        <v>445</v>
      </c>
      <c r="H1570" s="81">
        <v>651</v>
      </c>
      <c r="I1570" t="s">
        <v>47</v>
      </c>
      <c r="J1570" s="3">
        <v>6124.48</v>
      </c>
    </row>
    <row r="1571" spans="1:10" x14ac:dyDescent="0.25">
      <c r="A1571" t="s">
        <v>68</v>
      </c>
      <c r="B1571" t="s">
        <v>59</v>
      </c>
      <c r="C1571" s="82">
        <v>306220385</v>
      </c>
      <c r="D1571">
        <v>201602</v>
      </c>
      <c r="E1571" s="1">
        <v>42403</v>
      </c>
      <c r="F1571" s="1">
        <v>42433</v>
      </c>
      <c r="G1571" t="s">
        <v>445</v>
      </c>
      <c r="H1571" s="81">
        <v>713</v>
      </c>
      <c r="I1571" t="s">
        <v>47</v>
      </c>
      <c r="J1571" s="3">
        <v>6694.88</v>
      </c>
    </row>
    <row r="1572" spans="1:10" x14ac:dyDescent="0.25">
      <c r="A1572" t="s">
        <v>68</v>
      </c>
      <c r="B1572" t="s">
        <v>59</v>
      </c>
      <c r="C1572" s="82">
        <v>306220385</v>
      </c>
      <c r="D1572">
        <v>201603</v>
      </c>
      <c r="E1572" s="1">
        <v>42434</v>
      </c>
      <c r="F1572" s="1">
        <v>42461</v>
      </c>
      <c r="G1572" t="s">
        <v>445</v>
      </c>
      <c r="H1572" s="81">
        <v>431</v>
      </c>
      <c r="I1572" t="s">
        <v>47</v>
      </c>
      <c r="J1572" s="3">
        <v>5091.55</v>
      </c>
    </row>
    <row r="1573" spans="1:10" x14ac:dyDescent="0.25">
      <c r="A1573" t="s">
        <v>68</v>
      </c>
      <c r="B1573" t="s">
        <v>59</v>
      </c>
      <c r="C1573" s="82">
        <v>306220385</v>
      </c>
      <c r="D1573">
        <v>201604</v>
      </c>
      <c r="E1573" s="1">
        <v>42462</v>
      </c>
      <c r="F1573" s="1">
        <v>42493</v>
      </c>
      <c r="G1573" t="s">
        <v>445</v>
      </c>
      <c r="H1573" s="81">
        <v>676</v>
      </c>
      <c r="I1573" t="s">
        <v>47</v>
      </c>
      <c r="J1573" s="3">
        <v>6437.75</v>
      </c>
    </row>
    <row r="1574" spans="1:10" x14ac:dyDescent="0.25">
      <c r="A1574" t="s">
        <v>68</v>
      </c>
      <c r="B1574" t="s">
        <v>59</v>
      </c>
      <c r="C1574" s="82">
        <v>306220385</v>
      </c>
      <c r="D1574">
        <v>201605</v>
      </c>
      <c r="E1574" s="1">
        <v>42494</v>
      </c>
      <c r="F1574" s="1">
        <v>42521</v>
      </c>
      <c r="G1574" t="s">
        <v>445</v>
      </c>
      <c r="H1574" s="81">
        <v>396</v>
      </c>
      <c r="I1574" t="s">
        <v>47</v>
      </c>
      <c r="J1574" s="3">
        <v>3832</v>
      </c>
    </row>
    <row r="1575" spans="1:10" x14ac:dyDescent="0.25">
      <c r="A1575" t="s">
        <v>68</v>
      </c>
      <c r="B1575" t="s">
        <v>59</v>
      </c>
      <c r="C1575" s="82">
        <v>306220385</v>
      </c>
      <c r="D1575">
        <v>201606</v>
      </c>
      <c r="E1575" s="1">
        <v>42522</v>
      </c>
      <c r="F1575" s="1">
        <v>42550</v>
      </c>
      <c r="G1575" t="s">
        <v>445</v>
      </c>
      <c r="H1575" s="81">
        <v>228</v>
      </c>
      <c r="I1575" t="s">
        <v>47</v>
      </c>
      <c r="J1575" s="3">
        <v>2264.56</v>
      </c>
    </row>
    <row r="1576" spans="1:10" x14ac:dyDescent="0.25">
      <c r="A1576" t="s">
        <v>408</v>
      </c>
      <c r="B1576" t="s">
        <v>59</v>
      </c>
      <c r="C1576" s="82">
        <v>301865325</v>
      </c>
      <c r="D1576">
        <v>201507</v>
      </c>
      <c r="E1576" s="1">
        <v>42186</v>
      </c>
      <c r="F1576" s="1">
        <v>42214</v>
      </c>
      <c r="G1576" t="s">
        <v>446</v>
      </c>
      <c r="H1576" s="81">
        <v>7</v>
      </c>
      <c r="I1576" t="s">
        <v>47</v>
      </c>
      <c r="J1576" s="3">
        <v>237.81</v>
      </c>
    </row>
    <row r="1577" spans="1:10" x14ac:dyDescent="0.25">
      <c r="A1577" t="s">
        <v>408</v>
      </c>
      <c r="B1577" t="s">
        <v>59</v>
      </c>
      <c r="C1577" s="82">
        <v>301865325</v>
      </c>
      <c r="D1577">
        <v>201508</v>
      </c>
      <c r="E1577" s="1">
        <v>42215</v>
      </c>
      <c r="F1577" s="1">
        <v>42243</v>
      </c>
      <c r="G1577" t="s">
        <v>446</v>
      </c>
      <c r="H1577" s="81">
        <v>9</v>
      </c>
      <c r="I1577" t="s">
        <v>47</v>
      </c>
      <c r="J1577" s="3">
        <v>292.16000000000003</v>
      </c>
    </row>
    <row r="1578" spans="1:10" x14ac:dyDescent="0.25">
      <c r="A1578" t="s">
        <v>408</v>
      </c>
      <c r="B1578" t="s">
        <v>59</v>
      </c>
      <c r="C1578" s="82">
        <v>301865325</v>
      </c>
      <c r="D1578">
        <v>201509</v>
      </c>
      <c r="E1578" s="1">
        <v>42244</v>
      </c>
      <c r="F1578" s="1">
        <v>42275</v>
      </c>
      <c r="G1578" t="s">
        <v>446</v>
      </c>
      <c r="H1578" s="81">
        <v>37</v>
      </c>
      <c r="I1578" t="s">
        <v>47</v>
      </c>
      <c r="J1578" s="3">
        <v>574.61</v>
      </c>
    </row>
    <row r="1579" spans="1:10" x14ac:dyDescent="0.25">
      <c r="A1579" t="s">
        <v>408</v>
      </c>
      <c r="B1579" t="s">
        <v>59</v>
      </c>
      <c r="C1579" s="82">
        <v>301865325</v>
      </c>
      <c r="D1579">
        <v>201510</v>
      </c>
      <c r="E1579" s="1">
        <v>42276</v>
      </c>
      <c r="F1579" s="1">
        <v>42310</v>
      </c>
      <c r="G1579" t="s">
        <v>446</v>
      </c>
      <c r="H1579" s="81">
        <v>39</v>
      </c>
      <c r="I1579" t="s">
        <v>47</v>
      </c>
      <c r="J1579" s="3">
        <v>600.11</v>
      </c>
    </row>
    <row r="1580" spans="1:10" x14ac:dyDescent="0.25">
      <c r="A1580" t="s">
        <v>408</v>
      </c>
      <c r="B1580" t="s">
        <v>59</v>
      </c>
      <c r="C1580" s="82">
        <v>301865325</v>
      </c>
      <c r="D1580">
        <v>201511</v>
      </c>
      <c r="E1580" s="1">
        <v>42311</v>
      </c>
      <c r="F1580" s="1">
        <v>42341</v>
      </c>
      <c r="G1580" t="s">
        <v>446</v>
      </c>
      <c r="H1580" s="81">
        <v>26</v>
      </c>
      <c r="I1580" t="s">
        <v>47</v>
      </c>
      <c r="J1580" s="3">
        <v>448.56</v>
      </c>
    </row>
    <row r="1581" spans="1:10" x14ac:dyDescent="0.25">
      <c r="A1581" t="s">
        <v>408</v>
      </c>
      <c r="B1581" t="s">
        <v>59</v>
      </c>
      <c r="C1581" s="82">
        <v>301865325</v>
      </c>
      <c r="D1581">
        <v>201512</v>
      </c>
      <c r="E1581" s="1">
        <v>42342</v>
      </c>
      <c r="F1581" s="1">
        <v>42369</v>
      </c>
      <c r="G1581" t="s">
        <v>446</v>
      </c>
      <c r="H1581" s="81">
        <v>20</v>
      </c>
      <c r="I1581" t="s">
        <v>47</v>
      </c>
      <c r="J1581" s="3">
        <v>393.36</v>
      </c>
    </row>
    <row r="1582" spans="1:10" x14ac:dyDescent="0.25">
      <c r="A1582" t="s">
        <v>408</v>
      </c>
      <c r="B1582" t="s">
        <v>59</v>
      </c>
      <c r="C1582" s="82">
        <v>301865325</v>
      </c>
      <c r="D1582">
        <v>201601</v>
      </c>
      <c r="E1582" s="1">
        <v>42370</v>
      </c>
      <c r="F1582" s="1">
        <v>42402</v>
      </c>
      <c r="G1582" t="s">
        <v>446</v>
      </c>
      <c r="H1582" s="81">
        <v>21</v>
      </c>
      <c r="I1582" t="s">
        <v>47</v>
      </c>
      <c r="J1582" s="3">
        <v>402.56</v>
      </c>
    </row>
    <row r="1583" spans="1:10" x14ac:dyDescent="0.25">
      <c r="A1583" t="s">
        <v>408</v>
      </c>
      <c r="B1583" t="s">
        <v>59</v>
      </c>
      <c r="C1583" s="82">
        <v>301865325</v>
      </c>
      <c r="D1583">
        <v>201602</v>
      </c>
      <c r="E1583" s="1">
        <v>42403</v>
      </c>
      <c r="F1583" s="1">
        <v>42433</v>
      </c>
      <c r="G1583" t="s">
        <v>446</v>
      </c>
      <c r="H1583" s="81">
        <v>30</v>
      </c>
      <c r="I1583" t="s">
        <v>47</v>
      </c>
      <c r="J1583" s="3">
        <v>485.36</v>
      </c>
    </row>
    <row r="1584" spans="1:10" x14ac:dyDescent="0.25">
      <c r="A1584" t="s">
        <v>408</v>
      </c>
      <c r="B1584" t="s">
        <v>59</v>
      </c>
      <c r="C1584" s="82">
        <v>301865325</v>
      </c>
      <c r="D1584">
        <v>201603</v>
      </c>
      <c r="E1584" s="1">
        <v>42434</v>
      </c>
      <c r="F1584" s="1">
        <v>42461</v>
      </c>
      <c r="G1584" t="s">
        <v>446</v>
      </c>
      <c r="H1584" s="81">
        <v>22</v>
      </c>
      <c r="I1584" t="s">
        <v>47</v>
      </c>
      <c r="J1584" s="3">
        <v>416.77</v>
      </c>
    </row>
    <row r="1585" spans="1:10" x14ac:dyDescent="0.25">
      <c r="A1585" t="s">
        <v>408</v>
      </c>
      <c r="B1585" t="s">
        <v>59</v>
      </c>
      <c r="C1585" s="82">
        <v>301865325</v>
      </c>
      <c r="D1585">
        <v>201604</v>
      </c>
      <c r="E1585" s="1">
        <v>42462</v>
      </c>
      <c r="F1585" s="1">
        <v>42493</v>
      </c>
      <c r="G1585" t="s">
        <v>446</v>
      </c>
      <c r="H1585" s="81">
        <v>29</v>
      </c>
      <c r="I1585" t="s">
        <v>47</v>
      </c>
      <c r="J1585" s="3">
        <v>482.08</v>
      </c>
    </row>
    <row r="1586" spans="1:10" x14ac:dyDescent="0.25">
      <c r="A1586" t="s">
        <v>408</v>
      </c>
      <c r="B1586" t="s">
        <v>59</v>
      </c>
      <c r="C1586" s="82">
        <v>301865325</v>
      </c>
      <c r="D1586">
        <v>201605</v>
      </c>
      <c r="E1586" s="1">
        <v>42494</v>
      </c>
      <c r="F1586" s="1">
        <v>42521</v>
      </c>
      <c r="G1586" t="s">
        <v>446</v>
      </c>
      <c r="H1586" s="81">
        <v>8</v>
      </c>
      <c r="I1586" t="s">
        <v>47</v>
      </c>
      <c r="J1586" s="3">
        <v>286.14999999999998</v>
      </c>
    </row>
    <row r="1587" spans="1:10" x14ac:dyDescent="0.25">
      <c r="A1587" t="s">
        <v>408</v>
      </c>
      <c r="B1587" t="s">
        <v>59</v>
      </c>
      <c r="C1587" s="82">
        <v>301865325</v>
      </c>
      <c r="D1587">
        <v>201606</v>
      </c>
      <c r="E1587" s="1">
        <v>42522</v>
      </c>
      <c r="F1587" s="1">
        <v>42550</v>
      </c>
      <c r="G1587" t="s">
        <v>446</v>
      </c>
      <c r="H1587" s="81">
        <v>1</v>
      </c>
      <c r="I1587" t="s">
        <v>47</v>
      </c>
      <c r="J1587" s="3">
        <v>220.84</v>
      </c>
    </row>
    <row r="1588" spans="1:10" x14ac:dyDescent="0.25">
      <c r="A1588" t="s">
        <v>412</v>
      </c>
      <c r="B1588" t="s">
        <v>59</v>
      </c>
      <c r="C1588" s="82">
        <v>301881322</v>
      </c>
      <c r="D1588">
        <v>201507</v>
      </c>
      <c r="E1588" s="1">
        <v>42186</v>
      </c>
      <c r="F1588" s="1">
        <v>42214</v>
      </c>
      <c r="G1588" t="s">
        <v>447</v>
      </c>
      <c r="H1588" s="81">
        <v>15</v>
      </c>
      <c r="I1588" t="s">
        <v>47</v>
      </c>
      <c r="J1588" s="3">
        <v>311.17</v>
      </c>
    </row>
    <row r="1589" spans="1:10" x14ac:dyDescent="0.25">
      <c r="A1589" t="s">
        <v>412</v>
      </c>
      <c r="B1589" t="s">
        <v>59</v>
      </c>
      <c r="C1589" s="82">
        <v>301881322</v>
      </c>
      <c r="D1589">
        <v>201508</v>
      </c>
      <c r="E1589" s="1">
        <v>42215</v>
      </c>
      <c r="F1589" s="1">
        <v>42243</v>
      </c>
      <c r="G1589" t="s">
        <v>447</v>
      </c>
      <c r="H1589" s="81">
        <v>60</v>
      </c>
      <c r="I1589" t="s">
        <v>47</v>
      </c>
      <c r="J1589" s="3">
        <v>761.36</v>
      </c>
    </row>
    <row r="1590" spans="1:10" x14ac:dyDescent="0.25">
      <c r="A1590" t="s">
        <v>412</v>
      </c>
      <c r="B1590" t="s">
        <v>59</v>
      </c>
      <c r="C1590" s="82">
        <v>301881322</v>
      </c>
      <c r="D1590">
        <v>201509</v>
      </c>
      <c r="E1590" s="1">
        <v>42244</v>
      </c>
      <c r="F1590" s="1">
        <v>42275</v>
      </c>
      <c r="G1590" t="s">
        <v>447</v>
      </c>
      <c r="H1590" s="81">
        <v>584</v>
      </c>
      <c r="I1590" t="s">
        <v>47</v>
      </c>
      <c r="J1590" s="3">
        <v>5582.16</v>
      </c>
    </row>
    <row r="1591" spans="1:10" x14ac:dyDescent="0.25">
      <c r="A1591" t="s">
        <v>412</v>
      </c>
      <c r="B1591" t="s">
        <v>59</v>
      </c>
      <c r="C1591" s="82">
        <v>301881322</v>
      </c>
      <c r="D1591">
        <v>201510</v>
      </c>
      <c r="E1591" s="1">
        <v>42276</v>
      </c>
      <c r="F1591" s="1">
        <v>42310</v>
      </c>
      <c r="G1591" t="s">
        <v>447</v>
      </c>
      <c r="H1591" s="81">
        <v>583</v>
      </c>
      <c r="I1591" t="s">
        <v>47</v>
      </c>
      <c r="J1591" s="3">
        <v>5572.96</v>
      </c>
    </row>
    <row r="1592" spans="1:10" x14ac:dyDescent="0.25">
      <c r="A1592" t="s">
        <v>412</v>
      </c>
      <c r="B1592" t="s">
        <v>59</v>
      </c>
      <c r="C1592" s="82">
        <v>301881322</v>
      </c>
      <c r="D1592">
        <v>201511</v>
      </c>
      <c r="E1592" s="1">
        <v>42311</v>
      </c>
      <c r="F1592" s="1">
        <v>42341</v>
      </c>
      <c r="G1592" t="s">
        <v>447</v>
      </c>
      <c r="H1592" s="81">
        <v>416</v>
      </c>
      <c r="I1592" t="s">
        <v>47</v>
      </c>
      <c r="J1592" s="3">
        <v>4036.56</v>
      </c>
    </row>
    <row r="1593" spans="1:10" x14ac:dyDescent="0.25">
      <c r="A1593" t="s">
        <v>412</v>
      </c>
      <c r="B1593" t="s">
        <v>59</v>
      </c>
      <c r="C1593" s="82">
        <v>301881322</v>
      </c>
      <c r="D1593">
        <v>201512</v>
      </c>
      <c r="E1593" s="1">
        <v>42342</v>
      </c>
      <c r="F1593" s="1">
        <v>42369</v>
      </c>
      <c r="G1593" t="s">
        <v>447</v>
      </c>
      <c r="H1593" s="81">
        <v>368</v>
      </c>
      <c r="I1593" t="s">
        <v>47</v>
      </c>
      <c r="J1593" s="3">
        <v>3594.96</v>
      </c>
    </row>
    <row r="1594" spans="1:10" x14ac:dyDescent="0.25">
      <c r="A1594" t="s">
        <v>412</v>
      </c>
      <c r="B1594" t="s">
        <v>59</v>
      </c>
      <c r="C1594" s="82">
        <v>301881322</v>
      </c>
      <c r="D1594">
        <v>201601</v>
      </c>
      <c r="E1594" s="1">
        <v>42370</v>
      </c>
      <c r="F1594" s="1">
        <v>42402</v>
      </c>
      <c r="G1594" t="s">
        <v>447</v>
      </c>
      <c r="H1594" s="81">
        <v>355</v>
      </c>
      <c r="I1594" t="s">
        <v>47</v>
      </c>
      <c r="J1594" s="3">
        <v>3475.36</v>
      </c>
    </row>
    <row r="1595" spans="1:10" x14ac:dyDescent="0.25">
      <c r="A1595" t="s">
        <v>412</v>
      </c>
      <c r="B1595" t="s">
        <v>59</v>
      </c>
      <c r="C1595" s="82">
        <v>301881322</v>
      </c>
      <c r="D1595">
        <v>201602</v>
      </c>
      <c r="E1595" s="1">
        <v>42403</v>
      </c>
      <c r="F1595" s="1">
        <v>42433</v>
      </c>
      <c r="G1595" t="s">
        <v>447</v>
      </c>
      <c r="H1595" s="81">
        <v>392</v>
      </c>
      <c r="I1595" t="s">
        <v>47</v>
      </c>
      <c r="J1595" s="3">
        <v>3815.76</v>
      </c>
    </row>
    <row r="1596" spans="1:10" x14ac:dyDescent="0.25">
      <c r="A1596" t="s">
        <v>412</v>
      </c>
      <c r="B1596" t="s">
        <v>59</v>
      </c>
      <c r="C1596" s="82">
        <v>301881322</v>
      </c>
      <c r="D1596">
        <v>201603</v>
      </c>
      <c r="E1596" s="1">
        <v>42434</v>
      </c>
      <c r="F1596" s="1">
        <v>42461</v>
      </c>
      <c r="G1596" t="s">
        <v>447</v>
      </c>
      <c r="H1596" s="81">
        <v>286</v>
      </c>
      <c r="I1596" t="s">
        <v>47</v>
      </c>
      <c r="J1596" s="3">
        <v>2879.89</v>
      </c>
    </row>
    <row r="1597" spans="1:10" x14ac:dyDescent="0.25">
      <c r="A1597" t="s">
        <v>412</v>
      </c>
      <c r="B1597" t="s">
        <v>59</v>
      </c>
      <c r="C1597" s="82">
        <v>301881322</v>
      </c>
      <c r="D1597">
        <v>201604</v>
      </c>
      <c r="E1597" s="1">
        <v>42462</v>
      </c>
      <c r="F1597" s="1">
        <v>42493</v>
      </c>
      <c r="G1597" t="s">
        <v>447</v>
      </c>
      <c r="H1597" s="81">
        <v>416</v>
      </c>
      <c r="I1597" t="s">
        <v>47</v>
      </c>
      <c r="J1597" s="3">
        <v>4092.79</v>
      </c>
    </row>
    <row r="1598" spans="1:10" x14ac:dyDescent="0.25">
      <c r="A1598" t="s">
        <v>412</v>
      </c>
      <c r="B1598" t="s">
        <v>59</v>
      </c>
      <c r="C1598" s="82">
        <v>301881322</v>
      </c>
      <c r="D1598">
        <v>201605</v>
      </c>
      <c r="E1598" s="1">
        <v>42494</v>
      </c>
      <c r="F1598" s="1">
        <v>42521</v>
      </c>
      <c r="G1598" t="s">
        <v>447</v>
      </c>
      <c r="H1598" s="81">
        <v>198</v>
      </c>
      <c r="I1598" t="s">
        <v>47</v>
      </c>
      <c r="J1598" s="3">
        <v>2058.85</v>
      </c>
    </row>
    <row r="1599" spans="1:10" x14ac:dyDescent="0.25">
      <c r="A1599" t="s">
        <v>412</v>
      </c>
      <c r="B1599" t="s">
        <v>59</v>
      </c>
      <c r="C1599" s="82">
        <v>301881322</v>
      </c>
      <c r="D1599">
        <v>201606</v>
      </c>
      <c r="E1599" s="1">
        <v>42522</v>
      </c>
      <c r="F1599" s="1">
        <v>42550</v>
      </c>
      <c r="G1599" t="s">
        <v>447</v>
      </c>
      <c r="H1599" s="81">
        <v>8</v>
      </c>
      <c r="I1599" t="s">
        <v>47</v>
      </c>
      <c r="J1599" s="3">
        <v>286.14999999999998</v>
      </c>
    </row>
    <row r="1600" spans="1:10" x14ac:dyDescent="0.25">
      <c r="A1600" t="s">
        <v>252</v>
      </c>
      <c r="B1600" t="s">
        <v>59</v>
      </c>
      <c r="C1600" s="82">
        <v>306595703</v>
      </c>
      <c r="D1600">
        <v>201507</v>
      </c>
      <c r="E1600" s="1">
        <v>42186</v>
      </c>
      <c r="F1600" s="1">
        <v>42214</v>
      </c>
      <c r="G1600" t="s">
        <v>450</v>
      </c>
      <c r="H1600" s="81">
        <v>8</v>
      </c>
      <c r="I1600" t="s">
        <v>47</v>
      </c>
      <c r="J1600" s="3">
        <v>80.33</v>
      </c>
    </row>
    <row r="1601" spans="1:10" x14ac:dyDescent="0.25">
      <c r="A1601" t="s">
        <v>252</v>
      </c>
      <c r="B1601" t="s">
        <v>59</v>
      </c>
      <c r="C1601" s="82">
        <v>306595703</v>
      </c>
      <c r="D1601">
        <v>201508</v>
      </c>
      <c r="E1601" s="1">
        <v>42215</v>
      </c>
      <c r="F1601" s="1">
        <v>42243</v>
      </c>
      <c r="G1601" t="s">
        <v>450</v>
      </c>
      <c r="H1601" s="81">
        <v>3</v>
      </c>
      <c r="I1601" t="s">
        <v>47</v>
      </c>
      <c r="J1601" s="3">
        <v>54.21</v>
      </c>
    </row>
    <row r="1602" spans="1:10" x14ac:dyDescent="0.25">
      <c r="A1602" t="s">
        <v>252</v>
      </c>
      <c r="B1602" t="s">
        <v>59</v>
      </c>
      <c r="C1602" s="82">
        <v>306595703</v>
      </c>
      <c r="D1602">
        <v>201509</v>
      </c>
      <c r="E1602" s="1">
        <v>42244</v>
      </c>
      <c r="F1602" s="1">
        <v>42276</v>
      </c>
      <c r="G1602" t="s">
        <v>450</v>
      </c>
      <c r="H1602" s="81">
        <v>100</v>
      </c>
      <c r="I1602" t="s">
        <v>47</v>
      </c>
      <c r="J1602" s="3">
        <v>997.76</v>
      </c>
    </row>
    <row r="1603" spans="1:10" x14ac:dyDescent="0.25">
      <c r="A1603" t="s">
        <v>252</v>
      </c>
      <c r="B1603" t="s">
        <v>59</v>
      </c>
      <c r="C1603" s="82">
        <v>306595703</v>
      </c>
      <c r="D1603">
        <v>201510</v>
      </c>
      <c r="E1603" s="1">
        <v>42277</v>
      </c>
      <c r="F1603" s="1">
        <v>42310</v>
      </c>
      <c r="G1603" t="s">
        <v>450</v>
      </c>
      <c r="H1603" s="81">
        <v>83</v>
      </c>
      <c r="I1603" t="s">
        <v>47</v>
      </c>
      <c r="J1603" s="3">
        <v>789.17</v>
      </c>
    </row>
    <row r="1604" spans="1:10" x14ac:dyDescent="0.25">
      <c r="A1604" t="s">
        <v>252</v>
      </c>
      <c r="B1604" t="s">
        <v>59</v>
      </c>
      <c r="C1604" s="82">
        <v>306595703</v>
      </c>
      <c r="D1604">
        <v>201511</v>
      </c>
      <c r="E1604" s="1">
        <v>42311</v>
      </c>
      <c r="F1604" s="1">
        <v>42342</v>
      </c>
      <c r="G1604" t="s">
        <v>450</v>
      </c>
      <c r="H1604" s="81">
        <v>62</v>
      </c>
      <c r="I1604" t="s">
        <v>47</v>
      </c>
      <c r="J1604" s="3">
        <v>556.35</v>
      </c>
    </row>
    <row r="1605" spans="1:10" x14ac:dyDescent="0.25">
      <c r="A1605" t="s">
        <v>252</v>
      </c>
      <c r="B1605" t="s">
        <v>59</v>
      </c>
      <c r="C1605" s="82">
        <v>306595703</v>
      </c>
      <c r="D1605">
        <v>201512</v>
      </c>
      <c r="E1605" s="1">
        <v>42343</v>
      </c>
      <c r="F1605" s="1">
        <v>42373</v>
      </c>
      <c r="G1605" t="s">
        <v>450</v>
      </c>
      <c r="H1605" s="81">
        <v>45</v>
      </c>
      <c r="I1605" t="s">
        <v>47</v>
      </c>
      <c r="J1605" s="3">
        <v>408.11</v>
      </c>
    </row>
    <row r="1606" spans="1:10" x14ac:dyDescent="0.25">
      <c r="A1606" t="s">
        <v>252</v>
      </c>
      <c r="B1606" t="s">
        <v>59</v>
      </c>
      <c r="C1606" s="82">
        <v>306595703</v>
      </c>
      <c r="D1606">
        <v>201601</v>
      </c>
      <c r="E1606" s="1">
        <v>42374</v>
      </c>
      <c r="F1606" s="1">
        <v>42401</v>
      </c>
      <c r="G1606" t="s">
        <v>450</v>
      </c>
      <c r="H1606" s="81">
        <v>41</v>
      </c>
      <c r="I1606" t="s">
        <v>47</v>
      </c>
      <c r="J1606" s="3">
        <v>373.23</v>
      </c>
    </row>
    <row r="1607" spans="1:10" x14ac:dyDescent="0.25">
      <c r="A1607" t="s">
        <v>252</v>
      </c>
      <c r="B1607" t="s">
        <v>59</v>
      </c>
      <c r="C1607" s="82">
        <v>306595703</v>
      </c>
      <c r="D1607">
        <v>201602</v>
      </c>
      <c r="E1607" s="1">
        <v>42402</v>
      </c>
      <c r="F1607" s="1">
        <v>42436</v>
      </c>
      <c r="G1607" t="s">
        <v>450</v>
      </c>
      <c r="H1607" s="81">
        <v>65</v>
      </c>
      <c r="I1607" t="s">
        <v>47</v>
      </c>
      <c r="J1607" s="3">
        <v>582.51</v>
      </c>
    </row>
    <row r="1608" spans="1:10" x14ac:dyDescent="0.25">
      <c r="A1608" t="s">
        <v>252</v>
      </c>
      <c r="B1608" t="s">
        <v>59</v>
      </c>
      <c r="C1608" s="82">
        <v>306595703</v>
      </c>
      <c r="D1608">
        <v>201603</v>
      </c>
      <c r="E1608" s="1">
        <v>42437</v>
      </c>
      <c r="F1608" s="1">
        <v>42464</v>
      </c>
      <c r="G1608" t="s">
        <v>450</v>
      </c>
      <c r="H1608" s="81">
        <v>57</v>
      </c>
      <c r="I1608" t="s">
        <v>47</v>
      </c>
      <c r="J1608" s="3">
        <v>520.63</v>
      </c>
    </row>
    <row r="1609" spans="1:10" x14ac:dyDescent="0.25">
      <c r="A1609" t="s">
        <v>252</v>
      </c>
      <c r="B1609" t="s">
        <v>59</v>
      </c>
      <c r="C1609" s="82">
        <v>306595703</v>
      </c>
      <c r="D1609">
        <v>201604</v>
      </c>
      <c r="E1609" s="1">
        <v>42465</v>
      </c>
      <c r="F1609" s="1">
        <v>42493</v>
      </c>
      <c r="G1609" t="s">
        <v>450</v>
      </c>
      <c r="H1609" s="81">
        <v>73</v>
      </c>
      <c r="I1609" t="s">
        <v>47</v>
      </c>
      <c r="J1609" s="3">
        <v>662.23</v>
      </c>
    </row>
    <row r="1610" spans="1:10" x14ac:dyDescent="0.25">
      <c r="A1610" t="s">
        <v>252</v>
      </c>
      <c r="B1610" t="s">
        <v>59</v>
      </c>
      <c r="C1610" s="82">
        <v>306595703</v>
      </c>
      <c r="D1610">
        <v>201605</v>
      </c>
      <c r="E1610" s="1">
        <v>42494</v>
      </c>
      <c r="F1610" s="1">
        <v>42528</v>
      </c>
      <c r="G1610" t="s">
        <v>450</v>
      </c>
      <c r="H1610" s="81">
        <v>31</v>
      </c>
      <c r="I1610" t="s">
        <v>47</v>
      </c>
      <c r="J1610" s="3">
        <v>290.52999999999997</v>
      </c>
    </row>
    <row r="1611" spans="1:10" x14ac:dyDescent="0.25">
      <c r="A1611" t="s">
        <v>252</v>
      </c>
      <c r="B1611" t="s">
        <v>59</v>
      </c>
      <c r="C1611" s="82">
        <v>306595703</v>
      </c>
      <c r="D1611">
        <v>201606</v>
      </c>
      <c r="E1611" s="1">
        <v>42529</v>
      </c>
      <c r="F1611" s="1">
        <v>42551</v>
      </c>
      <c r="G1611" t="s">
        <v>450</v>
      </c>
      <c r="H1611" s="81">
        <v>2</v>
      </c>
      <c r="I1611" t="s">
        <v>47</v>
      </c>
      <c r="J1611" s="3">
        <v>52.39</v>
      </c>
    </row>
    <row r="1612" spans="1:10" x14ac:dyDescent="0.25">
      <c r="A1612" t="s">
        <v>254</v>
      </c>
      <c r="B1612" t="s">
        <v>59</v>
      </c>
      <c r="C1612" s="82">
        <v>306595562</v>
      </c>
      <c r="D1612">
        <v>201507</v>
      </c>
      <c r="E1612" s="1">
        <v>42186</v>
      </c>
      <c r="F1612" s="1">
        <v>42214</v>
      </c>
      <c r="G1612" t="s">
        <v>451</v>
      </c>
      <c r="H1612" s="81">
        <v>7</v>
      </c>
      <c r="I1612" t="s">
        <v>47</v>
      </c>
      <c r="J1612" s="3">
        <v>72.17</v>
      </c>
    </row>
    <row r="1613" spans="1:10" x14ac:dyDescent="0.25">
      <c r="A1613" t="s">
        <v>254</v>
      </c>
      <c r="B1613" t="s">
        <v>59</v>
      </c>
      <c r="C1613" s="82">
        <v>306595562</v>
      </c>
      <c r="D1613">
        <v>201508</v>
      </c>
      <c r="E1613" s="1">
        <v>42215</v>
      </c>
      <c r="F1613" s="1">
        <v>42243</v>
      </c>
      <c r="G1613" t="s">
        <v>451</v>
      </c>
      <c r="H1613" s="81">
        <v>3</v>
      </c>
      <c r="I1613" t="s">
        <v>47</v>
      </c>
      <c r="J1613" s="3">
        <v>54.21</v>
      </c>
    </row>
    <row r="1614" spans="1:10" x14ac:dyDescent="0.25">
      <c r="A1614" t="s">
        <v>254</v>
      </c>
      <c r="B1614" t="s">
        <v>59</v>
      </c>
      <c r="C1614" s="82">
        <v>306595562</v>
      </c>
      <c r="D1614">
        <v>201509</v>
      </c>
      <c r="E1614" s="1">
        <v>42244</v>
      </c>
      <c r="F1614" s="1">
        <v>42276</v>
      </c>
      <c r="G1614" t="s">
        <v>451</v>
      </c>
      <c r="H1614" s="81">
        <v>63</v>
      </c>
      <c r="I1614" t="s">
        <v>47</v>
      </c>
      <c r="J1614" s="3">
        <v>565.07000000000005</v>
      </c>
    </row>
    <row r="1615" spans="1:10" x14ac:dyDescent="0.25">
      <c r="A1615" t="s">
        <v>254</v>
      </c>
      <c r="B1615" t="s">
        <v>59</v>
      </c>
      <c r="C1615" s="82">
        <v>306595562</v>
      </c>
      <c r="D1615">
        <v>201510</v>
      </c>
      <c r="E1615" s="1">
        <v>42277</v>
      </c>
      <c r="F1615" s="1">
        <v>42310</v>
      </c>
      <c r="G1615" t="s">
        <v>451</v>
      </c>
      <c r="H1615" s="81">
        <v>70</v>
      </c>
      <c r="I1615" t="s">
        <v>47</v>
      </c>
      <c r="J1615" s="3">
        <v>633.21</v>
      </c>
    </row>
    <row r="1616" spans="1:10" x14ac:dyDescent="0.25">
      <c r="A1616" t="s">
        <v>254</v>
      </c>
      <c r="B1616" t="s">
        <v>59</v>
      </c>
      <c r="C1616" s="82">
        <v>306595562</v>
      </c>
      <c r="D1616">
        <v>201511</v>
      </c>
      <c r="E1616" s="1">
        <v>42311</v>
      </c>
      <c r="F1616" s="1">
        <v>42339</v>
      </c>
      <c r="G1616" t="s">
        <v>451</v>
      </c>
      <c r="H1616" s="81">
        <v>49</v>
      </c>
      <c r="I1616" t="s">
        <v>47</v>
      </c>
      <c r="J1616" s="3">
        <v>442.99</v>
      </c>
    </row>
    <row r="1617" spans="1:10" x14ac:dyDescent="0.25">
      <c r="A1617" t="s">
        <v>254</v>
      </c>
      <c r="B1617" t="s">
        <v>59</v>
      </c>
      <c r="C1617" s="82">
        <v>306595562</v>
      </c>
      <c r="D1617">
        <v>201512</v>
      </c>
      <c r="E1617" s="1">
        <v>42340</v>
      </c>
      <c r="F1617" s="1">
        <v>42373</v>
      </c>
      <c r="G1617" t="s">
        <v>451</v>
      </c>
      <c r="H1617" s="81">
        <v>116</v>
      </c>
      <c r="I1617" t="s">
        <v>47</v>
      </c>
      <c r="J1617" s="3">
        <v>1027.23</v>
      </c>
    </row>
    <row r="1618" spans="1:10" x14ac:dyDescent="0.25">
      <c r="A1618" t="s">
        <v>254</v>
      </c>
      <c r="B1618" t="s">
        <v>59</v>
      </c>
      <c r="C1618" s="82">
        <v>306595562</v>
      </c>
      <c r="D1618">
        <v>201601</v>
      </c>
      <c r="E1618" s="1">
        <v>42374</v>
      </c>
      <c r="F1618" s="1">
        <v>42401</v>
      </c>
      <c r="G1618" t="s">
        <v>451</v>
      </c>
      <c r="H1618" s="81">
        <v>44</v>
      </c>
      <c r="I1618" t="s">
        <v>47</v>
      </c>
      <c r="J1618" s="3">
        <v>399.39</v>
      </c>
    </row>
    <row r="1619" spans="1:10" x14ac:dyDescent="0.25">
      <c r="A1619" t="s">
        <v>254</v>
      </c>
      <c r="B1619" t="s">
        <v>59</v>
      </c>
      <c r="C1619" s="82">
        <v>306595562</v>
      </c>
      <c r="D1619">
        <v>201602</v>
      </c>
      <c r="E1619" s="1">
        <v>42402</v>
      </c>
      <c r="F1619" s="1">
        <v>42433</v>
      </c>
      <c r="G1619" t="s">
        <v>451</v>
      </c>
      <c r="H1619" s="81">
        <v>63</v>
      </c>
      <c r="I1619" t="s">
        <v>47</v>
      </c>
      <c r="J1619" s="3">
        <v>565.07000000000005</v>
      </c>
    </row>
    <row r="1620" spans="1:10" x14ac:dyDescent="0.25">
      <c r="A1620" t="s">
        <v>254</v>
      </c>
      <c r="B1620" t="s">
        <v>59</v>
      </c>
      <c r="C1620" s="82">
        <v>306595562</v>
      </c>
      <c r="D1620">
        <v>201603</v>
      </c>
      <c r="E1620" s="1">
        <v>42434</v>
      </c>
      <c r="F1620" s="1">
        <v>42461</v>
      </c>
      <c r="G1620" t="s">
        <v>451</v>
      </c>
      <c r="H1620" s="81">
        <v>45</v>
      </c>
      <c r="I1620" t="s">
        <v>47</v>
      </c>
      <c r="J1620" s="3">
        <v>414.43</v>
      </c>
    </row>
    <row r="1621" spans="1:10" x14ac:dyDescent="0.25">
      <c r="A1621" t="s">
        <v>254</v>
      </c>
      <c r="B1621" t="s">
        <v>59</v>
      </c>
      <c r="C1621" s="82">
        <v>306595562</v>
      </c>
      <c r="D1621">
        <v>201604</v>
      </c>
      <c r="E1621" s="1">
        <v>42462</v>
      </c>
      <c r="F1621" s="1">
        <v>42492</v>
      </c>
      <c r="G1621" t="s">
        <v>451</v>
      </c>
      <c r="H1621" s="81">
        <v>61</v>
      </c>
      <c r="I1621" t="s">
        <v>47</v>
      </c>
      <c r="J1621" s="3">
        <v>556.03</v>
      </c>
    </row>
    <row r="1622" spans="1:10" x14ac:dyDescent="0.25">
      <c r="A1622" t="s">
        <v>254</v>
      </c>
      <c r="B1622" t="s">
        <v>59</v>
      </c>
      <c r="C1622" s="82">
        <v>306595562</v>
      </c>
      <c r="D1622">
        <v>201605</v>
      </c>
      <c r="E1622" s="1">
        <v>42493</v>
      </c>
      <c r="F1622" s="1">
        <v>42527</v>
      </c>
      <c r="G1622" t="s">
        <v>451</v>
      </c>
      <c r="H1622" s="81">
        <v>38</v>
      </c>
      <c r="I1622" t="s">
        <v>47</v>
      </c>
      <c r="J1622" s="3">
        <v>352.48</v>
      </c>
    </row>
    <row r="1623" spans="1:10" x14ac:dyDescent="0.25">
      <c r="A1623" t="s">
        <v>254</v>
      </c>
      <c r="B1623" t="s">
        <v>59</v>
      </c>
      <c r="C1623" s="82">
        <v>306595562</v>
      </c>
      <c r="D1623">
        <v>201606</v>
      </c>
      <c r="E1623" s="1">
        <v>42528</v>
      </c>
      <c r="F1623" s="1">
        <v>42551</v>
      </c>
      <c r="G1623" t="s">
        <v>451</v>
      </c>
      <c r="H1623" s="81">
        <v>5</v>
      </c>
      <c r="I1623" t="s">
        <v>47</v>
      </c>
      <c r="J1623" s="3">
        <v>60.43</v>
      </c>
    </row>
    <row r="1624" spans="1:10" x14ac:dyDescent="0.25">
      <c r="A1624" t="s">
        <v>256</v>
      </c>
      <c r="B1624" t="s">
        <v>59</v>
      </c>
      <c r="C1624" s="82">
        <v>306595638</v>
      </c>
      <c r="D1624">
        <v>201507</v>
      </c>
      <c r="E1624" s="1">
        <v>42186</v>
      </c>
      <c r="F1624" s="1">
        <v>42214</v>
      </c>
      <c r="G1624" t="s">
        <v>452</v>
      </c>
      <c r="H1624" s="81">
        <v>6</v>
      </c>
      <c r="I1624" t="s">
        <v>47</v>
      </c>
      <c r="J1624" s="3">
        <v>64.010000000000005</v>
      </c>
    </row>
    <row r="1625" spans="1:10" x14ac:dyDescent="0.25">
      <c r="A1625" t="s">
        <v>256</v>
      </c>
      <c r="B1625" t="s">
        <v>59</v>
      </c>
      <c r="C1625" s="82">
        <v>306595638</v>
      </c>
      <c r="D1625">
        <v>201508</v>
      </c>
      <c r="E1625" s="1">
        <v>42215</v>
      </c>
      <c r="F1625" s="1">
        <v>42243</v>
      </c>
      <c r="G1625" t="s">
        <v>452</v>
      </c>
      <c r="H1625" s="81">
        <v>7</v>
      </c>
      <c r="I1625" t="s">
        <v>47</v>
      </c>
      <c r="J1625" s="3">
        <v>76.75</v>
      </c>
    </row>
    <row r="1626" spans="1:10" x14ac:dyDescent="0.25">
      <c r="A1626" t="s">
        <v>256</v>
      </c>
      <c r="B1626" t="s">
        <v>59</v>
      </c>
      <c r="C1626" s="82">
        <v>306595638</v>
      </c>
      <c r="D1626">
        <v>201509</v>
      </c>
      <c r="E1626" s="1">
        <v>42244</v>
      </c>
      <c r="F1626" s="1">
        <v>42276</v>
      </c>
      <c r="G1626" t="s">
        <v>452</v>
      </c>
      <c r="H1626" s="81">
        <v>75</v>
      </c>
      <c r="I1626" t="s">
        <v>47</v>
      </c>
      <c r="J1626" s="3">
        <v>669.71</v>
      </c>
    </row>
    <row r="1627" spans="1:10" x14ac:dyDescent="0.25">
      <c r="A1627" t="s">
        <v>256</v>
      </c>
      <c r="B1627" t="s">
        <v>59</v>
      </c>
      <c r="C1627" s="82">
        <v>306595638</v>
      </c>
      <c r="D1627">
        <v>201510</v>
      </c>
      <c r="E1627" s="1">
        <v>42277</v>
      </c>
      <c r="F1627" s="1">
        <v>42310</v>
      </c>
      <c r="G1627" t="s">
        <v>452</v>
      </c>
      <c r="H1627" s="81">
        <v>86</v>
      </c>
      <c r="I1627" t="s">
        <v>47</v>
      </c>
      <c r="J1627" s="3">
        <v>794.03</v>
      </c>
    </row>
    <row r="1628" spans="1:10" x14ac:dyDescent="0.25">
      <c r="A1628" t="s">
        <v>256</v>
      </c>
      <c r="B1628" t="s">
        <v>59</v>
      </c>
      <c r="C1628" s="82">
        <v>306595638</v>
      </c>
      <c r="D1628">
        <v>201511</v>
      </c>
      <c r="E1628" s="1">
        <v>42311</v>
      </c>
      <c r="F1628" s="1">
        <v>42339</v>
      </c>
      <c r="G1628" t="s">
        <v>452</v>
      </c>
      <c r="H1628" s="81">
        <v>57</v>
      </c>
      <c r="I1628" t="s">
        <v>47</v>
      </c>
      <c r="J1628" s="3">
        <v>512.75</v>
      </c>
    </row>
    <row r="1629" spans="1:10" x14ac:dyDescent="0.25">
      <c r="A1629" t="s">
        <v>256</v>
      </c>
      <c r="B1629" t="s">
        <v>59</v>
      </c>
      <c r="C1629" s="82">
        <v>306595638</v>
      </c>
      <c r="D1629">
        <v>201512</v>
      </c>
      <c r="E1629" s="1">
        <v>42340</v>
      </c>
      <c r="F1629" s="1">
        <v>42373</v>
      </c>
      <c r="G1629" t="s">
        <v>452</v>
      </c>
      <c r="H1629" s="81">
        <v>51</v>
      </c>
      <c r="I1629" t="s">
        <v>47</v>
      </c>
      <c r="J1629" s="3">
        <v>460.43</v>
      </c>
    </row>
    <row r="1630" spans="1:10" x14ac:dyDescent="0.25">
      <c r="A1630" t="s">
        <v>256</v>
      </c>
      <c r="B1630" t="s">
        <v>59</v>
      </c>
      <c r="C1630" s="82">
        <v>306595638</v>
      </c>
      <c r="D1630">
        <v>201601</v>
      </c>
      <c r="E1630" s="1">
        <v>42374</v>
      </c>
      <c r="F1630" s="1">
        <v>42401</v>
      </c>
      <c r="G1630" t="s">
        <v>452</v>
      </c>
      <c r="H1630" s="81">
        <v>37</v>
      </c>
      <c r="I1630" t="s">
        <v>47</v>
      </c>
      <c r="J1630" s="3">
        <v>338.35</v>
      </c>
    </row>
    <row r="1631" spans="1:10" x14ac:dyDescent="0.25">
      <c r="A1631" t="s">
        <v>256</v>
      </c>
      <c r="B1631" t="s">
        <v>59</v>
      </c>
      <c r="C1631" s="82">
        <v>306595638</v>
      </c>
      <c r="D1631">
        <v>201602</v>
      </c>
      <c r="E1631" s="1">
        <v>42402</v>
      </c>
      <c r="F1631" s="1">
        <v>42433</v>
      </c>
      <c r="G1631" t="s">
        <v>452</v>
      </c>
      <c r="H1631" s="81">
        <v>60</v>
      </c>
      <c r="I1631" t="s">
        <v>47</v>
      </c>
      <c r="J1631" s="3">
        <v>538.91</v>
      </c>
    </row>
    <row r="1632" spans="1:10" x14ac:dyDescent="0.25">
      <c r="A1632" t="s">
        <v>256</v>
      </c>
      <c r="B1632" t="s">
        <v>59</v>
      </c>
      <c r="C1632" s="82">
        <v>306595638</v>
      </c>
      <c r="D1632">
        <v>201603</v>
      </c>
      <c r="E1632" s="1">
        <v>42434</v>
      </c>
      <c r="F1632" s="1">
        <v>42461</v>
      </c>
      <c r="G1632" t="s">
        <v>452</v>
      </c>
      <c r="H1632" s="81">
        <v>46</v>
      </c>
      <c r="I1632" t="s">
        <v>47</v>
      </c>
      <c r="J1632" s="3">
        <v>423.28</v>
      </c>
    </row>
    <row r="1633" spans="1:10" x14ac:dyDescent="0.25">
      <c r="A1633" t="s">
        <v>256</v>
      </c>
      <c r="B1633" t="s">
        <v>59</v>
      </c>
      <c r="C1633" s="82">
        <v>306595638</v>
      </c>
      <c r="D1633">
        <v>201604</v>
      </c>
      <c r="E1633" s="1">
        <v>42462</v>
      </c>
      <c r="F1633" s="1">
        <v>42493</v>
      </c>
      <c r="G1633" t="s">
        <v>452</v>
      </c>
      <c r="H1633" s="81">
        <v>55</v>
      </c>
      <c r="I1633" t="s">
        <v>47</v>
      </c>
      <c r="J1633" s="3">
        <v>502.93</v>
      </c>
    </row>
    <row r="1634" spans="1:10" x14ac:dyDescent="0.25">
      <c r="A1634" t="s">
        <v>256</v>
      </c>
      <c r="B1634" t="s">
        <v>59</v>
      </c>
      <c r="C1634" s="82">
        <v>306595638</v>
      </c>
      <c r="D1634">
        <v>201605</v>
      </c>
      <c r="E1634" s="1">
        <v>42494</v>
      </c>
      <c r="F1634" s="1">
        <v>42527</v>
      </c>
      <c r="G1634" t="s">
        <v>452</v>
      </c>
      <c r="H1634" s="81">
        <v>19</v>
      </c>
      <c r="I1634" t="s">
        <v>47</v>
      </c>
      <c r="J1634" s="3">
        <v>184.33</v>
      </c>
    </row>
    <row r="1635" spans="1:10" x14ac:dyDescent="0.25">
      <c r="A1635" t="s">
        <v>256</v>
      </c>
      <c r="B1635" t="s">
        <v>59</v>
      </c>
      <c r="C1635" s="82">
        <v>306595638</v>
      </c>
      <c r="D1635">
        <v>201606</v>
      </c>
      <c r="E1635" s="1">
        <v>42528</v>
      </c>
      <c r="F1635" s="1">
        <v>42551</v>
      </c>
      <c r="G1635" t="s">
        <v>452</v>
      </c>
      <c r="H1635" s="81">
        <v>1</v>
      </c>
      <c r="I1635" t="s">
        <v>47</v>
      </c>
      <c r="J1635" s="3">
        <v>49.71</v>
      </c>
    </row>
    <row r="1636" spans="1:10" x14ac:dyDescent="0.25">
      <c r="A1636" t="s">
        <v>453</v>
      </c>
      <c r="B1636" t="s">
        <v>59</v>
      </c>
      <c r="C1636" s="82">
        <v>307138735</v>
      </c>
      <c r="D1636">
        <v>201507</v>
      </c>
      <c r="E1636" s="1">
        <v>42186</v>
      </c>
      <c r="F1636" s="1">
        <v>42214</v>
      </c>
      <c r="G1636" t="s">
        <v>454</v>
      </c>
      <c r="H1636" s="81">
        <v>85</v>
      </c>
      <c r="I1636" t="s">
        <v>47</v>
      </c>
      <c r="J1636" s="3">
        <v>890.73</v>
      </c>
    </row>
    <row r="1637" spans="1:10" x14ac:dyDescent="0.25">
      <c r="A1637" t="s">
        <v>453</v>
      </c>
      <c r="B1637" t="s">
        <v>59</v>
      </c>
      <c r="C1637" s="82">
        <v>307138735</v>
      </c>
      <c r="D1637">
        <v>201508</v>
      </c>
      <c r="E1637" s="1">
        <v>42215</v>
      </c>
      <c r="F1637" s="1">
        <v>42243</v>
      </c>
      <c r="G1637" t="s">
        <v>454</v>
      </c>
      <c r="H1637" s="81">
        <v>76</v>
      </c>
      <c r="I1637" t="s">
        <v>47</v>
      </c>
      <c r="J1637" s="3">
        <v>706.91</v>
      </c>
    </row>
    <row r="1638" spans="1:10" x14ac:dyDescent="0.25">
      <c r="A1638" t="s">
        <v>453</v>
      </c>
      <c r="B1638" t="s">
        <v>59</v>
      </c>
      <c r="C1638" s="82">
        <v>307138735</v>
      </c>
      <c r="D1638">
        <v>201509</v>
      </c>
      <c r="E1638" s="1">
        <v>42244</v>
      </c>
      <c r="F1638" s="1">
        <v>42275</v>
      </c>
      <c r="G1638" t="s">
        <v>454</v>
      </c>
      <c r="H1638" s="81">
        <v>284</v>
      </c>
      <c r="I1638" t="s">
        <v>47</v>
      </c>
      <c r="J1638" s="3">
        <v>3292.41</v>
      </c>
    </row>
    <row r="1639" spans="1:10" x14ac:dyDescent="0.25">
      <c r="A1639" t="s">
        <v>453</v>
      </c>
      <c r="B1639" t="s">
        <v>59</v>
      </c>
      <c r="C1639" s="82">
        <v>307138735</v>
      </c>
      <c r="D1639">
        <v>201510</v>
      </c>
      <c r="E1639" s="1">
        <v>42276</v>
      </c>
      <c r="F1639" s="1">
        <v>42310</v>
      </c>
      <c r="G1639" t="s">
        <v>454</v>
      </c>
      <c r="H1639" s="81">
        <v>253</v>
      </c>
      <c r="I1639" t="s">
        <v>47</v>
      </c>
      <c r="J1639" s="3">
        <v>3356.01</v>
      </c>
    </row>
    <row r="1640" spans="1:10" x14ac:dyDescent="0.25">
      <c r="A1640" t="s">
        <v>453</v>
      </c>
      <c r="B1640" t="s">
        <v>59</v>
      </c>
      <c r="C1640" s="82">
        <v>307138735</v>
      </c>
      <c r="D1640">
        <v>201511</v>
      </c>
      <c r="E1640" s="1">
        <v>42311</v>
      </c>
      <c r="F1640" s="1">
        <v>42341</v>
      </c>
      <c r="G1640" t="s">
        <v>454</v>
      </c>
      <c r="H1640" s="81">
        <v>179</v>
      </c>
      <c r="I1640" t="s">
        <v>47</v>
      </c>
      <c r="J1640" s="3">
        <v>2459.06</v>
      </c>
    </row>
    <row r="1641" spans="1:10" x14ac:dyDescent="0.25">
      <c r="A1641" t="s">
        <v>453</v>
      </c>
      <c r="B1641" t="s">
        <v>59</v>
      </c>
      <c r="C1641" s="82">
        <v>307138735</v>
      </c>
      <c r="D1641">
        <v>201512</v>
      </c>
      <c r="E1641" s="1">
        <v>42342</v>
      </c>
      <c r="F1641" s="1">
        <v>42369</v>
      </c>
      <c r="G1641" t="s">
        <v>454</v>
      </c>
      <c r="H1641" s="81">
        <v>133</v>
      </c>
      <c r="I1641" t="s">
        <v>47</v>
      </c>
      <c r="J1641" s="3">
        <v>1485.61</v>
      </c>
    </row>
    <row r="1642" spans="1:10" x14ac:dyDescent="0.25">
      <c r="A1642" t="s">
        <v>453</v>
      </c>
      <c r="B1642" t="s">
        <v>59</v>
      </c>
      <c r="C1642" s="82">
        <v>307138735</v>
      </c>
      <c r="D1642">
        <v>201601</v>
      </c>
      <c r="E1642" s="1">
        <v>42370</v>
      </c>
      <c r="F1642" s="1">
        <v>42402</v>
      </c>
      <c r="G1642" t="s">
        <v>454</v>
      </c>
      <c r="H1642" s="81">
        <v>127</v>
      </c>
      <c r="I1642" t="s">
        <v>47</v>
      </c>
      <c r="J1642" s="3">
        <v>1430.41</v>
      </c>
    </row>
    <row r="1643" spans="1:10" x14ac:dyDescent="0.25">
      <c r="A1643" t="s">
        <v>453</v>
      </c>
      <c r="B1643" t="s">
        <v>59</v>
      </c>
      <c r="C1643" s="82">
        <v>307138735</v>
      </c>
      <c r="D1643">
        <v>201602</v>
      </c>
      <c r="E1643" s="1">
        <v>42403</v>
      </c>
      <c r="F1643" s="1">
        <v>42433</v>
      </c>
      <c r="G1643" t="s">
        <v>454</v>
      </c>
      <c r="H1643" s="81">
        <v>236</v>
      </c>
      <c r="I1643" t="s">
        <v>47</v>
      </c>
      <c r="J1643" s="3">
        <v>2433.21</v>
      </c>
    </row>
    <row r="1644" spans="1:10" x14ac:dyDescent="0.25">
      <c r="A1644" t="s">
        <v>453</v>
      </c>
      <c r="B1644" t="s">
        <v>59</v>
      </c>
      <c r="C1644" s="82">
        <v>307138735</v>
      </c>
      <c r="D1644">
        <v>201603</v>
      </c>
      <c r="E1644" s="1">
        <v>42434</v>
      </c>
      <c r="F1644" s="1">
        <v>42461</v>
      </c>
      <c r="G1644" t="s">
        <v>454</v>
      </c>
      <c r="H1644" s="81">
        <v>145</v>
      </c>
      <c r="I1644" t="s">
        <v>47</v>
      </c>
      <c r="J1644" s="3">
        <v>1618.47</v>
      </c>
    </row>
    <row r="1645" spans="1:10" x14ac:dyDescent="0.25">
      <c r="A1645" t="s">
        <v>453</v>
      </c>
      <c r="B1645" t="s">
        <v>59</v>
      </c>
      <c r="C1645" s="82">
        <v>307138735</v>
      </c>
      <c r="D1645">
        <v>201604</v>
      </c>
      <c r="E1645" s="1">
        <v>42462</v>
      </c>
      <c r="F1645" s="1">
        <v>42493</v>
      </c>
      <c r="G1645" t="s">
        <v>454</v>
      </c>
      <c r="H1645" s="81">
        <v>286</v>
      </c>
      <c r="I1645" t="s">
        <v>47</v>
      </c>
      <c r="J1645" s="3">
        <v>2568.25</v>
      </c>
    </row>
    <row r="1646" spans="1:10" x14ac:dyDescent="0.25">
      <c r="A1646" t="s">
        <v>453</v>
      </c>
      <c r="B1646" t="s">
        <v>59</v>
      </c>
      <c r="C1646" s="82">
        <v>307138735</v>
      </c>
      <c r="D1646">
        <v>201605</v>
      </c>
      <c r="E1646" s="1">
        <v>42494</v>
      </c>
      <c r="F1646" s="1">
        <v>42521</v>
      </c>
      <c r="G1646" t="s">
        <v>454</v>
      </c>
      <c r="H1646" s="81">
        <v>113</v>
      </c>
      <c r="I1646" t="s">
        <v>47</v>
      </c>
      <c r="J1646" s="3">
        <v>974.11</v>
      </c>
    </row>
    <row r="1647" spans="1:10" x14ac:dyDescent="0.25">
      <c r="A1647" t="s">
        <v>453</v>
      </c>
      <c r="B1647" t="s">
        <v>59</v>
      </c>
      <c r="C1647" s="82">
        <v>307138735</v>
      </c>
      <c r="D1647">
        <v>201606</v>
      </c>
      <c r="E1647" s="1">
        <v>42522</v>
      </c>
      <c r="F1647" s="1">
        <v>42550</v>
      </c>
      <c r="G1647" t="s">
        <v>454</v>
      </c>
      <c r="H1647" s="81">
        <v>66</v>
      </c>
      <c r="I1647" t="s">
        <v>47</v>
      </c>
      <c r="J1647" s="3">
        <v>555.54999999999995</v>
      </c>
    </row>
    <row r="1648" spans="1:10" x14ac:dyDescent="0.25">
      <c r="A1648" t="s">
        <v>364</v>
      </c>
      <c r="B1648" t="s">
        <v>59</v>
      </c>
      <c r="C1648" s="82">
        <v>301865473</v>
      </c>
      <c r="D1648">
        <v>201507</v>
      </c>
      <c r="E1648" s="1">
        <v>42186</v>
      </c>
      <c r="F1648" s="1">
        <v>42214</v>
      </c>
      <c r="G1648" t="s">
        <v>448</v>
      </c>
      <c r="H1648" s="81">
        <v>4</v>
      </c>
      <c r="I1648" t="s">
        <v>47</v>
      </c>
      <c r="J1648" s="3">
        <v>210.3</v>
      </c>
    </row>
    <row r="1649" spans="1:10" x14ac:dyDescent="0.25">
      <c r="A1649" t="s">
        <v>364</v>
      </c>
      <c r="B1649" t="s">
        <v>59</v>
      </c>
      <c r="C1649" s="82">
        <v>301865473</v>
      </c>
      <c r="D1649">
        <v>201508</v>
      </c>
      <c r="E1649" s="1">
        <v>42215</v>
      </c>
      <c r="F1649" s="1">
        <v>42243</v>
      </c>
      <c r="G1649" t="s">
        <v>448</v>
      </c>
      <c r="H1649" s="81">
        <v>10</v>
      </c>
      <c r="I1649" t="s">
        <v>47</v>
      </c>
      <c r="J1649" s="3">
        <v>301.36</v>
      </c>
    </row>
    <row r="1650" spans="1:10" x14ac:dyDescent="0.25">
      <c r="A1650" t="s">
        <v>364</v>
      </c>
      <c r="B1650" t="s">
        <v>59</v>
      </c>
      <c r="C1650" s="82">
        <v>301865473</v>
      </c>
      <c r="D1650">
        <v>201509</v>
      </c>
      <c r="E1650" s="1">
        <v>42244</v>
      </c>
      <c r="F1650" s="1">
        <v>42275</v>
      </c>
      <c r="G1650" t="s">
        <v>448</v>
      </c>
      <c r="H1650" s="81">
        <v>40</v>
      </c>
      <c r="I1650" t="s">
        <v>47</v>
      </c>
      <c r="J1650" s="3">
        <v>612.86</v>
      </c>
    </row>
    <row r="1651" spans="1:10" x14ac:dyDescent="0.25">
      <c r="A1651" t="s">
        <v>364</v>
      </c>
      <c r="B1651" t="s">
        <v>59</v>
      </c>
      <c r="C1651" s="82">
        <v>301865473</v>
      </c>
      <c r="D1651">
        <v>201510</v>
      </c>
      <c r="E1651" s="1">
        <v>42276</v>
      </c>
      <c r="F1651" s="1">
        <v>42310</v>
      </c>
      <c r="G1651" t="s">
        <v>448</v>
      </c>
      <c r="H1651" s="81">
        <v>40</v>
      </c>
      <c r="I1651" t="s">
        <v>47</v>
      </c>
      <c r="J1651" s="3">
        <v>612.86</v>
      </c>
    </row>
    <row r="1652" spans="1:10" x14ac:dyDescent="0.25">
      <c r="A1652" t="s">
        <v>364</v>
      </c>
      <c r="B1652" t="s">
        <v>59</v>
      </c>
      <c r="C1652" s="82">
        <v>301865473</v>
      </c>
      <c r="D1652">
        <v>201511</v>
      </c>
      <c r="E1652" s="1">
        <v>42311</v>
      </c>
      <c r="F1652" s="1">
        <v>42341</v>
      </c>
      <c r="G1652" t="s">
        <v>448</v>
      </c>
      <c r="H1652" s="81">
        <v>29</v>
      </c>
      <c r="I1652" t="s">
        <v>47</v>
      </c>
      <c r="J1652" s="3">
        <v>476.16</v>
      </c>
    </row>
    <row r="1653" spans="1:10" x14ac:dyDescent="0.25">
      <c r="A1653" t="s">
        <v>364</v>
      </c>
      <c r="B1653" t="s">
        <v>59</v>
      </c>
      <c r="C1653" s="82">
        <v>301865473</v>
      </c>
      <c r="D1653">
        <v>201512</v>
      </c>
      <c r="E1653" s="1">
        <v>42342</v>
      </c>
      <c r="F1653" s="1">
        <v>42369</v>
      </c>
      <c r="G1653" t="s">
        <v>448</v>
      </c>
      <c r="H1653" s="81">
        <v>19</v>
      </c>
      <c r="I1653" t="s">
        <v>47</v>
      </c>
      <c r="J1653" s="3">
        <v>384.16</v>
      </c>
    </row>
    <row r="1654" spans="1:10" x14ac:dyDescent="0.25">
      <c r="A1654" t="s">
        <v>364</v>
      </c>
      <c r="B1654" t="s">
        <v>59</v>
      </c>
      <c r="C1654" s="82">
        <v>301865473</v>
      </c>
      <c r="D1654">
        <v>201601</v>
      </c>
      <c r="E1654" s="1">
        <v>42370</v>
      </c>
      <c r="F1654" s="1">
        <v>42402</v>
      </c>
      <c r="G1654" t="s">
        <v>448</v>
      </c>
      <c r="H1654" s="81">
        <v>19</v>
      </c>
      <c r="I1654" t="s">
        <v>47</v>
      </c>
      <c r="J1654" s="3">
        <v>384.16</v>
      </c>
    </row>
    <row r="1655" spans="1:10" x14ac:dyDescent="0.25">
      <c r="A1655" t="s">
        <v>364</v>
      </c>
      <c r="B1655" t="s">
        <v>59</v>
      </c>
      <c r="C1655" s="82">
        <v>301865473</v>
      </c>
      <c r="D1655">
        <v>201602</v>
      </c>
      <c r="E1655" s="1">
        <v>42403</v>
      </c>
      <c r="F1655" s="1">
        <v>42433</v>
      </c>
      <c r="G1655" t="s">
        <v>448</v>
      </c>
      <c r="H1655" s="81">
        <v>30</v>
      </c>
      <c r="I1655" t="s">
        <v>47</v>
      </c>
      <c r="J1655" s="3">
        <v>485.36</v>
      </c>
    </row>
    <row r="1656" spans="1:10" x14ac:dyDescent="0.25">
      <c r="A1656" t="s">
        <v>364</v>
      </c>
      <c r="B1656" t="s">
        <v>59</v>
      </c>
      <c r="C1656" s="82">
        <v>301865473</v>
      </c>
      <c r="D1656">
        <v>201603</v>
      </c>
      <c r="E1656" s="1">
        <v>42434</v>
      </c>
      <c r="F1656" s="1">
        <v>42461</v>
      </c>
      <c r="G1656" t="s">
        <v>448</v>
      </c>
      <c r="H1656" s="81">
        <v>26</v>
      </c>
      <c r="I1656" t="s">
        <v>47</v>
      </c>
      <c r="J1656" s="3">
        <v>454.09</v>
      </c>
    </row>
    <row r="1657" spans="1:10" x14ac:dyDescent="0.25">
      <c r="A1657" t="s">
        <v>364</v>
      </c>
      <c r="B1657" t="s">
        <v>59</v>
      </c>
      <c r="C1657" s="82">
        <v>301865473</v>
      </c>
      <c r="D1657">
        <v>201604</v>
      </c>
      <c r="E1657" s="1">
        <v>42462</v>
      </c>
      <c r="F1657" s="1">
        <v>42493</v>
      </c>
      <c r="G1657" t="s">
        <v>448</v>
      </c>
      <c r="H1657" s="81">
        <v>41</v>
      </c>
      <c r="I1657" t="s">
        <v>47</v>
      </c>
      <c r="J1657" s="3">
        <v>594.04</v>
      </c>
    </row>
    <row r="1658" spans="1:10" x14ac:dyDescent="0.25">
      <c r="A1658" t="s">
        <v>364</v>
      </c>
      <c r="B1658" t="s">
        <v>59</v>
      </c>
      <c r="C1658" s="82">
        <v>301865473</v>
      </c>
      <c r="D1658">
        <v>201605</v>
      </c>
      <c r="E1658" s="1">
        <v>42494</v>
      </c>
      <c r="F1658" s="1">
        <v>42521</v>
      </c>
      <c r="G1658" t="s">
        <v>448</v>
      </c>
      <c r="H1658" s="81">
        <v>8</v>
      </c>
      <c r="I1658" t="s">
        <v>47</v>
      </c>
      <c r="J1658" s="3">
        <v>286.14999999999998</v>
      </c>
    </row>
    <row r="1659" spans="1:10" x14ac:dyDescent="0.25">
      <c r="A1659" t="s">
        <v>364</v>
      </c>
      <c r="B1659" t="s">
        <v>59</v>
      </c>
      <c r="C1659" s="82">
        <v>301865473</v>
      </c>
      <c r="D1659">
        <v>201606</v>
      </c>
      <c r="E1659" s="1">
        <v>42522</v>
      </c>
      <c r="F1659" s="1">
        <v>42550</v>
      </c>
      <c r="G1659" t="s">
        <v>448</v>
      </c>
      <c r="H1659" s="81">
        <v>1</v>
      </c>
      <c r="I1659" t="s">
        <v>47</v>
      </c>
      <c r="J1659" s="3">
        <v>220.84</v>
      </c>
    </row>
    <row r="1660" spans="1:10" x14ac:dyDescent="0.25">
      <c r="A1660" t="s">
        <v>416</v>
      </c>
      <c r="B1660" t="s">
        <v>59</v>
      </c>
      <c r="C1660" s="82">
        <v>306220393</v>
      </c>
      <c r="D1660">
        <v>201507</v>
      </c>
      <c r="E1660" s="1">
        <v>42186</v>
      </c>
      <c r="F1660" s="1">
        <v>42214</v>
      </c>
      <c r="G1660" t="s">
        <v>449</v>
      </c>
      <c r="H1660" s="81">
        <v>73</v>
      </c>
      <c r="I1660" t="s">
        <v>47</v>
      </c>
      <c r="J1660" s="3">
        <v>774.69</v>
      </c>
    </row>
    <row r="1661" spans="1:10" x14ac:dyDescent="0.25">
      <c r="A1661" t="s">
        <v>416</v>
      </c>
      <c r="B1661" t="s">
        <v>59</v>
      </c>
      <c r="C1661" s="82">
        <v>306220393</v>
      </c>
      <c r="D1661">
        <v>201508</v>
      </c>
      <c r="E1661" s="1">
        <v>42215</v>
      </c>
      <c r="F1661" s="1">
        <v>42243</v>
      </c>
      <c r="G1661" t="s">
        <v>449</v>
      </c>
      <c r="H1661" s="81">
        <v>394</v>
      </c>
      <c r="I1661" t="s">
        <v>47</v>
      </c>
      <c r="J1661" s="3">
        <v>4017.78</v>
      </c>
    </row>
    <row r="1662" spans="1:10" x14ac:dyDescent="0.25">
      <c r="A1662" t="s">
        <v>416</v>
      </c>
      <c r="B1662" t="s">
        <v>59</v>
      </c>
      <c r="C1662" s="82">
        <v>306220393</v>
      </c>
      <c r="D1662">
        <v>201509</v>
      </c>
      <c r="E1662" s="1">
        <v>42244</v>
      </c>
      <c r="F1662" s="1">
        <v>42275</v>
      </c>
      <c r="G1662" t="s">
        <v>449</v>
      </c>
      <c r="H1662" s="81">
        <v>441</v>
      </c>
      <c r="I1662" t="s">
        <v>47</v>
      </c>
      <c r="J1662" s="3">
        <v>4617.03</v>
      </c>
    </row>
    <row r="1663" spans="1:10" x14ac:dyDescent="0.25">
      <c r="A1663" t="s">
        <v>416</v>
      </c>
      <c r="B1663" t="s">
        <v>59</v>
      </c>
      <c r="C1663" s="82">
        <v>306220393</v>
      </c>
      <c r="D1663">
        <v>201510</v>
      </c>
      <c r="E1663" s="1">
        <v>42276</v>
      </c>
      <c r="F1663" s="1">
        <v>42310</v>
      </c>
      <c r="G1663" t="s">
        <v>449</v>
      </c>
      <c r="H1663" s="81">
        <v>437</v>
      </c>
      <c r="I1663" t="s">
        <v>47</v>
      </c>
      <c r="J1663" s="3">
        <v>4566.03</v>
      </c>
    </row>
    <row r="1664" spans="1:10" x14ac:dyDescent="0.25">
      <c r="A1664" t="s">
        <v>416</v>
      </c>
      <c r="B1664" t="s">
        <v>59</v>
      </c>
      <c r="C1664" s="82">
        <v>306220393</v>
      </c>
      <c r="D1664">
        <v>201511</v>
      </c>
      <c r="E1664" s="1">
        <v>42311</v>
      </c>
      <c r="F1664" s="1">
        <v>42341</v>
      </c>
      <c r="G1664" t="s">
        <v>449</v>
      </c>
      <c r="H1664" s="81">
        <v>335</v>
      </c>
      <c r="I1664" t="s">
        <v>47</v>
      </c>
      <c r="J1664" s="3">
        <v>3265.53</v>
      </c>
    </row>
    <row r="1665" spans="1:10" x14ac:dyDescent="0.25">
      <c r="A1665" t="s">
        <v>416</v>
      </c>
      <c r="B1665" t="s">
        <v>59</v>
      </c>
      <c r="C1665" s="82">
        <v>306220393</v>
      </c>
      <c r="D1665">
        <v>201512</v>
      </c>
      <c r="E1665" s="1">
        <v>42342</v>
      </c>
      <c r="F1665" s="1">
        <v>42369</v>
      </c>
      <c r="G1665" t="s">
        <v>449</v>
      </c>
      <c r="H1665" s="81">
        <v>322</v>
      </c>
      <c r="I1665" t="s">
        <v>47</v>
      </c>
      <c r="J1665" s="3">
        <v>3089.13</v>
      </c>
    </row>
    <row r="1666" spans="1:10" x14ac:dyDescent="0.25">
      <c r="A1666" t="s">
        <v>416</v>
      </c>
      <c r="B1666" t="s">
        <v>59</v>
      </c>
      <c r="C1666" s="82">
        <v>306220393</v>
      </c>
      <c r="D1666">
        <v>201601</v>
      </c>
      <c r="E1666" s="1">
        <v>42370</v>
      </c>
      <c r="F1666" s="1">
        <v>42402</v>
      </c>
      <c r="G1666" t="s">
        <v>449</v>
      </c>
      <c r="H1666" s="81">
        <v>378</v>
      </c>
      <c r="I1666" t="s">
        <v>47</v>
      </c>
      <c r="J1666" s="3">
        <v>3604.33</v>
      </c>
    </row>
    <row r="1667" spans="1:10" x14ac:dyDescent="0.25">
      <c r="A1667" t="s">
        <v>416</v>
      </c>
      <c r="B1667" t="s">
        <v>59</v>
      </c>
      <c r="C1667" s="82">
        <v>306220393</v>
      </c>
      <c r="D1667">
        <v>201602</v>
      </c>
      <c r="E1667" s="1">
        <v>42403</v>
      </c>
      <c r="F1667" s="1">
        <v>42433</v>
      </c>
      <c r="G1667" t="s">
        <v>449</v>
      </c>
      <c r="H1667" s="81">
        <v>406</v>
      </c>
      <c r="I1667" t="s">
        <v>47</v>
      </c>
      <c r="J1667" s="3">
        <v>3861.93</v>
      </c>
    </row>
    <row r="1668" spans="1:10" x14ac:dyDescent="0.25">
      <c r="A1668" t="s">
        <v>416</v>
      </c>
      <c r="B1668" t="s">
        <v>59</v>
      </c>
      <c r="C1668" s="82">
        <v>306220393</v>
      </c>
      <c r="D1668">
        <v>201603</v>
      </c>
      <c r="E1668" s="1">
        <v>42434</v>
      </c>
      <c r="F1668" s="1">
        <v>42461</v>
      </c>
      <c r="G1668" t="s">
        <v>449</v>
      </c>
      <c r="H1668" s="81">
        <v>241</v>
      </c>
      <c r="I1668" t="s">
        <v>47</v>
      </c>
      <c r="J1668" s="3">
        <v>2376.83</v>
      </c>
    </row>
    <row r="1669" spans="1:10" x14ac:dyDescent="0.25">
      <c r="A1669" t="s">
        <v>416</v>
      </c>
      <c r="B1669" t="s">
        <v>59</v>
      </c>
      <c r="C1669" s="82">
        <v>306220393</v>
      </c>
      <c r="D1669">
        <v>201604</v>
      </c>
      <c r="E1669" s="1">
        <v>42462</v>
      </c>
      <c r="F1669" s="1">
        <v>42493</v>
      </c>
      <c r="G1669" t="s">
        <v>449</v>
      </c>
      <c r="H1669" s="81">
        <v>277</v>
      </c>
      <c r="I1669" t="s">
        <v>47</v>
      </c>
      <c r="J1669" s="3">
        <v>2712.71</v>
      </c>
    </row>
    <row r="1670" spans="1:10" x14ac:dyDescent="0.25">
      <c r="A1670" t="s">
        <v>416</v>
      </c>
      <c r="B1670" t="s">
        <v>59</v>
      </c>
      <c r="C1670" s="82">
        <v>306220393</v>
      </c>
      <c r="D1670">
        <v>201605</v>
      </c>
      <c r="E1670" s="1">
        <v>42494</v>
      </c>
      <c r="F1670" s="1">
        <v>42521</v>
      </c>
      <c r="G1670" t="s">
        <v>449</v>
      </c>
      <c r="H1670" s="81">
        <v>164</v>
      </c>
      <c r="I1670" t="s">
        <v>47</v>
      </c>
      <c r="J1670" s="3">
        <v>1658.42</v>
      </c>
    </row>
    <row r="1671" spans="1:10" x14ac:dyDescent="0.25">
      <c r="A1671" t="s">
        <v>416</v>
      </c>
      <c r="B1671" t="s">
        <v>59</v>
      </c>
      <c r="C1671" s="82">
        <v>306220393</v>
      </c>
      <c r="D1671">
        <v>201606</v>
      </c>
      <c r="E1671" s="1">
        <v>42522</v>
      </c>
      <c r="F1671" s="1">
        <v>42550</v>
      </c>
      <c r="G1671" t="s">
        <v>449</v>
      </c>
      <c r="H1671" s="81">
        <v>146</v>
      </c>
      <c r="I1671" t="s">
        <v>47</v>
      </c>
      <c r="J1671" s="3">
        <v>1490.48</v>
      </c>
    </row>
    <row r="1672" spans="1:10" x14ac:dyDescent="0.25">
      <c r="H1672" s="99"/>
      <c r="I1672" s="129"/>
      <c r="J1672" s="104"/>
    </row>
    <row r="1673" spans="1:10" x14ac:dyDescent="0.25">
      <c r="H1673" s="111"/>
      <c r="I1673" s="129"/>
      <c r="J1673" s="112"/>
    </row>
    <row r="1674" spans="1:10" x14ac:dyDescent="0.25">
      <c r="H1674" s="99"/>
      <c r="I1674" s="129"/>
      <c r="J1674" s="104"/>
    </row>
  </sheetData>
  <sortState xmlns:xlrd2="http://schemas.microsoft.com/office/spreadsheetml/2017/richdata2" ref="A1:J911">
    <sortCondition ref="A1:A911"/>
  </sortState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W423"/>
  <sheetViews>
    <sheetView topLeftCell="A230" workbookViewId="0">
      <selection activeCell="A136" sqref="A136"/>
    </sheetView>
  </sheetViews>
  <sheetFormatPr defaultColWidth="8.85546875" defaultRowHeight="15" x14ac:dyDescent="0.25"/>
  <cols>
    <col min="1" max="1" width="22.7109375" bestFit="1" customWidth="1"/>
    <col min="2" max="2" width="14.42578125" bestFit="1" customWidth="1"/>
    <col min="3" max="3" width="23.7109375" style="82" bestFit="1" customWidth="1"/>
    <col min="4" max="4" width="7" bestFit="1" customWidth="1"/>
    <col min="5" max="6" width="10.7109375" bestFit="1" customWidth="1"/>
    <col min="7" max="7" width="23.7109375" bestFit="1" customWidth="1"/>
    <col min="8" max="8" width="8.28515625" bestFit="1" customWidth="1"/>
    <col min="9" max="9" width="7.85546875" bestFit="1" customWidth="1"/>
    <col min="10" max="10" width="10.85546875" bestFit="1" customWidth="1"/>
    <col min="11" max="11" width="6.85546875" bestFit="1" customWidth="1"/>
    <col min="16" max="16" width="22.7109375" bestFit="1" customWidth="1"/>
    <col min="17" max="17" width="14.42578125" bestFit="1" customWidth="1"/>
    <col min="18" max="18" width="24.140625" bestFit="1" customWidth="1"/>
    <col min="19" max="19" width="10.7109375" bestFit="1" customWidth="1"/>
    <col min="20" max="20" width="20.85546875" bestFit="1" customWidth="1"/>
    <col min="21" max="21" width="10.7109375" bestFit="1" customWidth="1"/>
    <col min="22" max="22" width="24.140625" bestFit="1" customWidth="1"/>
    <col min="23" max="23" width="7.42578125" style="2" bestFit="1" customWidth="1"/>
    <col min="24" max="24" width="7.85546875" bestFit="1" customWidth="1"/>
    <col min="25" max="25" width="10.140625" bestFit="1" customWidth="1"/>
    <col min="26" max="26" width="6.85546875" bestFit="1" customWidth="1"/>
  </cols>
  <sheetData>
    <row r="1" spans="1:11" ht="15.75" x14ac:dyDescent="0.25">
      <c r="A1" s="103" t="s">
        <v>598</v>
      </c>
    </row>
    <row r="4" spans="1:11" x14ac:dyDescent="0.25">
      <c r="A4" t="s">
        <v>48</v>
      </c>
      <c r="B4" t="s">
        <v>49</v>
      </c>
      <c r="C4" s="82">
        <v>3554000103</v>
      </c>
      <c r="D4">
        <v>201507</v>
      </c>
      <c r="E4" s="1">
        <v>42186</v>
      </c>
      <c r="F4" s="1">
        <v>42216</v>
      </c>
      <c r="G4" t="s">
        <v>50</v>
      </c>
      <c r="H4" s="81">
        <v>0</v>
      </c>
      <c r="I4" t="s">
        <v>27</v>
      </c>
      <c r="J4" s="3">
        <v>11.23</v>
      </c>
      <c r="K4" t="s">
        <v>52</v>
      </c>
    </row>
    <row r="5" spans="1:11" x14ac:dyDescent="0.25">
      <c r="A5" t="s">
        <v>48</v>
      </c>
      <c r="B5" t="s">
        <v>49</v>
      </c>
      <c r="C5" s="82">
        <v>3554000103</v>
      </c>
      <c r="D5">
        <v>201508</v>
      </c>
      <c r="E5" s="1">
        <v>42217</v>
      </c>
      <c r="F5" s="1">
        <v>42247</v>
      </c>
      <c r="G5" t="s">
        <v>50</v>
      </c>
      <c r="H5" s="81">
        <v>2</v>
      </c>
      <c r="I5" t="s">
        <v>27</v>
      </c>
      <c r="J5" s="3">
        <v>35.549999999999997</v>
      </c>
      <c r="K5" t="s">
        <v>52</v>
      </c>
    </row>
    <row r="6" spans="1:11" x14ac:dyDescent="0.25">
      <c r="A6" t="s">
        <v>48</v>
      </c>
      <c r="B6" t="s">
        <v>49</v>
      </c>
      <c r="C6" s="82">
        <v>3554000103</v>
      </c>
      <c r="D6">
        <v>201509</v>
      </c>
      <c r="E6" s="1">
        <v>42248</v>
      </c>
      <c r="F6" s="1">
        <v>42277</v>
      </c>
      <c r="G6" t="s">
        <v>50</v>
      </c>
      <c r="H6" s="81">
        <v>5</v>
      </c>
      <c r="I6" t="s">
        <v>27</v>
      </c>
      <c r="J6" s="3">
        <v>55.43</v>
      </c>
      <c r="K6" t="s">
        <v>52</v>
      </c>
    </row>
    <row r="7" spans="1:11" x14ac:dyDescent="0.25">
      <c r="A7" t="s">
        <v>48</v>
      </c>
      <c r="B7" t="s">
        <v>49</v>
      </c>
      <c r="C7" s="82">
        <v>3554000103</v>
      </c>
      <c r="D7">
        <v>201510</v>
      </c>
      <c r="E7" s="1">
        <v>42278</v>
      </c>
      <c r="F7" s="1">
        <v>42308</v>
      </c>
      <c r="G7" t="s">
        <v>50</v>
      </c>
      <c r="H7" s="81">
        <v>6</v>
      </c>
      <c r="I7" t="s">
        <v>27</v>
      </c>
      <c r="J7" s="3">
        <v>62.55</v>
      </c>
      <c r="K7" t="s">
        <v>52</v>
      </c>
    </row>
    <row r="8" spans="1:11" x14ac:dyDescent="0.25">
      <c r="A8" t="s">
        <v>48</v>
      </c>
      <c r="B8" t="s">
        <v>49</v>
      </c>
      <c r="C8" s="82">
        <v>3554000103</v>
      </c>
      <c r="D8">
        <v>201511</v>
      </c>
      <c r="E8" s="1">
        <v>42309</v>
      </c>
      <c r="F8" s="1">
        <v>42338</v>
      </c>
      <c r="G8" t="s">
        <v>50</v>
      </c>
      <c r="H8" s="81">
        <v>7</v>
      </c>
      <c r="I8" t="s">
        <v>27</v>
      </c>
      <c r="J8" s="3">
        <v>70.64</v>
      </c>
      <c r="K8" t="s">
        <v>52</v>
      </c>
    </row>
    <row r="9" spans="1:11" x14ac:dyDescent="0.25">
      <c r="A9" t="s">
        <v>48</v>
      </c>
      <c r="B9" t="s">
        <v>49</v>
      </c>
      <c r="C9" s="82">
        <v>3554000103</v>
      </c>
      <c r="D9">
        <v>201512</v>
      </c>
      <c r="E9" s="1">
        <v>42339</v>
      </c>
      <c r="F9" s="1">
        <v>42369</v>
      </c>
      <c r="G9" t="s">
        <v>50</v>
      </c>
      <c r="H9" s="81">
        <v>4</v>
      </c>
      <c r="I9" t="s">
        <v>27</v>
      </c>
      <c r="J9" s="3">
        <v>49.98</v>
      </c>
      <c r="K9" t="s">
        <v>52</v>
      </c>
    </row>
    <row r="10" spans="1:11" x14ac:dyDescent="0.25">
      <c r="A10" t="s">
        <v>48</v>
      </c>
      <c r="B10" t="s">
        <v>49</v>
      </c>
      <c r="C10" s="82">
        <v>3554000103</v>
      </c>
      <c r="D10">
        <v>201601</v>
      </c>
      <c r="E10" s="1">
        <v>42370</v>
      </c>
      <c r="F10" s="1">
        <v>42400</v>
      </c>
      <c r="G10" t="s">
        <v>50</v>
      </c>
      <c r="H10" s="81">
        <v>3</v>
      </c>
      <c r="I10" t="s">
        <v>27</v>
      </c>
      <c r="J10" s="3">
        <v>42.18</v>
      </c>
      <c r="K10" t="s">
        <v>52</v>
      </c>
    </row>
    <row r="11" spans="1:11" x14ac:dyDescent="0.25">
      <c r="A11" t="s">
        <v>48</v>
      </c>
      <c r="B11" t="s">
        <v>49</v>
      </c>
      <c r="C11" s="82">
        <v>3554000103</v>
      </c>
      <c r="D11">
        <v>201602</v>
      </c>
      <c r="E11" s="1">
        <v>42401</v>
      </c>
      <c r="F11" s="1">
        <v>42429</v>
      </c>
      <c r="G11" t="s">
        <v>50</v>
      </c>
      <c r="H11" s="81">
        <v>6</v>
      </c>
      <c r="I11" t="s">
        <v>27</v>
      </c>
      <c r="J11" s="3">
        <v>65.900000000000006</v>
      </c>
      <c r="K11" t="s">
        <v>52</v>
      </c>
    </row>
    <row r="12" spans="1:11" x14ac:dyDescent="0.25">
      <c r="A12" t="s">
        <v>48</v>
      </c>
      <c r="B12" t="s">
        <v>49</v>
      </c>
      <c r="C12" s="82">
        <v>3554000103</v>
      </c>
      <c r="D12">
        <v>201603</v>
      </c>
      <c r="E12" s="1">
        <v>42430</v>
      </c>
      <c r="F12" s="1">
        <v>42460</v>
      </c>
      <c r="G12" t="s">
        <v>50</v>
      </c>
      <c r="H12" s="81">
        <v>4</v>
      </c>
      <c r="I12" t="s">
        <v>27</v>
      </c>
      <c r="J12" s="3">
        <v>49.23</v>
      </c>
      <c r="K12" t="s">
        <v>52</v>
      </c>
    </row>
    <row r="13" spans="1:11" x14ac:dyDescent="0.25">
      <c r="A13" t="s">
        <v>48</v>
      </c>
      <c r="B13" t="s">
        <v>49</v>
      </c>
      <c r="C13" s="82">
        <v>3554000103</v>
      </c>
      <c r="D13">
        <v>201604</v>
      </c>
      <c r="E13" s="1">
        <v>42461</v>
      </c>
      <c r="F13" s="1">
        <v>42490</v>
      </c>
      <c r="G13" t="s">
        <v>50</v>
      </c>
      <c r="H13" s="81">
        <v>4</v>
      </c>
      <c r="I13" t="s">
        <v>27</v>
      </c>
      <c r="J13" s="3">
        <v>48.22</v>
      </c>
      <c r="K13" t="s">
        <v>52</v>
      </c>
    </row>
    <row r="14" spans="1:11" x14ac:dyDescent="0.25">
      <c r="A14" t="s">
        <v>48</v>
      </c>
      <c r="B14" t="s">
        <v>49</v>
      </c>
      <c r="C14" s="82">
        <v>3554000103</v>
      </c>
      <c r="D14">
        <v>201605</v>
      </c>
      <c r="E14" s="1">
        <v>42491</v>
      </c>
      <c r="F14" s="1">
        <v>42521</v>
      </c>
      <c r="G14" t="s">
        <v>50</v>
      </c>
      <c r="H14" s="81">
        <v>3</v>
      </c>
      <c r="I14" t="s">
        <v>27</v>
      </c>
      <c r="J14" s="3">
        <v>38.78</v>
      </c>
      <c r="K14" t="s">
        <v>52</v>
      </c>
    </row>
    <row r="15" spans="1:11" ht="15.75" thickBot="1" x14ac:dyDescent="0.3">
      <c r="A15" t="s">
        <v>48</v>
      </c>
      <c r="B15" t="s">
        <v>49</v>
      </c>
      <c r="C15" s="82">
        <v>3554000103</v>
      </c>
      <c r="D15">
        <v>201606</v>
      </c>
      <c r="E15" s="1">
        <v>42522</v>
      </c>
      <c r="F15" s="1">
        <v>42551</v>
      </c>
      <c r="G15" t="s">
        <v>50</v>
      </c>
      <c r="H15" s="81">
        <v>2</v>
      </c>
      <c r="I15" t="s">
        <v>27</v>
      </c>
      <c r="J15" s="3">
        <v>33.619999999999997</v>
      </c>
      <c r="K15" t="s">
        <v>52</v>
      </c>
    </row>
    <row r="16" spans="1:11" ht="15.75" thickBot="1" x14ac:dyDescent="0.3">
      <c r="G16" s="20" t="s">
        <v>574</v>
      </c>
      <c r="H16" s="89">
        <f>SUM(H4:H15)</f>
        <v>46</v>
      </c>
      <c r="I16" t="s">
        <v>27</v>
      </c>
      <c r="J16" s="90">
        <f>SUM(J4:J15)</f>
        <v>563.31000000000006</v>
      </c>
    </row>
    <row r="17" spans="1:11" x14ac:dyDescent="0.25">
      <c r="H17" s="2"/>
    </row>
    <row r="18" spans="1:11" x14ac:dyDescent="0.25">
      <c r="H18" s="2"/>
    </row>
    <row r="19" spans="1:11" x14ac:dyDescent="0.25">
      <c r="A19" t="s">
        <v>57</v>
      </c>
      <c r="B19" t="s">
        <v>49</v>
      </c>
      <c r="C19" s="82">
        <v>3554002109</v>
      </c>
      <c r="D19">
        <v>201507</v>
      </c>
      <c r="E19" s="1">
        <v>42186</v>
      </c>
      <c r="F19" s="1">
        <v>42216</v>
      </c>
      <c r="G19" t="s">
        <v>58</v>
      </c>
      <c r="H19" s="81">
        <v>30</v>
      </c>
      <c r="I19" t="s">
        <v>27</v>
      </c>
      <c r="J19" s="3">
        <v>195.83</v>
      </c>
      <c r="K19" t="s">
        <v>52</v>
      </c>
    </row>
    <row r="20" spans="1:11" x14ac:dyDescent="0.25">
      <c r="A20" t="s">
        <v>57</v>
      </c>
      <c r="B20" t="s">
        <v>49</v>
      </c>
      <c r="C20" s="82">
        <v>3554002109</v>
      </c>
      <c r="D20">
        <v>201508</v>
      </c>
      <c r="E20" s="1">
        <v>42217</v>
      </c>
      <c r="F20" s="1">
        <v>42247</v>
      </c>
      <c r="G20" t="s">
        <v>58</v>
      </c>
      <c r="H20" s="81">
        <v>33.5</v>
      </c>
      <c r="I20" t="s">
        <v>27</v>
      </c>
      <c r="J20" s="3">
        <v>1063.08</v>
      </c>
      <c r="K20" t="s">
        <v>52</v>
      </c>
    </row>
    <row r="21" spans="1:11" x14ac:dyDescent="0.25">
      <c r="A21" t="s">
        <v>57</v>
      </c>
      <c r="B21" t="s">
        <v>49</v>
      </c>
      <c r="C21" s="82">
        <v>3554002109</v>
      </c>
      <c r="D21">
        <v>201509</v>
      </c>
      <c r="E21" s="1">
        <v>42248</v>
      </c>
      <c r="F21" s="1">
        <v>42277</v>
      </c>
      <c r="G21" t="s">
        <v>58</v>
      </c>
      <c r="H21" s="81">
        <v>64</v>
      </c>
      <c r="I21" t="s">
        <v>27</v>
      </c>
      <c r="J21" s="3">
        <v>409.06</v>
      </c>
      <c r="K21" t="s">
        <v>52</v>
      </c>
    </row>
    <row r="22" spans="1:11" x14ac:dyDescent="0.25">
      <c r="A22" t="s">
        <v>57</v>
      </c>
      <c r="B22" t="s">
        <v>49</v>
      </c>
      <c r="C22" s="82">
        <v>3554002109</v>
      </c>
      <c r="D22">
        <v>201510</v>
      </c>
      <c r="E22" s="1">
        <v>42278</v>
      </c>
      <c r="F22" s="1">
        <v>42308</v>
      </c>
      <c r="G22" t="s">
        <v>58</v>
      </c>
      <c r="H22" s="81">
        <v>66.5</v>
      </c>
      <c r="I22" t="s">
        <v>27</v>
      </c>
      <c r="J22" s="3">
        <v>433.75</v>
      </c>
      <c r="K22" t="s">
        <v>52</v>
      </c>
    </row>
    <row r="23" spans="1:11" x14ac:dyDescent="0.25">
      <c r="A23" t="s">
        <v>57</v>
      </c>
      <c r="B23" t="s">
        <v>49</v>
      </c>
      <c r="C23" s="82">
        <v>3554002109</v>
      </c>
      <c r="D23">
        <v>201511</v>
      </c>
      <c r="E23" s="1">
        <v>42309</v>
      </c>
      <c r="F23" s="1">
        <v>42338</v>
      </c>
      <c r="G23" t="s">
        <v>58</v>
      </c>
      <c r="H23" s="81">
        <v>71.5</v>
      </c>
      <c r="I23" t="s">
        <v>27</v>
      </c>
      <c r="J23" s="3">
        <v>456.05</v>
      </c>
      <c r="K23" t="s">
        <v>52</v>
      </c>
    </row>
    <row r="24" spans="1:11" x14ac:dyDescent="0.25">
      <c r="A24" t="s">
        <v>57</v>
      </c>
      <c r="B24" t="s">
        <v>49</v>
      </c>
      <c r="C24" s="82">
        <v>3554002109</v>
      </c>
      <c r="D24">
        <v>201512</v>
      </c>
      <c r="E24" s="1">
        <v>42339</v>
      </c>
      <c r="F24" s="1">
        <v>42369</v>
      </c>
      <c r="G24" t="s">
        <v>58</v>
      </c>
      <c r="H24" s="81">
        <v>49</v>
      </c>
      <c r="I24" t="s">
        <v>27</v>
      </c>
      <c r="J24" s="3">
        <v>510.14</v>
      </c>
      <c r="K24" t="s">
        <v>52</v>
      </c>
    </row>
    <row r="25" spans="1:11" x14ac:dyDescent="0.25">
      <c r="A25" t="s">
        <v>57</v>
      </c>
      <c r="B25" t="s">
        <v>49</v>
      </c>
      <c r="C25" s="82">
        <v>3554002109</v>
      </c>
      <c r="D25">
        <v>201601</v>
      </c>
      <c r="E25" s="1">
        <v>42370</v>
      </c>
      <c r="F25" s="1">
        <v>42400</v>
      </c>
      <c r="G25" t="s">
        <v>58</v>
      </c>
      <c r="H25" s="81">
        <v>49.5</v>
      </c>
      <c r="I25" t="s">
        <v>27</v>
      </c>
      <c r="J25" s="3">
        <v>655.9</v>
      </c>
      <c r="K25" t="s">
        <v>52</v>
      </c>
    </row>
    <row r="26" spans="1:11" x14ac:dyDescent="0.25">
      <c r="A26" t="s">
        <v>57</v>
      </c>
      <c r="B26" t="s">
        <v>49</v>
      </c>
      <c r="C26" s="82">
        <v>3554002109</v>
      </c>
      <c r="D26">
        <v>201602</v>
      </c>
      <c r="E26" s="1">
        <v>42401</v>
      </c>
      <c r="F26" s="1">
        <v>42429</v>
      </c>
      <c r="G26" t="s">
        <v>58</v>
      </c>
      <c r="H26" s="81">
        <v>62.5</v>
      </c>
      <c r="I26" t="s">
        <v>27</v>
      </c>
      <c r="J26" s="3">
        <v>398.89</v>
      </c>
      <c r="K26" t="s">
        <v>52</v>
      </c>
    </row>
    <row r="27" spans="1:11" x14ac:dyDescent="0.25">
      <c r="A27" t="s">
        <v>57</v>
      </c>
      <c r="B27" t="s">
        <v>49</v>
      </c>
      <c r="C27" s="82">
        <v>3554002109</v>
      </c>
      <c r="D27">
        <v>201603</v>
      </c>
      <c r="E27" s="1">
        <v>42430</v>
      </c>
      <c r="F27" s="1">
        <v>42460</v>
      </c>
      <c r="G27" t="s">
        <v>58</v>
      </c>
      <c r="H27" s="81">
        <v>55.5</v>
      </c>
      <c r="I27" t="s">
        <v>27</v>
      </c>
      <c r="J27" s="3">
        <v>360.6</v>
      </c>
      <c r="K27" t="s">
        <v>52</v>
      </c>
    </row>
    <row r="28" spans="1:11" x14ac:dyDescent="0.25">
      <c r="A28" t="s">
        <v>57</v>
      </c>
      <c r="B28" t="s">
        <v>49</v>
      </c>
      <c r="C28" s="82">
        <v>3554002109</v>
      </c>
      <c r="D28">
        <v>201604</v>
      </c>
      <c r="E28" s="1">
        <v>42461</v>
      </c>
      <c r="F28" s="1">
        <v>42490</v>
      </c>
      <c r="G28" t="s">
        <v>58</v>
      </c>
      <c r="H28" s="81">
        <v>62</v>
      </c>
      <c r="I28" t="s">
        <v>27</v>
      </c>
      <c r="J28" s="3">
        <v>386.12</v>
      </c>
      <c r="K28" t="s">
        <v>52</v>
      </c>
    </row>
    <row r="29" spans="1:11" x14ac:dyDescent="0.25">
      <c r="A29" t="s">
        <v>57</v>
      </c>
      <c r="B29" t="s">
        <v>49</v>
      </c>
      <c r="C29" s="82">
        <v>3554002109</v>
      </c>
      <c r="D29">
        <v>201605</v>
      </c>
      <c r="E29" s="1">
        <v>42491</v>
      </c>
      <c r="F29" s="1">
        <v>42521</v>
      </c>
      <c r="G29" t="s">
        <v>58</v>
      </c>
      <c r="H29" s="81">
        <v>37</v>
      </c>
      <c r="I29" t="s">
        <v>27</v>
      </c>
      <c r="J29" s="3">
        <v>253.42</v>
      </c>
      <c r="K29" t="s">
        <v>52</v>
      </c>
    </row>
    <row r="30" spans="1:11" x14ac:dyDescent="0.25">
      <c r="A30" t="s">
        <v>57</v>
      </c>
      <c r="B30" t="s">
        <v>49</v>
      </c>
      <c r="C30" s="82">
        <v>3554002109</v>
      </c>
      <c r="D30">
        <v>201606</v>
      </c>
      <c r="E30" s="1">
        <v>42522</v>
      </c>
      <c r="F30" s="1">
        <v>42551</v>
      </c>
      <c r="G30" t="s">
        <v>58</v>
      </c>
      <c r="H30" s="81">
        <v>26.5</v>
      </c>
      <c r="I30" t="s">
        <v>27</v>
      </c>
      <c r="J30" s="3">
        <v>100.91</v>
      </c>
      <c r="K30" t="s">
        <v>52</v>
      </c>
    </row>
    <row r="31" spans="1:11" x14ac:dyDescent="0.25">
      <c r="A31" t="s">
        <v>57</v>
      </c>
      <c r="B31" t="s">
        <v>49</v>
      </c>
      <c r="C31" s="82" t="s">
        <v>83</v>
      </c>
      <c r="D31">
        <v>201507</v>
      </c>
      <c r="E31" s="1">
        <v>42186</v>
      </c>
      <c r="F31" s="1">
        <v>42216</v>
      </c>
      <c r="G31" t="s">
        <v>83</v>
      </c>
      <c r="H31" s="81">
        <v>30</v>
      </c>
      <c r="I31" t="s">
        <v>27</v>
      </c>
      <c r="J31" s="3">
        <v>195.82</v>
      </c>
      <c r="K31" t="s">
        <v>52</v>
      </c>
    </row>
    <row r="32" spans="1:11" x14ac:dyDescent="0.25">
      <c r="A32" t="s">
        <v>57</v>
      </c>
      <c r="B32" t="s">
        <v>49</v>
      </c>
      <c r="C32" s="82" t="s">
        <v>83</v>
      </c>
      <c r="D32">
        <v>201508</v>
      </c>
      <c r="E32" s="1">
        <v>42217</v>
      </c>
      <c r="F32" s="1">
        <v>42247</v>
      </c>
      <c r="G32" t="s">
        <v>83</v>
      </c>
      <c r="H32" s="81">
        <v>33.5</v>
      </c>
      <c r="I32" t="s">
        <v>27</v>
      </c>
      <c r="J32" s="3">
        <v>1063.07</v>
      </c>
      <c r="K32" t="s">
        <v>52</v>
      </c>
    </row>
    <row r="33" spans="1:11" x14ac:dyDescent="0.25">
      <c r="A33" t="s">
        <v>57</v>
      </c>
      <c r="B33" t="s">
        <v>49</v>
      </c>
      <c r="C33" s="82" t="s">
        <v>83</v>
      </c>
      <c r="D33">
        <v>201509</v>
      </c>
      <c r="E33" s="1">
        <v>42248</v>
      </c>
      <c r="F33" s="1">
        <v>42277</v>
      </c>
      <c r="G33" t="s">
        <v>83</v>
      </c>
      <c r="H33" s="81">
        <v>64</v>
      </c>
      <c r="I33" t="s">
        <v>27</v>
      </c>
      <c r="J33" s="3">
        <v>409.06</v>
      </c>
      <c r="K33" t="s">
        <v>52</v>
      </c>
    </row>
    <row r="34" spans="1:11" x14ac:dyDescent="0.25">
      <c r="A34" t="s">
        <v>57</v>
      </c>
      <c r="B34" t="s">
        <v>49</v>
      </c>
      <c r="C34" s="82" t="s">
        <v>83</v>
      </c>
      <c r="D34">
        <v>201510</v>
      </c>
      <c r="E34" s="1">
        <v>42278</v>
      </c>
      <c r="F34" s="1">
        <v>42308</v>
      </c>
      <c r="G34" t="s">
        <v>83</v>
      </c>
      <c r="H34" s="81">
        <v>66.5</v>
      </c>
      <c r="I34" t="s">
        <v>27</v>
      </c>
      <c r="J34" s="3">
        <v>433.75</v>
      </c>
      <c r="K34" t="s">
        <v>52</v>
      </c>
    </row>
    <row r="35" spans="1:11" x14ac:dyDescent="0.25">
      <c r="A35" t="s">
        <v>57</v>
      </c>
      <c r="B35" t="s">
        <v>49</v>
      </c>
      <c r="C35" s="82" t="s">
        <v>83</v>
      </c>
      <c r="D35">
        <v>201511</v>
      </c>
      <c r="E35" s="1">
        <v>42309</v>
      </c>
      <c r="F35" s="1">
        <v>42338</v>
      </c>
      <c r="G35" t="s">
        <v>83</v>
      </c>
      <c r="H35" s="81">
        <v>71.5</v>
      </c>
      <c r="I35" t="s">
        <v>27</v>
      </c>
      <c r="J35" s="3">
        <v>456.06</v>
      </c>
      <c r="K35" t="s">
        <v>52</v>
      </c>
    </row>
    <row r="36" spans="1:11" x14ac:dyDescent="0.25">
      <c r="A36" t="s">
        <v>57</v>
      </c>
      <c r="B36" t="s">
        <v>49</v>
      </c>
      <c r="C36" s="82" t="s">
        <v>83</v>
      </c>
      <c r="D36">
        <v>201512</v>
      </c>
      <c r="E36" s="1">
        <v>42339</v>
      </c>
      <c r="F36" s="1">
        <v>42369</v>
      </c>
      <c r="G36" t="s">
        <v>83</v>
      </c>
      <c r="H36" s="81">
        <v>49</v>
      </c>
      <c r="I36" t="s">
        <v>27</v>
      </c>
      <c r="J36" s="3">
        <v>510.14</v>
      </c>
      <c r="K36" t="s">
        <v>52</v>
      </c>
    </row>
    <row r="37" spans="1:11" x14ac:dyDescent="0.25">
      <c r="A37" t="s">
        <v>57</v>
      </c>
      <c r="B37" t="s">
        <v>49</v>
      </c>
      <c r="C37" s="82" t="s">
        <v>83</v>
      </c>
      <c r="D37">
        <v>201601</v>
      </c>
      <c r="E37" s="1">
        <v>42370</v>
      </c>
      <c r="F37" s="1">
        <v>42400</v>
      </c>
      <c r="G37" t="s">
        <v>83</v>
      </c>
      <c r="H37" s="81">
        <v>49.5</v>
      </c>
      <c r="I37" t="s">
        <v>27</v>
      </c>
      <c r="J37" s="3">
        <v>655.89</v>
      </c>
      <c r="K37" t="s">
        <v>52</v>
      </c>
    </row>
    <row r="38" spans="1:11" x14ac:dyDescent="0.25">
      <c r="A38" t="s">
        <v>57</v>
      </c>
      <c r="B38" t="s">
        <v>49</v>
      </c>
      <c r="C38" s="82" t="s">
        <v>83</v>
      </c>
      <c r="D38">
        <v>201602</v>
      </c>
      <c r="E38" s="1">
        <v>42401</v>
      </c>
      <c r="F38" s="1">
        <v>42429</v>
      </c>
      <c r="G38" t="s">
        <v>83</v>
      </c>
      <c r="H38" s="81">
        <v>62.5</v>
      </c>
      <c r="I38" t="s">
        <v>27</v>
      </c>
      <c r="J38" s="3">
        <v>398.89</v>
      </c>
      <c r="K38" t="s">
        <v>52</v>
      </c>
    </row>
    <row r="39" spans="1:11" x14ac:dyDescent="0.25">
      <c r="A39" t="s">
        <v>57</v>
      </c>
      <c r="B39" t="s">
        <v>49</v>
      </c>
      <c r="C39" s="82" t="s">
        <v>83</v>
      </c>
      <c r="D39">
        <v>201603</v>
      </c>
      <c r="E39" s="1">
        <v>42430</v>
      </c>
      <c r="F39" s="1">
        <v>42460</v>
      </c>
      <c r="G39" t="s">
        <v>83</v>
      </c>
      <c r="H39" s="81">
        <v>55.5</v>
      </c>
      <c r="I39" t="s">
        <v>27</v>
      </c>
      <c r="J39" s="3">
        <v>360.6</v>
      </c>
      <c r="K39" t="s">
        <v>52</v>
      </c>
    </row>
    <row r="40" spans="1:11" x14ac:dyDescent="0.25">
      <c r="A40" t="s">
        <v>57</v>
      </c>
      <c r="B40" t="s">
        <v>49</v>
      </c>
      <c r="C40" s="82" t="s">
        <v>83</v>
      </c>
      <c r="D40">
        <v>201604</v>
      </c>
      <c r="E40" s="1">
        <v>42461</v>
      </c>
      <c r="F40" s="1">
        <v>42490</v>
      </c>
      <c r="G40" t="s">
        <v>83</v>
      </c>
      <c r="H40" s="81">
        <v>62</v>
      </c>
      <c r="I40" t="s">
        <v>27</v>
      </c>
      <c r="J40" s="3">
        <v>386.11</v>
      </c>
      <c r="K40" t="s">
        <v>52</v>
      </c>
    </row>
    <row r="41" spans="1:11" x14ac:dyDescent="0.25">
      <c r="A41" t="s">
        <v>57</v>
      </c>
      <c r="B41" t="s">
        <v>49</v>
      </c>
      <c r="C41" s="82" t="s">
        <v>83</v>
      </c>
      <c r="D41">
        <v>201605</v>
      </c>
      <c r="E41" s="1">
        <v>42491</v>
      </c>
      <c r="F41" s="1">
        <v>42521</v>
      </c>
      <c r="G41" t="s">
        <v>83</v>
      </c>
      <c r="H41" s="81">
        <v>37</v>
      </c>
      <c r="I41" t="s">
        <v>27</v>
      </c>
      <c r="J41" s="3">
        <v>253.42</v>
      </c>
      <c r="K41" t="s">
        <v>52</v>
      </c>
    </row>
    <row r="42" spans="1:11" ht="15.75" thickBot="1" x14ac:dyDescent="0.3">
      <c r="A42" t="s">
        <v>57</v>
      </c>
      <c r="B42" t="s">
        <v>49</v>
      </c>
      <c r="C42" s="82" t="s">
        <v>83</v>
      </c>
      <c r="D42">
        <v>201606</v>
      </c>
      <c r="E42" s="1">
        <v>42522</v>
      </c>
      <c r="F42" s="1">
        <v>42551</v>
      </c>
      <c r="G42" t="s">
        <v>83</v>
      </c>
      <c r="H42" s="81">
        <v>26.5</v>
      </c>
      <c r="I42" t="s">
        <v>27</v>
      </c>
      <c r="J42" s="3">
        <v>100.9</v>
      </c>
      <c r="K42" t="s">
        <v>52</v>
      </c>
    </row>
    <row r="43" spans="1:11" ht="15.75" thickBot="1" x14ac:dyDescent="0.3">
      <c r="G43" s="20" t="s">
        <v>599</v>
      </c>
      <c r="H43" s="89">
        <f>SUM(H19:H42)</f>
        <v>1215</v>
      </c>
      <c r="I43" t="s">
        <v>27</v>
      </c>
      <c r="J43" s="90">
        <f>SUM(J19:J42)</f>
        <v>10447.459999999999</v>
      </c>
    </row>
    <row r="44" spans="1:11" x14ac:dyDescent="0.25">
      <c r="H44" s="2"/>
    </row>
    <row r="45" spans="1:11" x14ac:dyDescent="0.25">
      <c r="A45" t="s">
        <v>68</v>
      </c>
      <c r="B45" t="s">
        <v>5</v>
      </c>
      <c r="C45" s="82" t="s">
        <v>96</v>
      </c>
      <c r="D45">
        <v>201507</v>
      </c>
      <c r="E45" s="1">
        <v>42185</v>
      </c>
      <c r="F45" s="1">
        <v>42216</v>
      </c>
      <c r="G45" t="s">
        <v>96</v>
      </c>
      <c r="H45" s="81">
        <v>5527</v>
      </c>
      <c r="I45" t="s">
        <v>6</v>
      </c>
      <c r="J45" s="3">
        <v>334.3</v>
      </c>
      <c r="K45" t="s">
        <v>52</v>
      </c>
    </row>
    <row r="46" spans="1:11" x14ac:dyDescent="0.25">
      <c r="A46" t="s">
        <v>68</v>
      </c>
      <c r="B46" t="s">
        <v>5</v>
      </c>
      <c r="C46" s="82" t="s">
        <v>96</v>
      </c>
      <c r="D46">
        <v>201508</v>
      </c>
      <c r="E46" s="1">
        <v>42216</v>
      </c>
      <c r="F46" s="1">
        <v>42243</v>
      </c>
      <c r="G46" t="s">
        <v>96</v>
      </c>
      <c r="H46" s="81">
        <v>5692</v>
      </c>
      <c r="I46" t="s">
        <v>6</v>
      </c>
      <c r="J46" s="3">
        <v>344.28</v>
      </c>
      <c r="K46" t="s">
        <v>52</v>
      </c>
    </row>
    <row r="47" spans="1:11" x14ac:dyDescent="0.25">
      <c r="A47" t="s">
        <v>68</v>
      </c>
      <c r="B47" t="s">
        <v>5</v>
      </c>
      <c r="C47" s="82" t="s">
        <v>96</v>
      </c>
      <c r="D47">
        <v>201509</v>
      </c>
      <c r="E47" s="1">
        <v>42243</v>
      </c>
      <c r="F47" s="1">
        <v>42276</v>
      </c>
      <c r="G47" t="s">
        <v>96</v>
      </c>
      <c r="H47" s="81">
        <v>21603</v>
      </c>
      <c r="I47" t="s">
        <v>6</v>
      </c>
      <c r="J47" s="3">
        <v>1306.6600000000001</v>
      </c>
      <c r="K47" t="s">
        <v>52</v>
      </c>
    </row>
    <row r="48" spans="1:11" x14ac:dyDescent="0.25">
      <c r="A48" t="s">
        <v>68</v>
      </c>
      <c r="B48" t="s">
        <v>5</v>
      </c>
      <c r="C48" s="82" t="s">
        <v>96</v>
      </c>
      <c r="D48">
        <v>201510</v>
      </c>
      <c r="E48" s="1">
        <v>42276</v>
      </c>
      <c r="F48" s="1">
        <v>42305</v>
      </c>
      <c r="G48" t="s">
        <v>96</v>
      </c>
      <c r="H48" s="81">
        <v>12008</v>
      </c>
      <c r="I48" t="s">
        <v>6</v>
      </c>
      <c r="J48" s="3">
        <v>726.3</v>
      </c>
      <c r="K48" t="s">
        <v>52</v>
      </c>
    </row>
    <row r="49" spans="1:11" x14ac:dyDescent="0.25">
      <c r="A49" t="s">
        <v>68</v>
      </c>
      <c r="B49" t="s">
        <v>5</v>
      </c>
      <c r="C49" s="82" t="s">
        <v>96</v>
      </c>
      <c r="D49">
        <v>201511</v>
      </c>
      <c r="E49" s="1">
        <v>42305</v>
      </c>
      <c r="F49" s="1">
        <v>42339</v>
      </c>
      <c r="G49" t="s">
        <v>96</v>
      </c>
      <c r="H49" s="81">
        <v>19707</v>
      </c>
      <c r="I49" t="s">
        <v>6</v>
      </c>
      <c r="J49" s="3">
        <v>1191.98</v>
      </c>
      <c r="K49" t="s">
        <v>52</v>
      </c>
    </row>
    <row r="50" spans="1:11" x14ac:dyDescent="0.25">
      <c r="A50" t="s">
        <v>68</v>
      </c>
      <c r="B50" t="s">
        <v>5</v>
      </c>
      <c r="C50" s="82" t="s">
        <v>96</v>
      </c>
      <c r="D50">
        <v>201512</v>
      </c>
      <c r="E50" s="1">
        <v>42339</v>
      </c>
      <c r="F50" s="1">
        <v>42369</v>
      </c>
      <c r="G50" t="s">
        <v>96</v>
      </c>
      <c r="H50" s="81">
        <v>16437</v>
      </c>
      <c r="I50" t="s">
        <v>6</v>
      </c>
      <c r="J50" s="3">
        <v>1038.3599999999999</v>
      </c>
      <c r="K50" t="s">
        <v>52</v>
      </c>
    </row>
    <row r="51" spans="1:11" x14ac:dyDescent="0.25">
      <c r="A51" t="s">
        <v>68</v>
      </c>
      <c r="B51" t="s">
        <v>5</v>
      </c>
      <c r="C51" s="82" t="s">
        <v>96</v>
      </c>
      <c r="D51">
        <v>201601</v>
      </c>
      <c r="E51" s="1">
        <v>42369</v>
      </c>
      <c r="F51" s="1">
        <v>42401</v>
      </c>
      <c r="G51" t="s">
        <v>96</v>
      </c>
      <c r="H51" s="81">
        <v>14895</v>
      </c>
      <c r="I51" t="s">
        <v>6</v>
      </c>
      <c r="J51" s="3">
        <v>931.78</v>
      </c>
      <c r="K51" t="s">
        <v>52</v>
      </c>
    </row>
    <row r="52" spans="1:11" x14ac:dyDescent="0.25">
      <c r="A52" t="s">
        <v>68</v>
      </c>
      <c r="B52" t="s">
        <v>5</v>
      </c>
      <c r="C52" s="82" t="s">
        <v>96</v>
      </c>
      <c r="D52">
        <v>201602</v>
      </c>
      <c r="E52" s="1">
        <v>42401</v>
      </c>
      <c r="F52" s="1">
        <v>42430</v>
      </c>
      <c r="G52" t="s">
        <v>96</v>
      </c>
      <c r="H52" s="81">
        <v>19478</v>
      </c>
      <c r="I52" t="s">
        <v>6</v>
      </c>
      <c r="J52" s="3">
        <v>1188.72</v>
      </c>
      <c r="K52" t="s">
        <v>52</v>
      </c>
    </row>
    <row r="53" spans="1:11" x14ac:dyDescent="0.25">
      <c r="A53" t="s">
        <v>68</v>
      </c>
      <c r="B53" t="s">
        <v>5</v>
      </c>
      <c r="C53" s="82" t="s">
        <v>96</v>
      </c>
      <c r="D53">
        <v>201603</v>
      </c>
      <c r="E53" s="1">
        <v>42430</v>
      </c>
      <c r="F53" s="1">
        <v>42460</v>
      </c>
      <c r="G53" t="s">
        <v>96</v>
      </c>
      <c r="H53" s="81">
        <v>18466</v>
      </c>
      <c r="I53" t="s">
        <v>6</v>
      </c>
      <c r="J53" s="3">
        <v>1185.49</v>
      </c>
      <c r="K53" t="s">
        <v>52</v>
      </c>
    </row>
    <row r="54" spans="1:11" x14ac:dyDescent="0.25">
      <c r="A54" t="s">
        <v>68</v>
      </c>
      <c r="B54" t="s">
        <v>5</v>
      </c>
      <c r="C54" s="82" t="s">
        <v>96</v>
      </c>
      <c r="D54">
        <v>201604</v>
      </c>
      <c r="E54" s="1">
        <v>42460</v>
      </c>
      <c r="F54" s="1">
        <v>42489</v>
      </c>
      <c r="G54" t="s">
        <v>96</v>
      </c>
      <c r="H54" s="81">
        <v>19523</v>
      </c>
      <c r="I54" t="s">
        <v>6</v>
      </c>
      <c r="J54" s="3">
        <v>1176.26</v>
      </c>
      <c r="K54" t="s">
        <v>52</v>
      </c>
    </row>
    <row r="55" spans="1:11" x14ac:dyDescent="0.25">
      <c r="A55" t="s">
        <v>68</v>
      </c>
      <c r="B55" t="s">
        <v>5</v>
      </c>
      <c r="C55" s="82" t="s">
        <v>96</v>
      </c>
      <c r="D55">
        <v>201605</v>
      </c>
      <c r="E55" s="1">
        <v>42489</v>
      </c>
      <c r="F55" s="1">
        <v>42521</v>
      </c>
      <c r="G55" t="s">
        <v>96</v>
      </c>
      <c r="H55" s="81">
        <v>16304</v>
      </c>
      <c r="I55" t="s">
        <v>6</v>
      </c>
      <c r="J55" s="3">
        <v>1014.09</v>
      </c>
      <c r="K55" t="s">
        <v>52</v>
      </c>
    </row>
    <row r="56" spans="1:11" x14ac:dyDescent="0.25">
      <c r="A56" t="s">
        <v>68</v>
      </c>
      <c r="B56" t="s">
        <v>5</v>
      </c>
      <c r="C56" s="82" t="s">
        <v>96</v>
      </c>
      <c r="D56">
        <v>201606</v>
      </c>
      <c r="E56" s="1">
        <v>42521</v>
      </c>
      <c r="F56" s="1">
        <v>42550</v>
      </c>
      <c r="G56" t="s">
        <v>96</v>
      </c>
      <c r="H56" s="81">
        <v>11281</v>
      </c>
      <c r="I56" t="s">
        <v>6</v>
      </c>
      <c r="J56" s="3">
        <v>677.22</v>
      </c>
      <c r="K56" t="s">
        <v>52</v>
      </c>
    </row>
    <row r="57" spans="1:11" x14ac:dyDescent="0.25">
      <c r="A57" t="s">
        <v>61</v>
      </c>
      <c r="B57" t="s">
        <v>5</v>
      </c>
      <c r="C57" s="82" t="s">
        <v>97</v>
      </c>
      <c r="D57">
        <v>201507</v>
      </c>
      <c r="E57" s="1">
        <v>42185</v>
      </c>
      <c r="F57" s="1">
        <v>42216</v>
      </c>
      <c r="G57" t="s">
        <v>97</v>
      </c>
      <c r="H57" s="81">
        <v>14441</v>
      </c>
      <c r="I57" t="s">
        <v>6</v>
      </c>
      <c r="J57" s="3">
        <v>873.46</v>
      </c>
      <c r="K57" t="s">
        <v>52</v>
      </c>
    </row>
    <row r="58" spans="1:11" x14ac:dyDescent="0.25">
      <c r="A58" t="s">
        <v>61</v>
      </c>
      <c r="B58" t="s">
        <v>5</v>
      </c>
      <c r="C58" s="82" t="s">
        <v>97</v>
      </c>
      <c r="D58">
        <v>201508</v>
      </c>
      <c r="E58" s="1">
        <v>42216</v>
      </c>
      <c r="F58" s="1">
        <v>42243</v>
      </c>
      <c r="G58" t="s">
        <v>97</v>
      </c>
      <c r="H58" s="81">
        <v>12404</v>
      </c>
      <c r="I58" t="s">
        <v>6</v>
      </c>
      <c r="J58" s="3">
        <v>750.26</v>
      </c>
      <c r="K58" t="s">
        <v>52</v>
      </c>
    </row>
    <row r="59" spans="1:11" x14ac:dyDescent="0.25">
      <c r="A59" t="s">
        <v>61</v>
      </c>
      <c r="B59" t="s">
        <v>5</v>
      </c>
      <c r="C59" s="82" t="s">
        <v>97</v>
      </c>
      <c r="D59">
        <v>201509</v>
      </c>
      <c r="E59" s="1">
        <v>42243</v>
      </c>
      <c r="F59" s="1">
        <v>42276</v>
      </c>
      <c r="G59" t="s">
        <v>97</v>
      </c>
      <c r="H59" s="81">
        <v>15271</v>
      </c>
      <c r="I59" t="s">
        <v>6</v>
      </c>
      <c r="J59" s="3">
        <v>923.67</v>
      </c>
      <c r="K59" t="s">
        <v>52</v>
      </c>
    </row>
    <row r="60" spans="1:11" x14ac:dyDescent="0.25">
      <c r="A60" t="s">
        <v>61</v>
      </c>
      <c r="B60" t="s">
        <v>5</v>
      </c>
      <c r="C60" s="82" t="s">
        <v>97</v>
      </c>
      <c r="D60">
        <v>201510</v>
      </c>
      <c r="E60" s="1">
        <v>42276</v>
      </c>
      <c r="F60" s="1">
        <v>42305</v>
      </c>
      <c r="G60" t="s">
        <v>97</v>
      </c>
      <c r="H60" s="81">
        <v>12881</v>
      </c>
      <c r="I60" t="s">
        <v>6</v>
      </c>
      <c r="J60" s="3">
        <v>779.11</v>
      </c>
      <c r="K60" t="s">
        <v>52</v>
      </c>
    </row>
    <row r="61" spans="1:11" x14ac:dyDescent="0.25">
      <c r="A61" t="s">
        <v>61</v>
      </c>
      <c r="B61" t="s">
        <v>5</v>
      </c>
      <c r="C61" s="82" t="s">
        <v>97</v>
      </c>
      <c r="D61">
        <v>201511</v>
      </c>
      <c r="E61" s="1">
        <v>42305</v>
      </c>
      <c r="F61" s="1">
        <v>42339</v>
      </c>
      <c r="G61" t="s">
        <v>97</v>
      </c>
      <c r="H61" s="81">
        <v>14611</v>
      </c>
      <c r="I61" t="s">
        <v>6</v>
      </c>
      <c r="J61" s="3">
        <v>883.75</v>
      </c>
      <c r="K61" t="s">
        <v>52</v>
      </c>
    </row>
    <row r="62" spans="1:11" x14ac:dyDescent="0.25">
      <c r="A62" t="s">
        <v>61</v>
      </c>
      <c r="B62" t="s">
        <v>5</v>
      </c>
      <c r="C62" s="82" t="s">
        <v>97</v>
      </c>
      <c r="D62">
        <v>201512</v>
      </c>
      <c r="E62" s="1">
        <v>42339</v>
      </c>
      <c r="F62" s="1">
        <v>42369</v>
      </c>
      <c r="G62" t="s">
        <v>97</v>
      </c>
      <c r="H62" s="81">
        <v>12743</v>
      </c>
      <c r="I62" t="s">
        <v>6</v>
      </c>
      <c r="J62" s="3">
        <v>805</v>
      </c>
      <c r="K62" t="s">
        <v>52</v>
      </c>
    </row>
    <row r="63" spans="1:11" x14ac:dyDescent="0.25">
      <c r="A63" t="s">
        <v>61</v>
      </c>
      <c r="B63" t="s">
        <v>5</v>
      </c>
      <c r="C63" s="82" t="s">
        <v>97</v>
      </c>
      <c r="D63">
        <v>201601</v>
      </c>
      <c r="E63" s="1">
        <v>42369</v>
      </c>
      <c r="F63" s="1">
        <v>42401</v>
      </c>
      <c r="G63" t="s">
        <v>97</v>
      </c>
      <c r="H63" s="81">
        <v>11910</v>
      </c>
      <c r="I63" t="s">
        <v>6</v>
      </c>
      <c r="J63" s="3">
        <v>745.05</v>
      </c>
      <c r="K63" t="s">
        <v>52</v>
      </c>
    </row>
    <row r="64" spans="1:11" x14ac:dyDescent="0.25">
      <c r="A64" t="s">
        <v>61</v>
      </c>
      <c r="B64" t="s">
        <v>5</v>
      </c>
      <c r="C64" s="82" t="s">
        <v>97</v>
      </c>
      <c r="D64">
        <v>201602</v>
      </c>
      <c r="E64" s="1">
        <v>42401</v>
      </c>
      <c r="F64" s="1">
        <v>42430</v>
      </c>
      <c r="G64" t="s">
        <v>97</v>
      </c>
      <c r="H64" s="81">
        <v>11611</v>
      </c>
      <c r="I64" t="s">
        <v>6</v>
      </c>
      <c r="J64" s="3">
        <v>708.6</v>
      </c>
      <c r="K64" t="s">
        <v>52</v>
      </c>
    </row>
    <row r="65" spans="1:11" x14ac:dyDescent="0.25">
      <c r="A65" t="s">
        <v>61</v>
      </c>
      <c r="B65" t="s">
        <v>5</v>
      </c>
      <c r="C65" s="82" t="s">
        <v>97</v>
      </c>
      <c r="D65">
        <v>201603</v>
      </c>
      <c r="E65" s="1">
        <v>42430</v>
      </c>
      <c r="F65" s="1">
        <v>42460</v>
      </c>
      <c r="G65" t="s">
        <v>97</v>
      </c>
      <c r="H65" s="81">
        <v>12660</v>
      </c>
      <c r="I65" t="s">
        <v>6</v>
      </c>
      <c r="J65" s="3">
        <v>812.75</v>
      </c>
      <c r="K65" t="s">
        <v>52</v>
      </c>
    </row>
    <row r="66" spans="1:11" x14ac:dyDescent="0.25">
      <c r="A66" t="s">
        <v>61</v>
      </c>
      <c r="B66" t="s">
        <v>5</v>
      </c>
      <c r="C66" s="82" t="s">
        <v>97</v>
      </c>
      <c r="D66">
        <v>201604</v>
      </c>
      <c r="E66" s="1">
        <v>42460</v>
      </c>
      <c r="F66" s="1">
        <v>42489</v>
      </c>
      <c r="G66" t="s">
        <v>97</v>
      </c>
      <c r="H66" s="81">
        <v>12732</v>
      </c>
      <c r="I66" t="s">
        <v>6</v>
      </c>
      <c r="J66" s="3">
        <v>767.1</v>
      </c>
      <c r="K66" t="s">
        <v>52</v>
      </c>
    </row>
    <row r="67" spans="1:11" x14ac:dyDescent="0.25">
      <c r="A67" t="s">
        <v>61</v>
      </c>
      <c r="B67" t="s">
        <v>5</v>
      </c>
      <c r="C67" s="82" t="s">
        <v>97</v>
      </c>
      <c r="D67">
        <v>201605</v>
      </c>
      <c r="E67" s="1">
        <v>42489</v>
      </c>
      <c r="F67" s="1">
        <v>42521</v>
      </c>
      <c r="G67" t="s">
        <v>97</v>
      </c>
      <c r="H67" s="81">
        <v>13828</v>
      </c>
      <c r="I67" t="s">
        <v>6</v>
      </c>
      <c r="J67" s="3">
        <v>860.09</v>
      </c>
      <c r="K67" t="s">
        <v>52</v>
      </c>
    </row>
    <row r="68" spans="1:11" x14ac:dyDescent="0.25">
      <c r="A68" t="s">
        <v>61</v>
      </c>
      <c r="B68" t="s">
        <v>5</v>
      </c>
      <c r="C68" s="82" t="s">
        <v>97</v>
      </c>
      <c r="D68">
        <v>201606</v>
      </c>
      <c r="E68" s="1">
        <v>42521</v>
      </c>
      <c r="F68" s="1">
        <v>42550</v>
      </c>
      <c r="G68" t="s">
        <v>97</v>
      </c>
      <c r="H68" s="81">
        <v>13491</v>
      </c>
      <c r="I68" t="s">
        <v>6</v>
      </c>
      <c r="J68" s="3">
        <v>809.89</v>
      </c>
      <c r="K68" t="s">
        <v>52</v>
      </c>
    </row>
    <row r="69" spans="1:11" x14ac:dyDescent="0.25">
      <c r="A69" t="s">
        <v>63</v>
      </c>
      <c r="B69" t="s">
        <v>5</v>
      </c>
      <c r="C69" s="82" t="s">
        <v>98</v>
      </c>
      <c r="D69">
        <v>201507</v>
      </c>
      <c r="E69" s="1">
        <v>42185</v>
      </c>
      <c r="F69" s="1">
        <v>42216</v>
      </c>
      <c r="G69" t="s">
        <v>98</v>
      </c>
      <c r="H69" s="81">
        <v>2084</v>
      </c>
      <c r="I69" t="s">
        <v>6</v>
      </c>
      <c r="J69" s="3">
        <v>126.05</v>
      </c>
      <c r="K69" t="s">
        <v>52</v>
      </c>
    </row>
    <row r="70" spans="1:11" x14ac:dyDescent="0.25">
      <c r="A70" t="s">
        <v>63</v>
      </c>
      <c r="B70" t="s">
        <v>5</v>
      </c>
      <c r="C70" s="82" t="s">
        <v>98</v>
      </c>
      <c r="D70">
        <v>201508</v>
      </c>
      <c r="E70" s="1">
        <v>42216</v>
      </c>
      <c r="F70" s="1">
        <v>42243</v>
      </c>
      <c r="G70" t="s">
        <v>98</v>
      </c>
      <c r="H70" s="81">
        <v>1775</v>
      </c>
      <c r="I70" t="s">
        <v>6</v>
      </c>
      <c r="J70" s="3">
        <v>107.36</v>
      </c>
      <c r="K70" t="s">
        <v>52</v>
      </c>
    </row>
    <row r="71" spans="1:11" x14ac:dyDescent="0.25">
      <c r="A71" t="s">
        <v>63</v>
      </c>
      <c r="B71" t="s">
        <v>5</v>
      </c>
      <c r="C71" s="82" t="s">
        <v>98</v>
      </c>
      <c r="D71">
        <v>201509</v>
      </c>
      <c r="E71" s="1">
        <v>42243</v>
      </c>
      <c r="F71" s="1">
        <v>42276</v>
      </c>
      <c r="G71" t="s">
        <v>98</v>
      </c>
      <c r="H71" s="81">
        <v>3721</v>
      </c>
      <c r="I71" t="s">
        <v>6</v>
      </c>
      <c r="J71" s="3">
        <v>225.06</v>
      </c>
      <c r="K71" t="s">
        <v>52</v>
      </c>
    </row>
    <row r="72" spans="1:11" x14ac:dyDescent="0.25">
      <c r="A72" t="s">
        <v>63</v>
      </c>
      <c r="B72" t="s">
        <v>5</v>
      </c>
      <c r="C72" s="82" t="s">
        <v>98</v>
      </c>
      <c r="D72">
        <v>201510</v>
      </c>
      <c r="E72" s="1">
        <v>42276</v>
      </c>
      <c r="F72" s="1">
        <v>42305</v>
      </c>
      <c r="G72" t="s">
        <v>98</v>
      </c>
      <c r="H72" s="81">
        <v>3830</v>
      </c>
      <c r="I72" t="s">
        <v>6</v>
      </c>
      <c r="J72" s="3">
        <v>231.66</v>
      </c>
      <c r="K72" t="s">
        <v>52</v>
      </c>
    </row>
    <row r="73" spans="1:11" x14ac:dyDescent="0.25">
      <c r="A73" t="s">
        <v>63</v>
      </c>
      <c r="B73" t="s">
        <v>5</v>
      </c>
      <c r="C73" s="82" t="s">
        <v>98</v>
      </c>
      <c r="D73">
        <v>201511</v>
      </c>
      <c r="E73" s="1">
        <v>42305</v>
      </c>
      <c r="F73" s="1">
        <v>42339</v>
      </c>
      <c r="G73" t="s">
        <v>98</v>
      </c>
      <c r="H73" s="81">
        <v>4055</v>
      </c>
      <c r="I73" t="s">
        <v>6</v>
      </c>
      <c r="J73" s="3">
        <v>245.27</v>
      </c>
      <c r="K73" t="s">
        <v>52</v>
      </c>
    </row>
    <row r="74" spans="1:11" x14ac:dyDescent="0.25">
      <c r="A74" t="s">
        <v>63</v>
      </c>
      <c r="B74" t="s">
        <v>5</v>
      </c>
      <c r="C74" s="82" t="s">
        <v>98</v>
      </c>
      <c r="D74">
        <v>201512</v>
      </c>
      <c r="E74" s="1">
        <v>42339</v>
      </c>
      <c r="F74" s="1">
        <v>42369</v>
      </c>
      <c r="G74" t="s">
        <v>98</v>
      </c>
      <c r="H74" s="81">
        <v>3052</v>
      </c>
      <c r="I74" t="s">
        <v>6</v>
      </c>
      <c r="J74" s="3">
        <v>192.8</v>
      </c>
      <c r="K74" t="s">
        <v>52</v>
      </c>
    </row>
    <row r="75" spans="1:11" x14ac:dyDescent="0.25">
      <c r="A75" t="s">
        <v>63</v>
      </c>
      <c r="B75" t="s">
        <v>5</v>
      </c>
      <c r="C75" s="82" t="s">
        <v>98</v>
      </c>
      <c r="D75">
        <v>201601</v>
      </c>
      <c r="E75" s="1">
        <v>42369</v>
      </c>
      <c r="F75" s="1">
        <v>42401</v>
      </c>
      <c r="G75" t="s">
        <v>98</v>
      </c>
      <c r="H75" s="81">
        <v>2997</v>
      </c>
      <c r="I75" t="s">
        <v>6</v>
      </c>
      <c r="J75" s="3">
        <v>187.48</v>
      </c>
      <c r="K75" t="s">
        <v>52</v>
      </c>
    </row>
    <row r="76" spans="1:11" x14ac:dyDescent="0.25">
      <c r="A76" t="s">
        <v>63</v>
      </c>
      <c r="B76" t="s">
        <v>5</v>
      </c>
      <c r="C76" s="82" t="s">
        <v>98</v>
      </c>
      <c r="D76">
        <v>201602</v>
      </c>
      <c r="E76" s="1">
        <v>42401</v>
      </c>
      <c r="F76" s="1">
        <v>42430</v>
      </c>
      <c r="G76" t="s">
        <v>98</v>
      </c>
      <c r="H76" s="81">
        <v>3772</v>
      </c>
      <c r="I76" t="s">
        <v>6</v>
      </c>
      <c r="J76" s="3">
        <v>230.2</v>
      </c>
      <c r="K76" t="s">
        <v>52</v>
      </c>
    </row>
    <row r="77" spans="1:11" x14ac:dyDescent="0.25">
      <c r="A77" t="s">
        <v>63</v>
      </c>
      <c r="B77" t="s">
        <v>5</v>
      </c>
      <c r="C77" s="82" t="s">
        <v>98</v>
      </c>
      <c r="D77">
        <v>201603</v>
      </c>
      <c r="E77" s="1">
        <v>42430</v>
      </c>
      <c r="F77" s="1">
        <v>42460</v>
      </c>
      <c r="G77" t="s">
        <v>98</v>
      </c>
      <c r="H77" s="81">
        <v>3459</v>
      </c>
      <c r="I77" t="s">
        <v>6</v>
      </c>
      <c r="J77" s="3">
        <v>222.06</v>
      </c>
      <c r="K77" t="s">
        <v>52</v>
      </c>
    </row>
    <row r="78" spans="1:11" x14ac:dyDescent="0.25">
      <c r="A78" t="s">
        <v>63</v>
      </c>
      <c r="B78" t="s">
        <v>5</v>
      </c>
      <c r="C78" s="82" t="s">
        <v>98</v>
      </c>
      <c r="D78">
        <v>201604</v>
      </c>
      <c r="E78" s="1">
        <v>42460</v>
      </c>
      <c r="F78" s="1">
        <v>42489</v>
      </c>
      <c r="G78" t="s">
        <v>98</v>
      </c>
      <c r="H78" s="81">
        <v>3719</v>
      </c>
      <c r="I78" t="s">
        <v>6</v>
      </c>
      <c r="J78" s="3">
        <v>224.07</v>
      </c>
      <c r="K78" t="s">
        <v>52</v>
      </c>
    </row>
    <row r="79" spans="1:11" x14ac:dyDescent="0.25">
      <c r="A79" t="s">
        <v>63</v>
      </c>
      <c r="B79" t="s">
        <v>5</v>
      </c>
      <c r="C79" s="82" t="s">
        <v>98</v>
      </c>
      <c r="D79">
        <v>201605</v>
      </c>
      <c r="E79" s="1">
        <v>42489</v>
      </c>
      <c r="F79" s="1">
        <v>42521</v>
      </c>
      <c r="G79" t="s">
        <v>98</v>
      </c>
      <c r="H79" s="81">
        <v>2737</v>
      </c>
      <c r="I79" t="s">
        <v>6</v>
      </c>
      <c r="J79" s="3">
        <v>170.24</v>
      </c>
      <c r="K79" t="s">
        <v>52</v>
      </c>
    </row>
    <row r="80" spans="1:11" x14ac:dyDescent="0.25">
      <c r="A80" t="s">
        <v>63</v>
      </c>
      <c r="B80" t="s">
        <v>5</v>
      </c>
      <c r="C80" s="82" t="s">
        <v>98</v>
      </c>
      <c r="D80">
        <v>201606</v>
      </c>
      <c r="E80" s="1">
        <v>42521</v>
      </c>
      <c r="F80" s="1">
        <v>42550</v>
      </c>
      <c r="G80" t="s">
        <v>98</v>
      </c>
      <c r="H80" s="81">
        <v>1736</v>
      </c>
      <c r="I80" t="s">
        <v>6</v>
      </c>
      <c r="J80" s="3">
        <v>104.22</v>
      </c>
      <c r="K80" t="s">
        <v>52</v>
      </c>
    </row>
    <row r="81" spans="1:11" x14ac:dyDescent="0.25">
      <c r="A81" t="s">
        <v>48</v>
      </c>
      <c r="B81" t="s">
        <v>5</v>
      </c>
      <c r="C81" s="82" t="s">
        <v>92</v>
      </c>
      <c r="D81">
        <v>201507</v>
      </c>
      <c r="E81" s="1">
        <v>42185</v>
      </c>
      <c r="F81" s="1">
        <v>42216</v>
      </c>
      <c r="G81" t="s">
        <v>92</v>
      </c>
      <c r="H81" s="81">
        <v>3531</v>
      </c>
      <c r="I81" t="s">
        <v>6</v>
      </c>
      <c r="J81" s="3">
        <v>213.57</v>
      </c>
      <c r="K81" t="s">
        <v>52</v>
      </c>
    </row>
    <row r="82" spans="1:11" x14ac:dyDescent="0.25">
      <c r="A82" t="s">
        <v>48</v>
      </c>
      <c r="B82" t="s">
        <v>5</v>
      </c>
      <c r="C82" s="82" t="s">
        <v>92</v>
      </c>
      <c r="D82">
        <v>201508</v>
      </c>
      <c r="E82" s="1">
        <v>42216</v>
      </c>
      <c r="F82" s="1">
        <v>42243</v>
      </c>
      <c r="G82" t="s">
        <v>92</v>
      </c>
      <c r="H82" s="81">
        <v>5314</v>
      </c>
      <c r="I82" t="s">
        <v>6</v>
      </c>
      <c r="J82" s="3">
        <v>321.42</v>
      </c>
      <c r="K82" t="s">
        <v>52</v>
      </c>
    </row>
    <row r="83" spans="1:11" x14ac:dyDescent="0.25">
      <c r="A83" t="s">
        <v>48</v>
      </c>
      <c r="B83" t="s">
        <v>5</v>
      </c>
      <c r="C83" s="82" t="s">
        <v>92</v>
      </c>
      <c r="D83">
        <v>201509</v>
      </c>
      <c r="E83" s="1">
        <v>42243</v>
      </c>
      <c r="F83" s="1">
        <v>42276</v>
      </c>
      <c r="G83" t="s">
        <v>92</v>
      </c>
      <c r="H83" s="81">
        <v>11592</v>
      </c>
      <c r="I83" t="s">
        <v>6</v>
      </c>
      <c r="J83" s="3">
        <v>701.14</v>
      </c>
      <c r="K83" t="s">
        <v>52</v>
      </c>
    </row>
    <row r="84" spans="1:11" x14ac:dyDescent="0.25">
      <c r="A84" t="s">
        <v>48</v>
      </c>
      <c r="B84" t="s">
        <v>5</v>
      </c>
      <c r="C84" s="82" t="s">
        <v>92</v>
      </c>
      <c r="D84">
        <v>201510</v>
      </c>
      <c r="E84" s="1">
        <v>42276</v>
      </c>
      <c r="F84" s="1">
        <v>42305</v>
      </c>
      <c r="G84" t="s">
        <v>92</v>
      </c>
      <c r="H84" s="81">
        <v>10169</v>
      </c>
      <c r="I84" t="s">
        <v>6</v>
      </c>
      <c r="J84" s="3">
        <v>615.07000000000005</v>
      </c>
      <c r="K84" t="s">
        <v>52</v>
      </c>
    </row>
    <row r="85" spans="1:11" x14ac:dyDescent="0.25">
      <c r="A85" t="s">
        <v>48</v>
      </c>
      <c r="B85" t="s">
        <v>5</v>
      </c>
      <c r="C85" s="82" t="s">
        <v>92</v>
      </c>
      <c r="D85">
        <v>201511</v>
      </c>
      <c r="E85" s="1">
        <v>42305</v>
      </c>
      <c r="F85" s="1">
        <v>42339</v>
      </c>
      <c r="G85" t="s">
        <v>92</v>
      </c>
      <c r="H85" s="81">
        <v>12327</v>
      </c>
      <c r="I85" t="s">
        <v>6</v>
      </c>
      <c r="J85" s="3">
        <v>745.6</v>
      </c>
      <c r="K85" t="s">
        <v>52</v>
      </c>
    </row>
    <row r="86" spans="1:11" x14ac:dyDescent="0.25">
      <c r="A86" t="s">
        <v>48</v>
      </c>
      <c r="B86" t="s">
        <v>5</v>
      </c>
      <c r="C86" s="82" t="s">
        <v>92</v>
      </c>
      <c r="D86">
        <v>201512</v>
      </c>
      <c r="E86" s="1">
        <v>42339</v>
      </c>
      <c r="F86" s="1">
        <v>42369</v>
      </c>
      <c r="G86" t="s">
        <v>92</v>
      </c>
      <c r="H86" s="81">
        <v>8524</v>
      </c>
      <c r="I86" t="s">
        <v>6</v>
      </c>
      <c r="J86" s="3">
        <v>538.48</v>
      </c>
      <c r="K86" t="s">
        <v>52</v>
      </c>
    </row>
    <row r="87" spans="1:11" x14ac:dyDescent="0.25">
      <c r="A87" t="s">
        <v>48</v>
      </c>
      <c r="B87" t="s">
        <v>5</v>
      </c>
      <c r="C87" s="82" t="s">
        <v>92</v>
      </c>
      <c r="D87">
        <v>201601</v>
      </c>
      <c r="E87" s="1">
        <v>42369</v>
      </c>
      <c r="F87" s="1">
        <v>42401</v>
      </c>
      <c r="G87" t="s">
        <v>92</v>
      </c>
      <c r="H87" s="81">
        <v>6261</v>
      </c>
      <c r="I87" t="s">
        <v>6</v>
      </c>
      <c r="J87" s="3">
        <v>391.67</v>
      </c>
      <c r="K87" t="s">
        <v>52</v>
      </c>
    </row>
    <row r="88" spans="1:11" x14ac:dyDescent="0.25">
      <c r="A88" t="s">
        <v>48</v>
      </c>
      <c r="B88" t="s">
        <v>5</v>
      </c>
      <c r="C88" s="82" t="s">
        <v>92</v>
      </c>
      <c r="D88">
        <v>201602</v>
      </c>
      <c r="E88" s="1">
        <v>42401</v>
      </c>
      <c r="F88" s="1">
        <v>42430</v>
      </c>
      <c r="G88" t="s">
        <v>92</v>
      </c>
      <c r="H88" s="81">
        <v>10068</v>
      </c>
      <c r="I88" t="s">
        <v>6</v>
      </c>
      <c r="J88" s="3">
        <v>614.44000000000005</v>
      </c>
      <c r="K88" t="s">
        <v>52</v>
      </c>
    </row>
    <row r="89" spans="1:11" x14ac:dyDescent="0.25">
      <c r="A89" t="s">
        <v>48</v>
      </c>
      <c r="B89" t="s">
        <v>5</v>
      </c>
      <c r="C89" s="82" t="s">
        <v>92</v>
      </c>
      <c r="D89">
        <v>201603</v>
      </c>
      <c r="E89" s="1">
        <v>42430</v>
      </c>
      <c r="F89" s="1">
        <v>42460</v>
      </c>
      <c r="G89" t="s">
        <v>92</v>
      </c>
      <c r="H89" s="81">
        <v>10190</v>
      </c>
      <c r="I89" t="s">
        <v>6</v>
      </c>
      <c r="J89" s="3">
        <v>654.17999999999995</v>
      </c>
      <c r="K89" t="s">
        <v>52</v>
      </c>
    </row>
    <row r="90" spans="1:11" x14ac:dyDescent="0.25">
      <c r="A90" t="s">
        <v>48</v>
      </c>
      <c r="B90" t="s">
        <v>5</v>
      </c>
      <c r="C90" s="82" t="s">
        <v>92</v>
      </c>
      <c r="D90">
        <v>201604</v>
      </c>
      <c r="E90" s="1">
        <v>42460</v>
      </c>
      <c r="F90" s="1">
        <v>42489</v>
      </c>
      <c r="G90" t="s">
        <v>92</v>
      </c>
      <c r="H90" s="81">
        <v>10969</v>
      </c>
      <c r="I90" t="s">
        <v>6</v>
      </c>
      <c r="J90" s="3">
        <v>660.88</v>
      </c>
      <c r="K90" t="s">
        <v>52</v>
      </c>
    </row>
    <row r="91" spans="1:11" x14ac:dyDescent="0.25">
      <c r="A91" t="s">
        <v>48</v>
      </c>
      <c r="B91" t="s">
        <v>5</v>
      </c>
      <c r="C91" s="82" t="s">
        <v>92</v>
      </c>
      <c r="D91">
        <v>201605</v>
      </c>
      <c r="E91" s="1">
        <v>42489</v>
      </c>
      <c r="F91" s="1">
        <v>42521</v>
      </c>
      <c r="G91" t="s">
        <v>92</v>
      </c>
      <c r="H91" s="81">
        <v>9960</v>
      </c>
      <c r="I91" t="s">
        <v>6</v>
      </c>
      <c r="J91" s="3">
        <v>619.5</v>
      </c>
      <c r="K91" t="s">
        <v>52</v>
      </c>
    </row>
    <row r="92" spans="1:11" ht="15.75" thickBot="1" x14ac:dyDescent="0.3">
      <c r="A92" t="s">
        <v>48</v>
      </c>
      <c r="B92" t="s">
        <v>5</v>
      </c>
      <c r="C92" s="82" t="s">
        <v>92</v>
      </c>
      <c r="D92">
        <v>201606</v>
      </c>
      <c r="E92" s="1">
        <v>42521</v>
      </c>
      <c r="F92" s="1">
        <v>42550</v>
      </c>
      <c r="G92" t="s">
        <v>92</v>
      </c>
      <c r="H92" s="81">
        <v>7467</v>
      </c>
      <c r="I92" t="s">
        <v>6</v>
      </c>
      <c r="J92" s="3">
        <v>448.26</v>
      </c>
      <c r="K92" t="s">
        <v>52</v>
      </c>
    </row>
    <row r="93" spans="1:11" ht="15.75" thickBot="1" x14ac:dyDescent="0.3">
      <c r="G93" s="20" t="s">
        <v>468</v>
      </c>
      <c r="H93" s="80">
        <f>SUM(H45:H92)</f>
        <v>482813</v>
      </c>
      <c r="I93" t="s">
        <v>6</v>
      </c>
      <c r="J93" s="79">
        <f>SUM(J45:J92)</f>
        <v>29624.849999999995</v>
      </c>
    </row>
    <row r="94" spans="1:11" x14ac:dyDescent="0.25">
      <c r="H94" s="2"/>
    </row>
    <row r="95" spans="1:11" x14ac:dyDescent="0.25">
      <c r="A95" t="s">
        <v>57</v>
      </c>
      <c r="B95" t="s">
        <v>5</v>
      </c>
      <c r="C95" s="82" t="s">
        <v>734</v>
      </c>
      <c r="D95">
        <v>201507</v>
      </c>
      <c r="E95" s="1">
        <v>42185</v>
      </c>
      <c r="F95" s="1">
        <v>42216</v>
      </c>
      <c r="G95" t="s">
        <v>734</v>
      </c>
      <c r="H95" s="81">
        <v>6328</v>
      </c>
      <c r="I95" t="s">
        <v>6</v>
      </c>
      <c r="J95" s="3">
        <v>382.75</v>
      </c>
      <c r="K95" t="s">
        <v>52</v>
      </c>
    </row>
    <row r="96" spans="1:11" x14ac:dyDescent="0.25">
      <c r="A96" t="s">
        <v>57</v>
      </c>
      <c r="B96" t="s">
        <v>5</v>
      </c>
      <c r="C96" s="82" t="s">
        <v>734</v>
      </c>
      <c r="D96">
        <v>201508</v>
      </c>
      <c r="E96" s="1">
        <v>42216</v>
      </c>
      <c r="F96" s="1">
        <v>42243</v>
      </c>
      <c r="G96" t="s">
        <v>734</v>
      </c>
      <c r="H96" s="81">
        <v>3782</v>
      </c>
      <c r="I96" t="s">
        <v>6</v>
      </c>
      <c r="J96" s="3">
        <v>228.75</v>
      </c>
      <c r="K96" t="s">
        <v>52</v>
      </c>
    </row>
    <row r="97" spans="1:11" x14ac:dyDescent="0.25">
      <c r="A97" t="s">
        <v>57</v>
      </c>
      <c r="B97" t="s">
        <v>5</v>
      </c>
      <c r="C97" s="82" t="s">
        <v>734</v>
      </c>
      <c r="D97">
        <v>201509</v>
      </c>
      <c r="E97" s="1">
        <v>42243</v>
      </c>
      <c r="F97" s="1">
        <v>42276</v>
      </c>
      <c r="G97" t="s">
        <v>734</v>
      </c>
      <c r="H97" s="81">
        <v>11488</v>
      </c>
      <c r="I97" t="s">
        <v>6</v>
      </c>
      <c r="J97" s="3">
        <v>694.85</v>
      </c>
      <c r="K97" t="s">
        <v>52</v>
      </c>
    </row>
    <row r="98" spans="1:11" x14ac:dyDescent="0.25">
      <c r="A98" t="s">
        <v>57</v>
      </c>
      <c r="B98" t="s">
        <v>5</v>
      </c>
      <c r="C98" s="82" t="s">
        <v>734</v>
      </c>
      <c r="D98">
        <v>201510</v>
      </c>
      <c r="E98" s="1">
        <v>42276</v>
      </c>
      <c r="F98" s="1">
        <v>42305</v>
      </c>
      <c r="G98" t="s">
        <v>734</v>
      </c>
      <c r="H98" s="81">
        <v>7587</v>
      </c>
      <c r="I98" t="s">
        <v>6</v>
      </c>
      <c r="J98" s="3">
        <v>458.9</v>
      </c>
      <c r="K98" t="s">
        <v>52</v>
      </c>
    </row>
    <row r="99" spans="1:11" x14ac:dyDescent="0.25">
      <c r="A99" t="s">
        <v>57</v>
      </c>
      <c r="B99" t="s">
        <v>5</v>
      </c>
      <c r="C99" s="82" t="s">
        <v>734</v>
      </c>
      <c r="D99">
        <v>201511</v>
      </c>
      <c r="E99" s="1">
        <v>42305</v>
      </c>
      <c r="F99" s="1">
        <v>42339</v>
      </c>
      <c r="G99" t="s">
        <v>734</v>
      </c>
      <c r="H99" s="81">
        <v>11892</v>
      </c>
      <c r="I99" t="s">
        <v>6</v>
      </c>
      <c r="J99" s="3">
        <v>719.29</v>
      </c>
      <c r="K99" t="s">
        <v>52</v>
      </c>
    </row>
    <row r="100" spans="1:11" x14ac:dyDescent="0.25">
      <c r="A100" t="s">
        <v>57</v>
      </c>
      <c r="B100" t="s">
        <v>5</v>
      </c>
      <c r="C100" s="82" t="s">
        <v>734</v>
      </c>
      <c r="D100">
        <v>201512</v>
      </c>
      <c r="E100" s="1">
        <v>42339</v>
      </c>
      <c r="F100" s="1">
        <v>42369</v>
      </c>
      <c r="G100" t="s">
        <v>734</v>
      </c>
      <c r="H100" s="81">
        <v>6911</v>
      </c>
      <c r="I100" t="s">
        <v>6</v>
      </c>
      <c r="J100" s="3">
        <v>436.58</v>
      </c>
      <c r="K100" t="s">
        <v>52</v>
      </c>
    </row>
    <row r="101" spans="1:11" x14ac:dyDescent="0.25">
      <c r="A101" t="s">
        <v>57</v>
      </c>
      <c r="B101" t="s">
        <v>5</v>
      </c>
      <c r="C101" s="82" t="s">
        <v>734</v>
      </c>
      <c r="D101">
        <v>201601</v>
      </c>
      <c r="E101" s="1">
        <v>42369</v>
      </c>
      <c r="F101" s="1">
        <v>42401</v>
      </c>
      <c r="G101" t="s">
        <v>734</v>
      </c>
      <c r="H101" s="81">
        <v>6431</v>
      </c>
      <c r="I101" t="s">
        <v>6</v>
      </c>
      <c r="J101" s="3">
        <v>402.3</v>
      </c>
      <c r="K101" t="s">
        <v>52</v>
      </c>
    </row>
    <row r="102" spans="1:11" x14ac:dyDescent="0.25">
      <c r="A102" t="s">
        <v>57</v>
      </c>
      <c r="B102" t="s">
        <v>5</v>
      </c>
      <c r="C102" s="82" t="s">
        <v>734</v>
      </c>
      <c r="D102">
        <v>201602</v>
      </c>
      <c r="E102" s="1">
        <v>42401</v>
      </c>
      <c r="F102" s="1">
        <v>42430</v>
      </c>
      <c r="G102" t="s">
        <v>734</v>
      </c>
      <c r="H102" s="81">
        <v>9946</v>
      </c>
      <c r="I102" t="s">
        <v>6</v>
      </c>
      <c r="J102" s="3">
        <v>606.99</v>
      </c>
      <c r="K102" t="s">
        <v>52</v>
      </c>
    </row>
    <row r="103" spans="1:11" x14ac:dyDescent="0.25">
      <c r="A103" t="s">
        <v>57</v>
      </c>
      <c r="B103" t="s">
        <v>5</v>
      </c>
      <c r="C103" s="82" t="s">
        <v>734</v>
      </c>
      <c r="D103">
        <v>201603</v>
      </c>
      <c r="E103" s="1">
        <v>42430</v>
      </c>
      <c r="F103" s="1">
        <v>42460</v>
      </c>
      <c r="G103" t="s">
        <v>734</v>
      </c>
      <c r="H103" s="81">
        <v>9228</v>
      </c>
      <c r="I103" t="s">
        <v>6</v>
      </c>
      <c r="J103" s="3">
        <v>592.41999999999996</v>
      </c>
      <c r="K103" t="s">
        <v>52</v>
      </c>
    </row>
    <row r="104" spans="1:11" x14ac:dyDescent="0.25">
      <c r="A104" t="s">
        <v>57</v>
      </c>
      <c r="B104" t="s">
        <v>5</v>
      </c>
      <c r="C104" s="82" t="s">
        <v>734</v>
      </c>
      <c r="D104">
        <v>201604</v>
      </c>
      <c r="E104" s="1">
        <v>42460</v>
      </c>
      <c r="F104" s="1">
        <v>42489</v>
      </c>
      <c r="G104" t="s">
        <v>734</v>
      </c>
      <c r="H104" s="81">
        <v>10236</v>
      </c>
      <c r="I104" t="s">
        <v>6</v>
      </c>
      <c r="J104" s="3">
        <v>616.72</v>
      </c>
      <c r="K104" t="s">
        <v>52</v>
      </c>
    </row>
    <row r="105" spans="1:11" x14ac:dyDescent="0.25">
      <c r="A105" t="s">
        <v>57</v>
      </c>
      <c r="B105" t="s">
        <v>5</v>
      </c>
      <c r="C105" s="82" t="s">
        <v>734</v>
      </c>
      <c r="D105">
        <v>201605</v>
      </c>
      <c r="E105" s="1">
        <v>42489</v>
      </c>
      <c r="F105" s="1">
        <v>42521</v>
      </c>
      <c r="G105" t="s">
        <v>734</v>
      </c>
      <c r="H105" s="81">
        <v>8419</v>
      </c>
      <c r="I105" t="s">
        <v>6</v>
      </c>
      <c r="J105" s="3">
        <v>523.65</v>
      </c>
      <c r="K105" t="s">
        <v>52</v>
      </c>
    </row>
    <row r="106" spans="1:11" x14ac:dyDescent="0.25">
      <c r="A106" t="s">
        <v>57</v>
      </c>
      <c r="B106" t="s">
        <v>5</v>
      </c>
      <c r="C106" s="82" t="s">
        <v>734</v>
      </c>
      <c r="D106">
        <v>201606</v>
      </c>
      <c r="E106" s="1">
        <v>42521</v>
      </c>
      <c r="F106" s="1">
        <v>42550</v>
      </c>
      <c r="G106" t="s">
        <v>734</v>
      </c>
      <c r="H106" s="81">
        <v>6684</v>
      </c>
      <c r="I106" t="s">
        <v>6</v>
      </c>
      <c r="J106" s="3">
        <v>401.25</v>
      </c>
      <c r="K106" t="s">
        <v>52</v>
      </c>
    </row>
    <row r="107" spans="1:11" x14ac:dyDescent="0.25">
      <c r="A107" t="s">
        <v>57</v>
      </c>
      <c r="B107" t="s">
        <v>5</v>
      </c>
      <c r="C107" s="82" t="s">
        <v>93</v>
      </c>
      <c r="D107">
        <v>201507</v>
      </c>
      <c r="E107" s="1">
        <v>42185</v>
      </c>
      <c r="F107" s="1">
        <v>42216</v>
      </c>
      <c r="G107" t="s">
        <v>93</v>
      </c>
      <c r="H107" s="81">
        <v>1248</v>
      </c>
      <c r="I107" t="s">
        <v>6</v>
      </c>
      <c r="J107" s="3">
        <v>75.489999999999995</v>
      </c>
      <c r="K107" t="s">
        <v>52</v>
      </c>
    </row>
    <row r="108" spans="1:11" x14ac:dyDescent="0.25">
      <c r="A108" t="s">
        <v>57</v>
      </c>
      <c r="B108" t="s">
        <v>5</v>
      </c>
      <c r="C108" s="82" t="s">
        <v>93</v>
      </c>
      <c r="D108">
        <v>201508</v>
      </c>
      <c r="E108" s="1">
        <v>42216</v>
      </c>
      <c r="F108" s="1">
        <v>42243</v>
      </c>
      <c r="G108" t="s">
        <v>93</v>
      </c>
      <c r="H108" s="81">
        <v>552</v>
      </c>
      <c r="I108" t="s">
        <v>6</v>
      </c>
      <c r="J108" s="3">
        <v>33.39</v>
      </c>
      <c r="K108" t="s">
        <v>52</v>
      </c>
    </row>
    <row r="109" spans="1:11" x14ac:dyDescent="0.25">
      <c r="A109" t="s">
        <v>57</v>
      </c>
      <c r="B109" t="s">
        <v>5</v>
      </c>
      <c r="C109" s="82" t="s">
        <v>93</v>
      </c>
      <c r="D109">
        <v>201509</v>
      </c>
      <c r="E109" s="1">
        <v>42243</v>
      </c>
      <c r="F109" s="1">
        <v>42276</v>
      </c>
      <c r="G109" t="s">
        <v>93</v>
      </c>
      <c r="H109" s="81">
        <v>1508</v>
      </c>
      <c r="I109" t="s">
        <v>6</v>
      </c>
      <c r="J109" s="3">
        <v>91.21</v>
      </c>
      <c r="K109" t="s">
        <v>52</v>
      </c>
    </row>
    <row r="110" spans="1:11" x14ac:dyDescent="0.25">
      <c r="A110" t="s">
        <v>57</v>
      </c>
      <c r="B110" t="s">
        <v>5</v>
      </c>
      <c r="C110" s="82" t="s">
        <v>93</v>
      </c>
      <c r="D110">
        <v>201510</v>
      </c>
      <c r="E110" s="1">
        <v>42276</v>
      </c>
      <c r="F110" s="1">
        <v>42305</v>
      </c>
      <c r="G110" t="s">
        <v>93</v>
      </c>
      <c r="H110" s="81">
        <v>900</v>
      </c>
      <c r="I110" t="s">
        <v>6</v>
      </c>
      <c r="J110" s="3">
        <v>54.44</v>
      </c>
      <c r="K110" t="s">
        <v>52</v>
      </c>
    </row>
    <row r="111" spans="1:11" x14ac:dyDescent="0.25">
      <c r="A111" t="s">
        <v>57</v>
      </c>
      <c r="B111" t="s">
        <v>5</v>
      </c>
      <c r="C111" s="82" t="s">
        <v>93</v>
      </c>
      <c r="D111">
        <v>201511</v>
      </c>
      <c r="E111" s="1">
        <v>42305</v>
      </c>
      <c r="F111" s="1">
        <v>42339</v>
      </c>
      <c r="G111" t="s">
        <v>93</v>
      </c>
      <c r="H111" s="81">
        <v>1539</v>
      </c>
      <c r="I111" t="s">
        <v>6</v>
      </c>
      <c r="J111" s="3">
        <v>93.09</v>
      </c>
      <c r="K111" t="s">
        <v>52</v>
      </c>
    </row>
    <row r="112" spans="1:11" x14ac:dyDescent="0.25">
      <c r="A112" t="s">
        <v>57</v>
      </c>
      <c r="B112" t="s">
        <v>5</v>
      </c>
      <c r="C112" s="82" t="s">
        <v>93</v>
      </c>
      <c r="D112">
        <v>201512</v>
      </c>
      <c r="E112" s="1">
        <v>42339</v>
      </c>
      <c r="F112" s="1">
        <v>42369</v>
      </c>
      <c r="G112" t="s">
        <v>93</v>
      </c>
      <c r="H112" s="81">
        <v>1236</v>
      </c>
      <c r="I112" t="s">
        <v>6</v>
      </c>
      <c r="J112" s="3">
        <v>78.08</v>
      </c>
      <c r="K112" t="s">
        <v>52</v>
      </c>
    </row>
    <row r="113" spans="1:11" x14ac:dyDescent="0.25">
      <c r="A113" t="s">
        <v>57</v>
      </c>
      <c r="B113" t="s">
        <v>5</v>
      </c>
      <c r="C113" s="82" t="s">
        <v>93</v>
      </c>
      <c r="D113">
        <v>201601</v>
      </c>
      <c r="E113" s="1">
        <v>42369</v>
      </c>
      <c r="F113" s="1">
        <v>42401</v>
      </c>
      <c r="G113" t="s">
        <v>93</v>
      </c>
      <c r="H113" s="81">
        <v>1259</v>
      </c>
      <c r="I113" t="s">
        <v>6</v>
      </c>
      <c r="J113" s="3">
        <v>78.760000000000005</v>
      </c>
      <c r="K113" t="s">
        <v>52</v>
      </c>
    </row>
    <row r="114" spans="1:11" x14ac:dyDescent="0.25">
      <c r="A114" t="s">
        <v>57</v>
      </c>
      <c r="B114" t="s">
        <v>5</v>
      </c>
      <c r="C114" s="82" t="s">
        <v>93</v>
      </c>
      <c r="D114">
        <v>201602</v>
      </c>
      <c r="E114" s="1">
        <v>42401</v>
      </c>
      <c r="F114" s="1">
        <v>42430</v>
      </c>
      <c r="G114" t="s">
        <v>93</v>
      </c>
      <c r="H114" s="81">
        <v>1319</v>
      </c>
      <c r="I114" t="s">
        <v>6</v>
      </c>
      <c r="J114" s="3">
        <v>80.5</v>
      </c>
      <c r="K114" t="s">
        <v>52</v>
      </c>
    </row>
    <row r="115" spans="1:11" x14ac:dyDescent="0.25">
      <c r="A115" t="s">
        <v>57</v>
      </c>
      <c r="B115" t="s">
        <v>5</v>
      </c>
      <c r="C115" s="82" t="s">
        <v>93</v>
      </c>
      <c r="D115">
        <v>201603</v>
      </c>
      <c r="E115" s="1">
        <v>42430</v>
      </c>
      <c r="F115" s="1">
        <v>42460</v>
      </c>
      <c r="G115" t="s">
        <v>93</v>
      </c>
      <c r="H115" s="81">
        <v>1298</v>
      </c>
      <c r="I115" t="s">
        <v>6</v>
      </c>
      <c r="J115" s="3">
        <v>83.33</v>
      </c>
      <c r="K115" t="s">
        <v>52</v>
      </c>
    </row>
    <row r="116" spans="1:11" x14ac:dyDescent="0.25">
      <c r="A116" t="s">
        <v>57</v>
      </c>
      <c r="B116" t="s">
        <v>5</v>
      </c>
      <c r="C116" s="82" t="s">
        <v>93</v>
      </c>
      <c r="D116">
        <v>201604</v>
      </c>
      <c r="E116" s="1">
        <v>42460</v>
      </c>
      <c r="F116" s="1">
        <v>42489</v>
      </c>
      <c r="G116" t="s">
        <v>93</v>
      </c>
      <c r="H116" s="81">
        <v>1326</v>
      </c>
      <c r="I116" t="s">
        <v>6</v>
      </c>
      <c r="J116" s="3">
        <v>79.89</v>
      </c>
      <c r="K116" t="s">
        <v>52</v>
      </c>
    </row>
    <row r="117" spans="1:11" x14ac:dyDescent="0.25">
      <c r="A117" t="s">
        <v>57</v>
      </c>
      <c r="B117" t="s">
        <v>5</v>
      </c>
      <c r="C117" s="82" t="s">
        <v>93</v>
      </c>
      <c r="D117">
        <v>201605</v>
      </c>
      <c r="E117" s="1">
        <v>42489</v>
      </c>
      <c r="F117" s="1">
        <v>42521</v>
      </c>
      <c r="G117" t="s">
        <v>93</v>
      </c>
      <c r="H117" s="81">
        <v>1384</v>
      </c>
      <c r="I117" t="s">
        <v>6</v>
      </c>
      <c r="J117" s="3">
        <v>86.08</v>
      </c>
      <c r="K117" t="s">
        <v>52</v>
      </c>
    </row>
    <row r="118" spans="1:11" x14ac:dyDescent="0.25">
      <c r="A118" t="s">
        <v>57</v>
      </c>
      <c r="B118" t="s">
        <v>5</v>
      </c>
      <c r="C118" s="82" t="s">
        <v>93</v>
      </c>
      <c r="D118">
        <v>201606</v>
      </c>
      <c r="E118" s="1">
        <v>42521</v>
      </c>
      <c r="F118" s="1">
        <v>42550</v>
      </c>
      <c r="G118" t="s">
        <v>93</v>
      </c>
      <c r="H118" s="81">
        <v>1204</v>
      </c>
      <c r="I118" t="s">
        <v>6</v>
      </c>
      <c r="J118" s="3">
        <v>72.28</v>
      </c>
      <c r="K118" t="s">
        <v>52</v>
      </c>
    </row>
    <row r="119" spans="1:11" x14ac:dyDescent="0.25">
      <c r="A119" t="s">
        <v>57</v>
      </c>
      <c r="B119" t="s">
        <v>5</v>
      </c>
      <c r="C119" s="82" t="s">
        <v>94</v>
      </c>
      <c r="D119">
        <v>201507</v>
      </c>
      <c r="E119" s="1">
        <v>42185</v>
      </c>
      <c r="F119" s="1">
        <v>42216</v>
      </c>
      <c r="G119" t="s">
        <v>95</v>
      </c>
      <c r="H119" s="81">
        <v>9445</v>
      </c>
      <c r="I119" t="s">
        <v>6</v>
      </c>
      <c r="J119" s="3">
        <v>571.28</v>
      </c>
      <c r="K119" t="s">
        <v>52</v>
      </c>
    </row>
    <row r="120" spans="1:11" x14ac:dyDescent="0.25">
      <c r="A120" t="s">
        <v>57</v>
      </c>
      <c r="B120" t="s">
        <v>5</v>
      </c>
      <c r="C120" s="82" t="s">
        <v>94</v>
      </c>
      <c r="D120">
        <v>201508</v>
      </c>
      <c r="E120" s="1">
        <v>42216</v>
      </c>
      <c r="F120" s="1">
        <v>42243</v>
      </c>
      <c r="G120" t="s">
        <v>95</v>
      </c>
      <c r="H120" s="81">
        <v>3861</v>
      </c>
      <c r="I120" t="s">
        <v>6</v>
      </c>
      <c r="J120" s="3">
        <v>233.53</v>
      </c>
      <c r="K120" t="s">
        <v>52</v>
      </c>
    </row>
    <row r="121" spans="1:11" x14ac:dyDescent="0.25">
      <c r="A121" t="s">
        <v>57</v>
      </c>
      <c r="B121" t="s">
        <v>5</v>
      </c>
      <c r="C121" s="82" t="s">
        <v>94</v>
      </c>
      <c r="D121">
        <v>201509</v>
      </c>
      <c r="E121" s="1">
        <v>42243</v>
      </c>
      <c r="F121" s="1">
        <v>42276</v>
      </c>
      <c r="G121" t="s">
        <v>95</v>
      </c>
      <c r="H121" s="81">
        <v>11880</v>
      </c>
      <c r="I121" t="s">
        <v>6</v>
      </c>
      <c r="J121" s="3">
        <v>718.56</v>
      </c>
      <c r="K121" t="s">
        <v>52</v>
      </c>
    </row>
    <row r="122" spans="1:11" x14ac:dyDescent="0.25">
      <c r="A122" t="s">
        <v>57</v>
      </c>
      <c r="B122" t="s">
        <v>5</v>
      </c>
      <c r="C122" s="82" t="s">
        <v>94</v>
      </c>
      <c r="D122">
        <v>201510</v>
      </c>
      <c r="E122" s="1">
        <v>42276</v>
      </c>
      <c r="F122" s="1">
        <v>42305</v>
      </c>
      <c r="G122" t="s">
        <v>95</v>
      </c>
      <c r="H122" s="81">
        <v>7063</v>
      </c>
      <c r="I122" t="s">
        <v>6</v>
      </c>
      <c r="J122" s="3">
        <v>427.21</v>
      </c>
      <c r="K122" t="s">
        <v>52</v>
      </c>
    </row>
    <row r="123" spans="1:11" x14ac:dyDescent="0.25">
      <c r="A123" t="s">
        <v>57</v>
      </c>
      <c r="B123" t="s">
        <v>5</v>
      </c>
      <c r="C123" s="82" t="s">
        <v>94</v>
      </c>
      <c r="D123">
        <v>201511</v>
      </c>
      <c r="E123" s="1">
        <v>42305</v>
      </c>
      <c r="F123" s="1">
        <v>42339</v>
      </c>
      <c r="G123" t="s">
        <v>95</v>
      </c>
      <c r="H123" s="81">
        <v>10129</v>
      </c>
      <c r="I123" t="s">
        <v>6</v>
      </c>
      <c r="J123" s="3">
        <v>612.65</v>
      </c>
      <c r="K123" t="s">
        <v>52</v>
      </c>
    </row>
    <row r="124" spans="1:11" x14ac:dyDescent="0.25">
      <c r="A124" t="s">
        <v>57</v>
      </c>
      <c r="B124" t="s">
        <v>5</v>
      </c>
      <c r="C124" s="82" t="s">
        <v>94</v>
      </c>
      <c r="D124">
        <v>201512</v>
      </c>
      <c r="E124" s="1">
        <v>42339</v>
      </c>
      <c r="F124" s="1">
        <v>42369</v>
      </c>
      <c r="G124" t="s">
        <v>95</v>
      </c>
      <c r="H124" s="81">
        <v>7116</v>
      </c>
      <c r="I124" t="s">
        <v>6</v>
      </c>
      <c r="J124" s="3">
        <v>449.53</v>
      </c>
      <c r="K124" t="s">
        <v>52</v>
      </c>
    </row>
    <row r="125" spans="1:11" x14ac:dyDescent="0.25">
      <c r="A125" t="s">
        <v>57</v>
      </c>
      <c r="B125" t="s">
        <v>5</v>
      </c>
      <c r="C125" s="82" t="s">
        <v>94</v>
      </c>
      <c r="D125">
        <v>201601</v>
      </c>
      <c r="E125" s="1">
        <v>42369</v>
      </c>
      <c r="F125" s="1">
        <v>42401</v>
      </c>
      <c r="G125" t="s">
        <v>95</v>
      </c>
      <c r="H125" s="81">
        <v>8425</v>
      </c>
      <c r="I125" t="s">
        <v>6</v>
      </c>
      <c r="J125" s="3">
        <v>527.04</v>
      </c>
      <c r="K125" t="s">
        <v>52</v>
      </c>
    </row>
    <row r="126" spans="1:11" x14ac:dyDescent="0.25">
      <c r="A126" t="s">
        <v>57</v>
      </c>
      <c r="B126" t="s">
        <v>5</v>
      </c>
      <c r="C126" s="82" t="s">
        <v>94</v>
      </c>
      <c r="D126">
        <v>201602</v>
      </c>
      <c r="E126" s="1">
        <v>42401</v>
      </c>
      <c r="F126" s="1">
        <v>42430</v>
      </c>
      <c r="G126" t="s">
        <v>95</v>
      </c>
      <c r="H126" s="81">
        <v>9533</v>
      </c>
      <c r="I126" t="s">
        <v>6</v>
      </c>
      <c r="J126" s="3">
        <v>581.79</v>
      </c>
      <c r="K126" t="s">
        <v>52</v>
      </c>
    </row>
    <row r="127" spans="1:11" x14ac:dyDescent="0.25">
      <c r="A127" t="s">
        <v>57</v>
      </c>
      <c r="B127" t="s">
        <v>5</v>
      </c>
      <c r="C127" s="82" t="s">
        <v>94</v>
      </c>
      <c r="D127">
        <v>201603</v>
      </c>
      <c r="E127" s="1">
        <v>42430</v>
      </c>
      <c r="F127" s="1">
        <v>42460</v>
      </c>
      <c r="G127" t="s">
        <v>95</v>
      </c>
      <c r="H127" s="81">
        <v>8964</v>
      </c>
      <c r="I127" t="s">
        <v>6</v>
      </c>
      <c r="J127" s="3">
        <v>575.48</v>
      </c>
      <c r="K127" t="s">
        <v>52</v>
      </c>
    </row>
    <row r="128" spans="1:11" x14ac:dyDescent="0.25">
      <c r="A128" t="s">
        <v>57</v>
      </c>
      <c r="B128" t="s">
        <v>5</v>
      </c>
      <c r="C128" s="82" t="s">
        <v>94</v>
      </c>
      <c r="D128">
        <v>201604</v>
      </c>
      <c r="E128" s="1">
        <v>42460</v>
      </c>
      <c r="F128" s="1">
        <v>42489</v>
      </c>
      <c r="G128" t="s">
        <v>95</v>
      </c>
      <c r="H128" s="81">
        <v>9748</v>
      </c>
      <c r="I128" t="s">
        <v>6</v>
      </c>
      <c r="J128" s="3">
        <v>587.32000000000005</v>
      </c>
      <c r="K128" t="s">
        <v>52</v>
      </c>
    </row>
    <row r="129" spans="1:11" x14ac:dyDescent="0.25">
      <c r="A129" t="s">
        <v>57</v>
      </c>
      <c r="B129" t="s">
        <v>5</v>
      </c>
      <c r="C129" s="82" t="s">
        <v>94</v>
      </c>
      <c r="D129">
        <v>201605</v>
      </c>
      <c r="E129" s="1">
        <v>42489</v>
      </c>
      <c r="F129" s="1">
        <v>42521</v>
      </c>
      <c r="G129" t="s">
        <v>95</v>
      </c>
      <c r="H129" s="81">
        <v>9719</v>
      </c>
      <c r="I129" t="s">
        <v>6</v>
      </c>
      <c r="J129" s="3">
        <v>604.51</v>
      </c>
      <c r="K129" t="s">
        <v>52</v>
      </c>
    </row>
    <row r="130" spans="1:11" x14ac:dyDescent="0.25">
      <c r="A130" t="s">
        <v>57</v>
      </c>
      <c r="B130" t="s">
        <v>5</v>
      </c>
      <c r="C130" s="82" t="s">
        <v>94</v>
      </c>
      <c r="D130">
        <v>201606</v>
      </c>
      <c r="E130" s="1">
        <v>42521</v>
      </c>
      <c r="F130" s="1">
        <v>42550</v>
      </c>
      <c r="G130" t="s">
        <v>95</v>
      </c>
      <c r="H130" s="81">
        <v>8904</v>
      </c>
      <c r="I130" t="s">
        <v>6</v>
      </c>
      <c r="J130" s="3">
        <v>534.53</v>
      </c>
      <c r="K130" t="s">
        <v>52</v>
      </c>
    </row>
    <row r="131" spans="1:11" x14ac:dyDescent="0.25">
      <c r="A131" t="s">
        <v>57</v>
      </c>
      <c r="B131" t="s">
        <v>5</v>
      </c>
      <c r="C131" s="82" t="s">
        <v>99</v>
      </c>
      <c r="D131">
        <v>201507</v>
      </c>
      <c r="E131" s="1">
        <v>42185</v>
      </c>
      <c r="F131" s="1">
        <v>42216</v>
      </c>
      <c r="G131" t="s">
        <v>99</v>
      </c>
      <c r="H131" s="81">
        <v>5121</v>
      </c>
      <c r="I131" t="s">
        <v>6</v>
      </c>
      <c r="J131" s="3">
        <v>309.74</v>
      </c>
    </row>
    <row r="132" spans="1:11" x14ac:dyDescent="0.25">
      <c r="A132" t="s">
        <v>57</v>
      </c>
      <c r="B132" t="s">
        <v>5</v>
      </c>
      <c r="C132" s="82" t="s">
        <v>99</v>
      </c>
      <c r="D132">
        <v>201508</v>
      </c>
      <c r="E132" s="1">
        <v>42216</v>
      </c>
      <c r="F132" s="1">
        <v>42243</v>
      </c>
      <c r="G132" t="s">
        <v>99</v>
      </c>
      <c r="H132" s="81">
        <v>2438</v>
      </c>
      <c r="I132" t="s">
        <v>6</v>
      </c>
      <c r="J132" s="3">
        <v>147.46</v>
      </c>
    </row>
    <row r="133" spans="1:11" x14ac:dyDescent="0.25">
      <c r="A133" t="s">
        <v>57</v>
      </c>
      <c r="B133" t="s">
        <v>5</v>
      </c>
      <c r="C133" s="82" t="s">
        <v>99</v>
      </c>
      <c r="D133">
        <v>201509</v>
      </c>
      <c r="E133" s="1">
        <v>42243</v>
      </c>
      <c r="F133" s="1">
        <v>42276</v>
      </c>
      <c r="G133" t="s">
        <v>99</v>
      </c>
      <c r="H133" s="81">
        <v>8207</v>
      </c>
      <c r="I133" t="s">
        <v>6</v>
      </c>
      <c r="J133" s="3">
        <v>496.4</v>
      </c>
    </row>
    <row r="134" spans="1:11" x14ac:dyDescent="0.25">
      <c r="A134" t="s">
        <v>57</v>
      </c>
      <c r="B134" t="s">
        <v>5</v>
      </c>
      <c r="C134" s="82" t="s">
        <v>99</v>
      </c>
      <c r="D134">
        <v>201510</v>
      </c>
      <c r="E134" s="1">
        <v>42276</v>
      </c>
      <c r="F134" s="1">
        <v>42305</v>
      </c>
      <c r="G134" t="s">
        <v>99</v>
      </c>
      <c r="H134" s="81">
        <v>5465</v>
      </c>
      <c r="I134" t="s">
        <v>6</v>
      </c>
      <c r="J134" s="3">
        <v>330.55</v>
      </c>
    </row>
    <row r="135" spans="1:11" x14ac:dyDescent="0.25">
      <c r="A135" t="s">
        <v>57</v>
      </c>
      <c r="B135" t="s">
        <v>5</v>
      </c>
      <c r="C135" s="82" t="s">
        <v>99</v>
      </c>
      <c r="D135">
        <v>201511</v>
      </c>
      <c r="E135" s="1">
        <v>42305</v>
      </c>
      <c r="F135" s="1">
        <v>42339</v>
      </c>
      <c r="G135" t="s">
        <v>99</v>
      </c>
      <c r="H135" s="81">
        <v>8113</v>
      </c>
      <c r="I135" t="s">
        <v>6</v>
      </c>
      <c r="J135" s="3">
        <v>490.72</v>
      </c>
    </row>
    <row r="136" spans="1:11" x14ac:dyDescent="0.25">
      <c r="A136" t="s">
        <v>57</v>
      </c>
      <c r="B136" t="s">
        <v>5</v>
      </c>
      <c r="C136" s="82" t="s">
        <v>99</v>
      </c>
      <c r="D136">
        <v>201512</v>
      </c>
      <c r="E136" s="1">
        <v>42339</v>
      </c>
      <c r="F136" s="1">
        <v>42369</v>
      </c>
      <c r="G136" t="s">
        <v>99</v>
      </c>
      <c r="H136" s="81">
        <v>5760</v>
      </c>
      <c r="I136" t="s">
        <v>6</v>
      </c>
      <c r="J136" s="3">
        <v>363.87</v>
      </c>
    </row>
    <row r="137" spans="1:11" x14ac:dyDescent="0.25">
      <c r="A137" t="s">
        <v>57</v>
      </c>
      <c r="B137" t="s">
        <v>5</v>
      </c>
      <c r="C137" s="82" t="s">
        <v>99</v>
      </c>
      <c r="D137">
        <v>201601</v>
      </c>
      <c r="E137" s="1">
        <v>42369</v>
      </c>
      <c r="F137" s="1">
        <v>42401</v>
      </c>
      <c r="G137" t="s">
        <v>99</v>
      </c>
      <c r="H137" s="81">
        <v>5806</v>
      </c>
      <c r="I137" t="s">
        <v>6</v>
      </c>
      <c r="J137" s="3">
        <v>363.21</v>
      </c>
    </row>
    <row r="138" spans="1:11" x14ac:dyDescent="0.25">
      <c r="A138" t="s">
        <v>57</v>
      </c>
      <c r="B138" t="s">
        <v>5</v>
      </c>
      <c r="C138" s="82" t="s">
        <v>99</v>
      </c>
      <c r="D138">
        <v>201602</v>
      </c>
      <c r="E138" s="1">
        <v>42401</v>
      </c>
      <c r="F138" s="1">
        <v>42430</v>
      </c>
      <c r="G138" t="s">
        <v>99</v>
      </c>
      <c r="H138" s="81">
        <v>6647</v>
      </c>
      <c r="I138" t="s">
        <v>6</v>
      </c>
      <c r="J138" s="3">
        <v>405.66</v>
      </c>
    </row>
    <row r="139" spans="1:11" x14ac:dyDescent="0.25">
      <c r="A139" t="s">
        <v>57</v>
      </c>
      <c r="B139" t="s">
        <v>5</v>
      </c>
      <c r="C139" s="82" t="s">
        <v>99</v>
      </c>
      <c r="D139">
        <v>201603</v>
      </c>
      <c r="E139" s="1">
        <v>42430</v>
      </c>
      <c r="F139" s="1">
        <v>42460</v>
      </c>
      <c r="G139" t="s">
        <v>99</v>
      </c>
      <c r="H139" s="81">
        <v>7121</v>
      </c>
      <c r="I139" t="s">
        <v>6</v>
      </c>
      <c r="J139" s="3">
        <v>457.16</v>
      </c>
    </row>
    <row r="140" spans="1:11" x14ac:dyDescent="0.25">
      <c r="A140" t="s">
        <v>57</v>
      </c>
      <c r="B140" t="s">
        <v>5</v>
      </c>
      <c r="C140" s="82" t="s">
        <v>99</v>
      </c>
      <c r="D140">
        <v>201604</v>
      </c>
      <c r="E140" s="1">
        <v>42460</v>
      </c>
      <c r="F140" s="1">
        <v>42489</v>
      </c>
      <c r="G140" t="s">
        <v>99</v>
      </c>
      <c r="H140" s="81">
        <v>7032</v>
      </c>
      <c r="I140" t="s">
        <v>6</v>
      </c>
      <c r="J140" s="3">
        <v>423.68</v>
      </c>
    </row>
    <row r="141" spans="1:11" x14ac:dyDescent="0.25">
      <c r="A141" t="s">
        <v>57</v>
      </c>
      <c r="B141" t="s">
        <v>5</v>
      </c>
      <c r="C141" s="82" t="s">
        <v>99</v>
      </c>
      <c r="D141">
        <v>201605</v>
      </c>
      <c r="E141" s="1">
        <v>42489</v>
      </c>
      <c r="F141" s="1">
        <v>42521</v>
      </c>
      <c r="G141" t="s">
        <v>99</v>
      </c>
      <c r="H141" s="81">
        <v>5789</v>
      </c>
      <c r="I141" t="s">
        <v>6</v>
      </c>
      <c r="J141" s="3">
        <v>360.07</v>
      </c>
    </row>
    <row r="142" spans="1:11" ht="15.75" thickBot="1" x14ac:dyDescent="0.3">
      <c r="A142" t="s">
        <v>57</v>
      </c>
      <c r="B142" t="s">
        <v>5</v>
      </c>
      <c r="C142" s="82" t="s">
        <v>99</v>
      </c>
      <c r="D142">
        <v>201606</v>
      </c>
      <c r="E142" s="1">
        <v>42521</v>
      </c>
      <c r="F142" s="1">
        <v>42550</v>
      </c>
      <c r="G142" t="s">
        <v>99</v>
      </c>
      <c r="H142" s="81">
        <v>4757</v>
      </c>
      <c r="I142" t="s">
        <v>6</v>
      </c>
      <c r="J142" s="3">
        <v>285.57</v>
      </c>
    </row>
    <row r="143" spans="1:11" ht="15.75" thickBot="1" x14ac:dyDescent="0.3">
      <c r="G143" s="20" t="s">
        <v>600</v>
      </c>
      <c r="H143" s="89">
        <f>SUM(H95:H142)</f>
        <v>290748</v>
      </c>
      <c r="J143" s="90">
        <f>SUM(J95:J142)</f>
        <v>17828.509999999995</v>
      </c>
    </row>
    <row r="144" spans="1:11" x14ac:dyDescent="0.25">
      <c r="H144" s="2"/>
    </row>
    <row r="145" spans="1:11" x14ac:dyDescent="0.25">
      <c r="H145" s="2"/>
    </row>
    <row r="146" spans="1:11" x14ac:dyDescent="0.25">
      <c r="A146" t="s">
        <v>88</v>
      </c>
      <c r="B146" t="s">
        <v>5</v>
      </c>
      <c r="C146" s="82" t="s">
        <v>89</v>
      </c>
      <c r="D146">
        <v>201507</v>
      </c>
      <c r="E146" s="1">
        <v>42185</v>
      </c>
      <c r="F146" s="1">
        <v>42216</v>
      </c>
      <c r="G146" t="s">
        <v>89</v>
      </c>
      <c r="H146" s="81">
        <v>17439</v>
      </c>
      <c r="I146" t="s">
        <v>6</v>
      </c>
      <c r="J146" s="3">
        <v>1022.94</v>
      </c>
      <c r="K146" t="s">
        <v>52</v>
      </c>
    </row>
    <row r="147" spans="1:11" x14ac:dyDescent="0.25">
      <c r="A147" t="s">
        <v>88</v>
      </c>
      <c r="B147" t="s">
        <v>5</v>
      </c>
      <c r="C147" s="82" t="s">
        <v>89</v>
      </c>
      <c r="D147">
        <v>201508</v>
      </c>
      <c r="E147" s="1">
        <v>42216</v>
      </c>
      <c r="F147" s="1">
        <v>42243</v>
      </c>
      <c r="G147" t="s">
        <v>89</v>
      </c>
      <c r="H147" s="81">
        <v>9232</v>
      </c>
      <c r="I147" t="s">
        <v>6</v>
      </c>
      <c r="J147" s="3">
        <v>559.82000000000005</v>
      </c>
      <c r="K147" t="s">
        <v>52</v>
      </c>
    </row>
    <row r="148" spans="1:11" x14ac:dyDescent="0.25">
      <c r="A148" t="s">
        <v>88</v>
      </c>
      <c r="B148" t="s">
        <v>5</v>
      </c>
      <c r="C148" s="82" t="s">
        <v>89</v>
      </c>
      <c r="D148">
        <v>201509</v>
      </c>
      <c r="E148" s="1">
        <v>42243</v>
      </c>
      <c r="F148" s="1">
        <v>42276</v>
      </c>
      <c r="G148" t="s">
        <v>89</v>
      </c>
      <c r="H148" s="81">
        <v>27001</v>
      </c>
      <c r="I148" t="s">
        <v>6</v>
      </c>
      <c r="J148" s="3">
        <v>1579.69</v>
      </c>
      <c r="K148" t="s">
        <v>52</v>
      </c>
    </row>
    <row r="149" spans="1:11" x14ac:dyDescent="0.25">
      <c r="A149" t="s">
        <v>88</v>
      </c>
      <c r="B149" t="s">
        <v>5</v>
      </c>
      <c r="C149" s="82" t="s">
        <v>89</v>
      </c>
      <c r="D149">
        <v>201510</v>
      </c>
      <c r="E149" s="1">
        <v>42276</v>
      </c>
      <c r="F149" s="1">
        <v>42305</v>
      </c>
      <c r="G149" t="s">
        <v>89</v>
      </c>
      <c r="H149" s="81">
        <v>15204</v>
      </c>
      <c r="I149" t="s">
        <v>6</v>
      </c>
      <c r="J149" s="3">
        <v>909.12</v>
      </c>
      <c r="K149" t="s">
        <v>52</v>
      </c>
    </row>
    <row r="150" spans="1:11" x14ac:dyDescent="0.25">
      <c r="A150" t="s">
        <v>88</v>
      </c>
      <c r="B150" t="s">
        <v>5</v>
      </c>
      <c r="C150" s="82" t="s">
        <v>89</v>
      </c>
      <c r="D150">
        <v>201511</v>
      </c>
      <c r="E150" s="1">
        <v>42305</v>
      </c>
      <c r="F150" s="1">
        <v>42339</v>
      </c>
      <c r="G150" t="s">
        <v>89</v>
      </c>
      <c r="H150" s="81">
        <v>23514</v>
      </c>
      <c r="I150" t="s">
        <v>6</v>
      </c>
      <c r="J150" s="3">
        <v>1422.25</v>
      </c>
      <c r="K150" t="s">
        <v>52</v>
      </c>
    </row>
    <row r="151" spans="1:11" x14ac:dyDescent="0.25">
      <c r="A151" t="s">
        <v>88</v>
      </c>
      <c r="B151" t="s">
        <v>5</v>
      </c>
      <c r="C151" s="82" t="s">
        <v>89</v>
      </c>
      <c r="D151">
        <v>201512</v>
      </c>
      <c r="E151" s="1">
        <v>42339</v>
      </c>
      <c r="F151" s="1">
        <v>42369</v>
      </c>
      <c r="G151" t="s">
        <v>89</v>
      </c>
      <c r="H151" s="81">
        <v>17901</v>
      </c>
      <c r="I151" t="s">
        <v>6</v>
      </c>
      <c r="J151" s="3">
        <v>1130.8499999999999</v>
      </c>
      <c r="K151" t="s">
        <v>52</v>
      </c>
    </row>
    <row r="152" spans="1:11" x14ac:dyDescent="0.25">
      <c r="A152" t="s">
        <v>88</v>
      </c>
      <c r="B152" t="s">
        <v>5</v>
      </c>
      <c r="C152" s="82" t="s">
        <v>89</v>
      </c>
      <c r="D152">
        <v>201601</v>
      </c>
      <c r="E152" s="1">
        <v>42369</v>
      </c>
      <c r="F152" s="1">
        <v>42401</v>
      </c>
      <c r="G152" t="s">
        <v>89</v>
      </c>
      <c r="H152" s="81">
        <v>20835</v>
      </c>
      <c r="I152" t="s">
        <v>6</v>
      </c>
      <c r="J152" s="3">
        <v>1303.3699999999999</v>
      </c>
      <c r="K152" t="s">
        <v>52</v>
      </c>
    </row>
    <row r="153" spans="1:11" x14ac:dyDescent="0.25">
      <c r="A153" t="s">
        <v>88</v>
      </c>
      <c r="B153" t="s">
        <v>5</v>
      </c>
      <c r="C153" s="82" t="s">
        <v>89</v>
      </c>
      <c r="D153">
        <v>201602</v>
      </c>
      <c r="E153" s="1">
        <v>42401</v>
      </c>
      <c r="F153" s="1">
        <v>42430</v>
      </c>
      <c r="G153" t="s">
        <v>89</v>
      </c>
      <c r="H153" s="81">
        <v>25208</v>
      </c>
      <c r="I153" t="s">
        <v>6</v>
      </c>
      <c r="J153" s="3">
        <v>1538.41</v>
      </c>
      <c r="K153" t="s">
        <v>52</v>
      </c>
    </row>
    <row r="154" spans="1:11" x14ac:dyDescent="0.25">
      <c r="A154" t="s">
        <v>88</v>
      </c>
      <c r="B154" t="s">
        <v>5</v>
      </c>
      <c r="C154" s="82" t="s">
        <v>89</v>
      </c>
      <c r="D154">
        <v>201603</v>
      </c>
      <c r="E154" s="1">
        <v>42430</v>
      </c>
      <c r="F154" s="1">
        <v>42460</v>
      </c>
      <c r="G154" t="s">
        <v>89</v>
      </c>
      <c r="H154" s="81">
        <v>24789</v>
      </c>
      <c r="I154" t="s">
        <v>6</v>
      </c>
      <c r="J154" s="3">
        <v>1591.42</v>
      </c>
      <c r="K154" t="s">
        <v>52</v>
      </c>
    </row>
    <row r="155" spans="1:11" x14ac:dyDescent="0.25">
      <c r="A155" t="s">
        <v>88</v>
      </c>
      <c r="B155" t="s">
        <v>5</v>
      </c>
      <c r="C155" s="82" t="s">
        <v>89</v>
      </c>
      <c r="D155">
        <v>201604</v>
      </c>
      <c r="E155" s="1">
        <v>42460</v>
      </c>
      <c r="F155" s="1">
        <v>42489</v>
      </c>
      <c r="G155" t="s">
        <v>89</v>
      </c>
      <c r="H155" s="81">
        <v>25554</v>
      </c>
      <c r="I155" t="s">
        <v>6</v>
      </c>
      <c r="J155" s="3">
        <v>1539.63</v>
      </c>
      <c r="K155" t="s">
        <v>52</v>
      </c>
    </row>
    <row r="156" spans="1:11" x14ac:dyDescent="0.25">
      <c r="A156" t="s">
        <v>88</v>
      </c>
      <c r="B156" t="s">
        <v>5</v>
      </c>
      <c r="C156" s="82" t="s">
        <v>89</v>
      </c>
      <c r="D156">
        <v>201605</v>
      </c>
      <c r="E156" s="1">
        <v>42489</v>
      </c>
      <c r="F156" s="1">
        <v>42521</v>
      </c>
      <c r="G156" t="s">
        <v>89</v>
      </c>
      <c r="H156" s="81">
        <v>24237</v>
      </c>
      <c r="I156" t="s">
        <v>6</v>
      </c>
      <c r="J156" s="3">
        <v>1507.52</v>
      </c>
      <c r="K156" t="s">
        <v>52</v>
      </c>
    </row>
    <row r="157" spans="1:11" ht="15.75" thickBot="1" x14ac:dyDescent="0.3">
      <c r="A157" t="s">
        <v>88</v>
      </c>
      <c r="B157" t="s">
        <v>5</v>
      </c>
      <c r="C157" s="82" t="s">
        <v>89</v>
      </c>
      <c r="D157">
        <v>201606</v>
      </c>
      <c r="E157" s="1">
        <v>42521</v>
      </c>
      <c r="F157" s="1">
        <v>42550</v>
      </c>
      <c r="G157" t="s">
        <v>89</v>
      </c>
      <c r="H157" s="81">
        <v>20408</v>
      </c>
      <c r="I157" t="s">
        <v>6</v>
      </c>
      <c r="J157" s="3">
        <v>1225.1300000000001</v>
      </c>
      <c r="K157" t="s">
        <v>52</v>
      </c>
    </row>
    <row r="158" spans="1:11" ht="15.75" thickBot="1" x14ac:dyDescent="0.3">
      <c r="G158" s="20" t="s">
        <v>601</v>
      </c>
      <c r="H158" s="89">
        <f>SUM(H146:H157)</f>
        <v>251322</v>
      </c>
      <c r="J158" s="90">
        <f>SUM(J146:J157)</f>
        <v>15330.150000000001</v>
      </c>
    </row>
    <row r="160" spans="1:11" x14ac:dyDescent="0.25">
      <c r="H160" s="2"/>
    </row>
    <row r="161" spans="1:11" x14ac:dyDescent="0.25">
      <c r="H161" s="2"/>
    </row>
    <row r="162" spans="1:11" x14ac:dyDescent="0.25">
      <c r="A162" t="s">
        <v>57</v>
      </c>
      <c r="B162" t="s">
        <v>71</v>
      </c>
      <c r="C162" s="82" t="s">
        <v>72</v>
      </c>
      <c r="D162">
        <v>201507</v>
      </c>
      <c r="E162" s="1">
        <v>42185</v>
      </c>
      <c r="F162" s="1">
        <v>42216</v>
      </c>
      <c r="G162" t="s">
        <v>72</v>
      </c>
      <c r="H162" s="81">
        <v>10</v>
      </c>
      <c r="I162" t="s">
        <v>12</v>
      </c>
      <c r="J162" s="3">
        <v>112.79</v>
      </c>
      <c r="K162" t="s">
        <v>52</v>
      </c>
    </row>
    <row r="163" spans="1:11" x14ac:dyDescent="0.25">
      <c r="A163" t="s">
        <v>57</v>
      </c>
      <c r="B163" t="s">
        <v>71</v>
      </c>
      <c r="C163" s="82" t="s">
        <v>72</v>
      </c>
      <c r="D163">
        <v>201508</v>
      </c>
      <c r="E163" s="1">
        <v>42216</v>
      </c>
      <c r="F163" s="1">
        <v>42243</v>
      </c>
      <c r="G163" t="s">
        <v>72</v>
      </c>
      <c r="H163" s="81">
        <v>10</v>
      </c>
      <c r="I163" t="s">
        <v>12</v>
      </c>
      <c r="J163" s="3">
        <v>114.88</v>
      </c>
      <c r="K163" t="s">
        <v>52</v>
      </c>
    </row>
    <row r="164" spans="1:11" x14ac:dyDescent="0.25">
      <c r="A164" t="s">
        <v>57</v>
      </c>
      <c r="B164" t="s">
        <v>71</v>
      </c>
      <c r="C164" s="82" t="s">
        <v>72</v>
      </c>
      <c r="D164">
        <v>201509</v>
      </c>
      <c r="E164" s="1">
        <v>42243</v>
      </c>
      <c r="F164" s="1">
        <v>42276</v>
      </c>
      <c r="G164" t="s">
        <v>72</v>
      </c>
      <c r="H164" s="81">
        <v>13</v>
      </c>
      <c r="I164" t="s">
        <v>12</v>
      </c>
      <c r="J164" s="3">
        <v>147.91</v>
      </c>
      <c r="K164" t="s">
        <v>52</v>
      </c>
    </row>
    <row r="165" spans="1:11" x14ac:dyDescent="0.25">
      <c r="A165" t="s">
        <v>57</v>
      </c>
      <c r="B165" t="s">
        <v>71</v>
      </c>
      <c r="C165" s="82" t="s">
        <v>72</v>
      </c>
      <c r="D165">
        <v>201510</v>
      </c>
      <c r="E165" s="1">
        <v>42276</v>
      </c>
      <c r="F165" s="1">
        <v>42305</v>
      </c>
      <c r="G165" t="s">
        <v>72</v>
      </c>
      <c r="H165" s="81">
        <v>14</v>
      </c>
      <c r="I165" t="s">
        <v>12</v>
      </c>
      <c r="J165" s="3">
        <v>113.39</v>
      </c>
      <c r="K165" t="s">
        <v>52</v>
      </c>
    </row>
    <row r="166" spans="1:11" x14ac:dyDescent="0.25">
      <c r="A166" t="s">
        <v>57</v>
      </c>
      <c r="B166" t="s">
        <v>71</v>
      </c>
      <c r="C166" s="82" t="s">
        <v>72</v>
      </c>
      <c r="D166">
        <v>201511</v>
      </c>
      <c r="E166" s="1">
        <v>42305</v>
      </c>
      <c r="F166" s="1">
        <v>42339</v>
      </c>
      <c r="G166" t="s">
        <v>72</v>
      </c>
      <c r="H166" s="81">
        <v>16</v>
      </c>
      <c r="I166" t="s">
        <v>12</v>
      </c>
      <c r="J166" s="3">
        <v>107.24</v>
      </c>
      <c r="K166" t="s">
        <v>52</v>
      </c>
    </row>
    <row r="167" spans="1:11" x14ac:dyDescent="0.25">
      <c r="A167" t="s">
        <v>57</v>
      </c>
      <c r="B167" t="s">
        <v>71</v>
      </c>
      <c r="C167" s="82" t="s">
        <v>72</v>
      </c>
      <c r="D167">
        <v>201512</v>
      </c>
      <c r="E167" s="1">
        <v>42339</v>
      </c>
      <c r="F167" s="1">
        <v>42369</v>
      </c>
      <c r="G167" t="s">
        <v>72</v>
      </c>
      <c r="H167" s="81">
        <v>17</v>
      </c>
      <c r="I167" t="s">
        <v>12</v>
      </c>
      <c r="J167" s="3">
        <v>104.14</v>
      </c>
      <c r="K167" t="s">
        <v>52</v>
      </c>
    </row>
    <row r="168" spans="1:11" x14ac:dyDescent="0.25">
      <c r="A168" t="s">
        <v>57</v>
      </c>
      <c r="B168" t="s">
        <v>71</v>
      </c>
      <c r="C168" s="82" t="s">
        <v>72</v>
      </c>
      <c r="D168">
        <v>201601</v>
      </c>
      <c r="E168" s="1">
        <v>42369</v>
      </c>
      <c r="F168" s="1">
        <v>42401</v>
      </c>
      <c r="G168" t="s">
        <v>72</v>
      </c>
      <c r="H168" s="81">
        <v>26</v>
      </c>
      <c r="I168" t="s">
        <v>12</v>
      </c>
      <c r="J168" s="3">
        <v>138.35</v>
      </c>
      <c r="K168" t="s">
        <v>52</v>
      </c>
    </row>
    <row r="169" spans="1:11" x14ac:dyDescent="0.25">
      <c r="A169" t="s">
        <v>57</v>
      </c>
      <c r="B169" t="s">
        <v>71</v>
      </c>
      <c r="C169" s="82" t="s">
        <v>72</v>
      </c>
      <c r="D169">
        <v>201602</v>
      </c>
      <c r="E169" s="1">
        <v>42401</v>
      </c>
      <c r="F169" s="1">
        <v>42430</v>
      </c>
      <c r="G169" t="s">
        <v>72</v>
      </c>
      <c r="H169" s="81">
        <v>20</v>
      </c>
      <c r="I169" t="s">
        <v>12</v>
      </c>
      <c r="J169" s="3">
        <v>111.42</v>
      </c>
      <c r="K169" t="s">
        <v>52</v>
      </c>
    </row>
    <row r="170" spans="1:11" x14ac:dyDescent="0.25">
      <c r="A170" t="s">
        <v>57</v>
      </c>
      <c r="B170" t="s">
        <v>71</v>
      </c>
      <c r="C170" s="82" t="s">
        <v>72</v>
      </c>
      <c r="D170">
        <v>201603</v>
      </c>
      <c r="E170" s="1">
        <v>42430</v>
      </c>
      <c r="F170" s="1">
        <v>42460</v>
      </c>
      <c r="G170" t="s">
        <v>72</v>
      </c>
      <c r="H170" s="81">
        <v>21</v>
      </c>
      <c r="I170" t="s">
        <v>12</v>
      </c>
      <c r="J170" s="3">
        <v>113.72</v>
      </c>
      <c r="K170" t="s">
        <v>52</v>
      </c>
    </row>
    <row r="171" spans="1:11" x14ac:dyDescent="0.25">
      <c r="A171" t="s">
        <v>57</v>
      </c>
      <c r="B171" t="s">
        <v>71</v>
      </c>
      <c r="C171" s="82" t="s">
        <v>72</v>
      </c>
      <c r="D171">
        <v>201604</v>
      </c>
      <c r="E171" s="1">
        <v>42460</v>
      </c>
      <c r="F171" s="1">
        <v>42489</v>
      </c>
      <c r="G171" t="s">
        <v>72</v>
      </c>
      <c r="H171" s="81">
        <v>14</v>
      </c>
      <c r="I171" t="s">
        <v>12</v>
      </c>
      <c r="J171" s="3">
        <v>104.8</v>
      </c>
      <c r="K171" t="s">
        <v>52</v>
      </c>
    </row>
    <row r="172" spans="1:11" x14ac:dyDescent="0.25">
      <c r="A172" t="s">
        <v>57</v>
      </c>
      <c r="B172" t="s">
        <v>71</v>
      </c>
      <c r="C172" s="82" t="s">
        <v>72</v>
      </c>
      <c r="D172">
        <v>201605</v>
      </c>
      <c r="E172" s="1">
        <v>42489</v>
      </c>
      <c r="F172" s="1">
        <v>42521</v>
      </c>
      <c r="G172" t="s">
        <v>72</v>
      </c>
      <c r="H172" s="81">
        <v>9</v>
      </c>
      <c r="I172" t="s">
        <v>12</v>
      </c>
      <c r="J172" s="3">
        <v>82.95</v>
      </c>
      <c r="K172" t="s">
        <v>52</v>
      </c>
    </row>
    <row r="173" spans="1:11" x14ac:dyDescent="0.25">
      <c r="A173" t="s">
        <v>57</v>
      </c>
      <c r="B173" t="s">
        <v>71</v>
      </c>
      <c r="C173" s="82" t="s">
        <v>72</v>
      </c>
      <c r="D173">
        <v>201606</v>
      </c>
      <c r="E173" s="1">
        <v>42521</v>
      </c>
      <c r="F173" s="1">
        <v>42550</v>
      </c>
      <c r="G173" t="s">
        <v>72</v>
      </c>
      <c r="H173" s="81">
        <v>10</v>
      </c>
      <c r="I173" t="s">
        <v>12</v>
      </c>
      <c r="J173" s="3">
        <v>109.01</v>
      </c>
      <c r="K173" t="s">
        <v>52</v>
      </c>
    </row>
    <row r="174" spans="1:11" x14ac:dyDescent="0.25">
      <c r="A174" t="s">
        <v>57</v>
      </c>
      <c r="B174" t="s">
        <v>71</v>
      </c>
      <c r="C174" s="82" t="s">
        <v>74</v>
      </c>
      <c r="D174">
        <v>201507</v>
      </c>
      <c r="E174" s="1">
        <v>42185</v>
      </c>
      <c r="F174" s="1">
        <v>42216</v>
      </c>
      <c r="G174" t="s">
        <v>74</v>
      </c>
      <c r="H174" s="81">
        <v>11</v>
      </c>
      <c r="I174" t="s">
        <v>12</v>
      </c>
      <c r="J174" s="3">
        <v>124.07</v>
      </c>
      <c r="K174" t="s">
        <v>52</v>
      </c>
    </row>
    <row r="175" spans="1:11" x14ac:dyDescent="0.25">
      <c r="A175" t="s">
        <v>57</v>
      </c>
      <c r="B175" t="s">
        <v>71</v>
      </c>
      <c r="C175" s="82" t="s">
        <v>74</v>
      </c>
      <c r="D175">
        <v>201508</v>
      </c>
      <c r="E175" s="1">
        <v>42216</v>
      </c>
      <c r="F175" s="1">
        <v>42243</v>
      </c>
      <c r="G175" t="s">
        <v>74</v>
      </c>
      <c r="H175" s="81">
        <v>11</v>
      </c>
      <c r="I175" t="s">
        <v>12</v>
      </c>
      <c r="J175" s="3">
        <v>126.36</v>
      </c>
      <c r="K175" t="s">
        <v>52</v>
      </c>
    </row>
    <row r="176" spans="1:11" x14ac:dyDescent="0.25">
      <c r="A176" t="s">
        <v>57</v>
      </c>
      <c r="B176" t="s">
        <v>71</v>
      </c>
      <c r="C176" s="82" t="s">
        <v>74</v>
      </c>
      <c r="D176">
        <v>201509</v>
      </c>
      <c r="E176" s="1">
        <v>42243</v>
      </c>
      <c r="F176" s="1">
        <v>42276</v>
      </c>
      <c r="G176" t="s">
        <v>74</v>
      </c>
      <c r="H176" s="81">
        <v>14</v>
      </c>
      <c r="I176" t="s">
        <v>12</v>
      </c>
      <c r="J176" s="3">
        <v>159.29</v>
      </c>
      <c r="K176" t="s">
        <v>52</v>
      </c>
    </row>
    <row r="177" spans="1:11" x14ac:dyDescent="0.25">
      <c r="A177" t="s">
        <v>57</v>
      </c>
      <c r="B177" t="s">
        <v>71</v>
      </c>
      <c r="C177" s="82" t="s">
        <v>74</v>
      </c>
      <c r="D177">
        <v>201510</v>
      </c>
      <c r="E177" s="1">
        <v>42276</v>
      </c>
      <c r="F177" s="1">
        <v>42305</v>
      </c>
      <c r="G177" t="s">
        <v>74</v>
      </c>
      <c r="H177" s="81">
        <v>16</v>
      </c>
      <c r="I177" t="s">
        <v>12</v>
      </c>
      <c r="J177" s="3">
        <v>129.59</v>
      </c>
      <c r="K177" t="s">
        <v>52</v>
      </c>
    </row>
    <row r="178" spans="1:11" x14ac:dyDescent="0.25">
      <c r="A178" t="s">
        <v>57</v>
      </c>
      <c r="B178" t="s">
        <v>71</v>
      </c>
      <c r="C178" s="82" t="s">
        <v>74</v>
      </c>
      <c r="D178">
        <v>201511</v>
      </c>
      <c r="E178" s="1">
        <v>42305</v>
      </c>
      <c r="F178" s="1">
        <v>42339</v>
      </c>
      <c r="G178" t="s">
        <v>74</v>
      </c>
      <c r="H178" s="81">
        <v>18</v>
      </c>
      <c r="I178" t="s">
        <v>12</v>
      </c>
      <c r="J178" s="3">
        <v>120.64</v>
      </c>
      <c r="K178" t="s">
        <v>52</v>
      </c>
    </row>
    <row r="179" spans="1:11" x14ac:dyDescent="0.25">
      <c r="A179" t="s">
        <v>57</v>
      </c>
      <c r="B179" t="s">
        <v>71</v>
      </c>
      <c r="C179" s="82" t="s">
        <v>74</v>
      </c>
      <c r="D179">
        <v>201512</v>
      </c>
      <c r="E179" s="1">
        <v>42339</v>
      </c>
      <c r="F179" s="1">
        <v>42369</v>
      </c>
      <c r="G179" t="s">
        <v>74</v>
      </c>
      <c r="H179" s="81">
        <v>19</v>
      </c>
      <c r="I179" t="s">
        <v>12</v>
      </c>
      <c r="J179" s="3">
        <v>116.39</v>
      </c>
      <c r="K179" t="s">
        <v>52</v>
      </c>
    </row>
    <row r="180" spans="1:11" x14ac:dyDescent="0.25">
      <c r="A180" t="s">
        <v>57</v>
      </c>
      <c r="B180" t="s">
        <v>71</v>
      </c>
      <c r="C180" s="82" t="s">
        <v>74</v>
      </c>
      <c r="D180">
        <v>201601</v>
      </c>
      <c r="E180" s="1">
        <v>42369</v>
      </c>
      <c r="F180" s="1">
        <v>42401</v>
      </c>
      <c r="G180" t="s">
        <v>74</v>
      </c>
      <c r="H180" s="81">
        <v>28</v>
      </c>
      <c r="I180" t="s">
        <v>12</v>
      </c>
      <c r="J180" s="3">
        <v>149</v>
      </c>
      <c r="K180" t="s">
        <v>52</v>
      </c>
    </row>
    <row r="181" spans="1:11" x14ac:dyDescent="0.25">
      <c r="A181" t="s">
        <v>57</v>
      </c>
      <c r="B181" t="s">
        <v>71</v>
      </c>
      <c r="C181" s="82" t="s">
        <v>74</v>
      </c>
      <c r="D181">
        <v>201602</v>
      </c>
      <c r="E181" s="1">
        <v>42401</v>
      </c>
      <c r="F181" s="1">
        <v>42430</v>
      </c>
      <c r="G181" t="s">
        <v>74</v>
      </c>
      <c r="H181" s="81">
        <v>22</v>
      </c>
      <c r="I181" t="s">
        <v>12</v>
      </c>
      <c r="J181" s="3">
        <v>122.56</v>
      </c>
      <c r="K181" t="s">
        <v>52</v>
      </c>
    </row>
    <row r="182" spans="1:11" x14ac:dyDescent="0.25">
      <c r="A182" t="s">
        <v>57</v>
      </c>
      <c r="B182" t="s">
        <v>71</v>
      </c>
      <c r="C182" s="82" t="s">
        <v>74</v>
      </c>
      <c r="D182">
        <v>201603</v>
      </c>
      <c r="E182" s="1">
        <v>42430</v>
      </c>
      <c r="F182" s="1">
        <v>42460</v>
      </c>
      <c r="G182" t="s">
        <v>74</v>
      </c>
      <c r="H182" s="81">
        <v>23</v>
      </c>
      <c r="I182" t="s">
        <v>12</v>
      </c>
      <c r="J182" s="3">
        <v>124.55</v>
      </c>
      <c r="K182" t="s">
        <v>52</v>
      </c>
    </row>
    <row r="183" spans="1:11" x14ac:dyDescent="0.25">
      <c r="A183" t="s">
        <v>57</v>
      </c>
      <c r="B183" t="s">
        <v>71</v>
      </c>
      <c r="C183" s="82" t="s">
        <v>74</v>
      </c>
      <c r="D183">
        <v>201604</v>
      </c>
      <c r="E183" s="1">
        <v>42460</v>
      </c>
      <c r="F183" s="1">
        <v>42489</v>
      </c>
      <c r="G183" t="s">
        <v>74</v>
      </c>
      <c r="H183" s="81">
        <v>15</v>
      </c>
      <c r="I183" t="s">
        <v>12</v>
      </c>
      <c r="J183" s="3">
        <v>112.28</v>
      </c>
      <c r="K183" t="s">
        <v>52</v>
      </c>
    </row>
    <row r="184" spans="1:11" x14ac:dyDescent="0.25">
      <c r="A184" t="s">
        <v>57</v>
      </c>
      <c r="B184" t="s">
        <v>71</v>
      </c>
      <c r="C184" s="82" t="s">
        <v>74</v>
      </c>
      <c r="D184">
        <v>201605</v>
      </c>
      <c r="E184" s="1">
        <v>42489</v>
      </c>
      <c r="F184" s="1">
        <v>42521</v>
      </c>
      <c r="G184" t="s">
        <v>74</v>
      </c>
      <c r="H184" s="81">
        <v>10</v>
      </c>
      <c r="I184" t="s">
        <v>12</v>
      </c>
      <c r="J184" s="3">
        <v>92.17</v>
      </c>
      <c r="K184" t="s">
        <v>52</v>
      </c>
    </row>
    <row r="185" spans="1:11" x14ac:dyDescent="0.25">
      <c r="A185" t="s">
        <v>57</v>
      </c>
      <c r="B185" t="s">
        <v>71</v>
      </c>
      <c r="C185" s="82" t="s">
        <v>74</v>
      </c>
      <c r="D185">
        <v>201606</v>
      </c>
      <c r="E185" s="1">
        <v>42521</v>
      </c>
      <c r="F185" s="1">
        <v>42550</v>
      </c>
      <c r="G185" t="s">
        <v>74</v>
      </c>
      <c r="H185" s="81">
        <v>11</v>
      </c>
      <c r="I185" t="s">
        <v>12</v>
      </c>
      <c r="J185" s="3">
        <v>119.91</v>
      </c>
      <c r="K185" t="s">
        <v>52</v>
      </c>
    </row>
    <row r="186" spans="1:11" x14ac:dyDescent="0.25">
      <c r="A186" t="s">
        <v>57</v>
      </c>
      <c r="B186" t="s">
        <v>71</v>
      </c>
      <c r="C186" s="82" t="s">
        <v>75</v>
      </c>
      <c r="D186">
        <v>201507</v>
      </c>
      <c r="E186" s="1">
        <v>42185</v>
      </c>
      <c r="F186" s="1">
        <v>42216</v>
      </c>
      <c r="G186" t="s">
        <v>75</v>
      </c>
      <c r="H186" s="81">
        <v>13</v>
      </c>
      <c r="I186" t="s">
        <v>12</v>
      </c>
      <c r="J186" s="3">
        <v>146.63</v>
      </c>
      <c r="K186" t="s">
        <v>52</v>
      </c>
    </row>
    <row r="187" spans="1:11" x14ac:dyDescent="0.25">
      <c r="A187" t="s">
        <v>57</v>
      </c>
      <c r="B187" t="s">
        <v>71</v>
      </c>
      <c r="C187" s="82" t="s">
        <v>75</v>
      </c>
      <c r="D187">
        <v>201508</v>
      </c>
      <c r="E187" s="1">
        <v>42216</v>
      </c>
      <c r="F187" s="1">
        <v>42243</v>
      </c>
      <c r="G187" t="s">
        <v>75</v>
      </c>
      <c r="H187" s="81">
        <v>13</v>
      </c>
      <c r="I187" t="s">
        <v>12</v>
      </c>
      <c r="J187" s="3">
        <v>149.34</v>
      </c>
      <c r="K187" t="s">
        <v>52</v>
      </c>
    </row>
    <row r="188" spans="1:11" x14ac:dyDescent="0.25">
      <c r="A188" t="s">
        <v>57</v>
      </c>
      <c r="B188" t="s">
        <v>71</v>
      </c>
      <c r="C188" s="82" t="s">
        <v>75</v>
      </c>
      <c r="D188">
        <v>201509</v>
      </c>
      <c r="E188" s="1">
        <v>42243</v>
      </c>
      <c r="F188" s="1">
        <v>42276</v>
      </c>
      <c r="G188" t="s">
        <v>75</v>
      </c>
      <c r="H188" s="81">
        <v>16</v>
      </c>
      <c r="I188" t="s">
        <v>12</v>
      </c>
      <c r="J188" s="3">
        <v>182.04</v>
      </c>
      <c r="K188" t="s">
        <v>52</v>
      </c>
    </row>
    <row r="189" spans="1:11" x14ac:dyDescent="0.25">
      <c r="A189" t="s">
        <v>57</v>
      </c>
      <c r="B189" t="s">
        <v>71</v>
      </c>
      <c r="C189" s="82" t="s">
        <v>75</v>
      </c>
      <c r="D189">
        <v>201510</v>
      </c>
      <c r="E189" s="1">
        <v>42276</v>
      </c>
      <c r="F189" s="1">
        <v>42305</v>
      </c>
      <c r="G189" t="s">
        <v>75</v>
      </c>
      <c r="H189" s="81">
        <v>18</v>
      </c>
      <c r="I189" t="s">
        <v>12</v>
      </c>
      <c r="J189" s="3">
        <v>145.79</v>
      </c>
      <c r="K189" t="s">
        <v>52</v>
      </c>
    </row>
    <row r="190" spans="1:11" x14ac:dyDescent="0.25">
      <c r="A190" t="s">
        <v>57</v>
      </c>
      <c r="B190" t="s">
        <v>71</v>
      </c>
      <c r="C190" s="82" t="s">
        <v>75</v>
      </c>
      <c r="D190">
        <v>201511</v>
      </c>
      <c r="E190" s="1">
        <v>42305</v>
      </c>
      <c r="F190" s="1">
        <v>42339</v>
      </c>
      <c r="G190" t="s">
        <v>75</v>
      </c>
      <c r="H190" s="81">
        <v>21</v>
      </c>
      <c r="I190" t="s">
        <v>12</v>
      </c>
      <c r="J190" s="3">
        <v>140.75</v>
      </c>
      <c r="K190" t="s">
        <v>52</v>
      </c>
    </row>
    <row r="191" spans="1:11" x14ac:dyDescent="0.25">
      <c r="A191" t="s">
        <v>57</v>
      </c>
      <c r="B191" t="s">
        <v>71</v>
      </c>
      <c r="C191" s="82" t="s">
        <v>75</v>
      </c>
      <c r="D191">
        <v>201512</v>
      </c>
      <c r="E191" s="1">
        <v>42339</v>
      </c>
      <c r="F191" s="1">
        <v>42369</v>
      </c>
      <c r="G191" t="s">
        <v>75</v>
      </c>
      <c r="H191" s="81">
        <v>22</v>
      </c>
      <c r="I191" t="s">
        <v>12</v>
      </c>
      <c r="J191" s="3">
        <v>134.77000000000001</v>
      </c>
      <c r="K191" t="s">
        <v>52</v>
      </c>
    </row>
    <row r="192" spans="1:11" x14ac:dyDescent="0.25">
      <c r="A192" t="s">
        <v>57</v>
      </c>
      <c r="B192" t="s">
        <v>71</v>
      </c>
      <c r="C192" s="82" t="s">
        <v>75</v>
      </c>
      <c r="D192">
        <v>201601</v>
      </c>
      <c r="E192" s="1">
        <v>42369</v>
      </c>
      <c r="F192" s="1">
        <v>42401</v>
      </c>
      <c r="G192" t="s">
        <v>75</v>
      </c>
      <c r="H192" s="81">
        <v>33</v>
      </c>
      <c r="I192" t="s">
        <v>12</v>
      </c>
      <c r="J192" s="3">
        <v>175.6</v>
      </c>
      <c r="K192" t="s">
        <v>52</v>
      </c>
    </row>
    <row r="193" spans="1:11" x14ac:dyDescent="0.25">
      <c r="A193" t="s">
        <v>57</v>
      </c>
      <c r="B193" t="s">
        <v>71</v>
      </c>
      <c r="C193" s="82" t="s">
        <v>75</v>
      </c>
      <c r="D193">
        <v>201602</v>
      </c>
      <c r="E193" s="1">
        <v>42401</v>
      </c>
      <c r="F193" s="1">
        <v>42430</v>
      </c>
      <c r="G193" t="s">
        <v>75</v>
      </c>
      <c r="H193" s="81">
        <v>26</v>
      </c>
      <c r="I193" t="s">
        <v>12</v>
      </c>
      <c r="J193" s="3">
        <v>144.85</v>
      </c>
      <c r="K193" t="s">
        <v>52</v>
      </c>
    </row>
    <row r="194" spans="1:11" x14ac:dyDescent="0.25">
      <c r="A194" t="s">
        <v>57</v>
      </c>
      <c r="B194" t="s">
        <v>71</v>
      </c>
      <c r="C194" s="82" t="s">
        <v>75</v>
      </c>
      <c r="D194">
        <v>201603</v>
      </c>
      <c r="E194" s="1">
        <v>42430</v>
      </c>
      <c r="F194" s="1">
        <v>42460</v>
      </c>
      <c r="G194" t="s">
        <v>75</v>
      </c>
      <c r="H194" s="81">
        <v>27</v>
      </c>
      <c r="I194" t="s">
        <v>12</v>
      </c>
      <c r="J194" s="3">
        <v>146.21</v>
      </c>
      <c r="K194" t="s">
        <v>52</v>
      </c>
    </row>
    <row r="195" spans="1:11" x14ac:dyDescent="0.25">
      <c r="A195" t="s">
        <v>57</v>
      </c>
      <c r="B195" t="s">
        <v>71</v>
      </c>
      <c r="C195" s="82" t="s">
        <v>75</v>
      </c>
      <c r="D195">
        <v>201604</v>
      </c>
      <c r="E195" s="1">
        <v>42460</v>
      </c>
      <c r="F195" s="1">
        <v>42489</v>
      </c>
      <c r="G195" t="s">
        <v>75</v>
      </c>
      <c r="H195" s="81">
        <v>17</v>
      </c>
      <c r="I195" t="s">
        <v>12</v>
      </c>
      <c r="J195" s="3">
        <v>127.25</v>
      </c>
      <c r="K195" t="s">
        <v>52</v>
      </c>
    </row>
    <row r="196" spans="1:11" x14ac:dyDescent="0.25">
      <c r="A196" t="s">
        <v>57</v>
      </c>
      <c r="B196" t="s">
        <v>71</v>
      </c>
      <c r="C196" s="82" t="s">
        <v>75</v>
      </c>
      <c r="D196">
        <v>201605</v>
      </c>
      <c r="E196" s="1">
        <v>42489</v>
      </c>
      <c r="F196" s="1">
        <v>42521</v>
      </c>
      <c r="G196" t="s">
        <v>75</v>
      </c>
      <c r="H196" s="81">
        <v>12</v>
      </c>
      <c r="I196" t="s">
        <v>12</v>
      </c>
      <c r="J196" s="3">
        <v>110.61</v>
      </c>
      <c r="K196" t="s">
        <v>52</v>
      </c>
    </row>
    <row r="197" spans="1:11" x14ac:dyDescent="0.25">
      <c r="A197" t="s">
        <v>57</v>
      </c>
      <c r="B197" t="s">
        <v>71</v>
      </c>
      <c r="C197" s="82" t="s">
        <v>75</v>
      </c>
      <c r="D197">
        <v>201606</v>
      </c>
      <c r="E197" s="1">
        <v>42521</v>
      </c>
      <c r="F197" s="1">
        <v>42550</v>
      </c>
      <c r="G197" t="s">
        <v>75</v>
      </c>
      <c r="H197" s="81">
        <v>13</v>
      </c>
      <c r="I197" t="s">
        <v>12</v>
      </c>
      <c r="J197" s="3">
        <v>141.71</v>
      </c>
      <c r="K197" t="s">
        <v>52</v>
      </c>
    </row>
    <row r="198" spans="1:11" x14ac:dyDescent="0.25">
      <c r="A198" t="s">
        <v>57</v>
      </c>
      <c r="B198" t="s">
        <v>71</v>
      </c>
      <c r="C198" s="82" t="s">
        <v>80</v>
      </c>
      <c r="D198">
        <v>201507</v>
      </c>
      <c r="E198" s="1">
        <v>42185</v>
      </c>
      <c r="F198" s="1">
        <v>42216</v>
      </c>
      <c r="G198" t="s">
        <v>81</v>
      </c>
      <c r="H198" s="81">
        <v>6</v>
      </c>
      <c r="I198" t="s">
        <v>12</v>
      </c>
      <c r="J198" s="3">
        <v>67.680000000000007</v>
      </c>
      <c r="K198" t="s">
        <v>52</v>
      </c>
    </row>
    <row r="199" spans="1:11" x14ac:dyDescent="0.25">
      <c r="A199" t="s">
        <v>57</v>
      </c>
      <c r="B199" t="s">
        <v>71</v>
      </c>
      <c r="C199" s="82" t="s">
        <v>80</v>
      </c>
      <c r="D199">
        <v>201508</v>
      </c>
      <c r="E199" s="1">
        <v>42216</v>
      </c>
      <c r="F199" s="1">
        <v>42243</v>
      </c>
      <c r="G199" t="s">
        <v>81</v>
      </c>
      <c r="H199" s="81">
        <v>6</v>
      </c>
      <c r="I199" t="s">
        <v>12</v>
      </c>
      <c r="J199" s="3">
        <v>68.930000000000007</v>
      </c>
      <c r="K199" t="s">
        <v>52</v>
      </c>
    </row>
    <row r="200" spans="1:11" x14ac:dyDescent="0.25">
      <c r="A200" t="s">
        <v>57</v>
      </c>
      <c r="B200" t="s">
        <v>71</v>
      </c>
      <c r="C200" s="82" t="s">
        <v>80</v>
      </c>
      <c r="D200">
        <v>201509</v>
      </c>
      <c r="E200" s="1">
        <v>42243</v>
      </c>
      <c r="F200" s="1">
        <v>42276</v>
      </c>
      <c r="G200" t="s">
        <v>81</v>
      </c>
      <c r="H200" s="81">
        <v>7</v>
      </c>
      <c r="I200" t="s">
        <v>12</v>
      </c>
      <c r="J200" s="3">
        <v>79.64</v>
      </c>
      <c r="K200" t="s">
        <v>52</v>
      </c>
    </row>
    <row r="201" spans="1:11" x14ac:dyDescent="0.25">
      <c r="A201" t="s">
        <v>57</v>
      </c>
      <c r="B201" t="s">
        <v>71</v>
      </c>
      <c r="C201" s="82" t="s">
        <v>80</v>
      </c>
      <c r="D201">
        <v>201510</v>
      </c>
      <c r="E201" s="1">
        <v>42276</v>
      </c>
      <c r="F201" s="1">
        <v>42305</v>
      </c>
      <c r="G201" t="s">
        <v>81</v>
      </c>
      <c r="H201" s="81">
        <v>8</v>
      </c>
      <c r="I201" t="s">
        <v>12</v>
      </c>
      <c r="J201" s="3">
        <v>64.8</v>
      </c>
      <c r="K201" t="s">
        <v>52</v>
      </c>
    </row>
    <row r="202" spans="1:11" x14ac:dyDescent="0.25">
      <c r="A202" t="s">
        <v>57</v>
      </c>
      <c r="B202" t="s">
        <v>71</v>
      </c>
      <c r="C202" s="82" t="s">
        <v>80</v>
      </c>
      <c r="D202">
        <v>201511</v>
      </c>
      <c r="E202" s="1">
        <v>42305</v>
      </c>
      <c r="F202" s="1">
        <v>42339</v>
      </c>
      <c r="G202" t="s">
        <v>81</v>
      </c>
      <c r="H202" s="81">
        <v>9</v>
      </c>
      <c r="I202" t="s">
        <v>12</v>
      </c>
      <c r="J202" s="3">
        <v>60.32</v>
      </c>
      <c r="K202" t="s">
        <v>52</v>
      </c>
    </row>
    <row r="203" spans="1:11" x14ac:dyDescent="0.25">
      <c r="A203" t="s">
        <v>57</v>
      </c>
      <c r="B203" t="s">
        <v>71</v>
      </c>
      <c r="C203" s="82" t="s">
        <v>80</v>
      </c>
      <c r="D203">
        <v>201512</v>
      </c>
      <c r="E203" s="1">
        <v>42339</v>
      </c>
      <c r="F203" s="1">
        <v>42369</v>
      </c>
      <c r="G203" t="s">
        <v>81</v>
      </c>
      <c r="H203" s="81">
        <v>10</v>
      </c>
      <c r="I203" t="s">
        <v>12</v>
      </c>
      <c r="J203" s="3">
        <v>61.26</v>
      </c>
      <c r="K203" t="s">
        <v>52</v>
      </c>
    </row>
    <row r="204" spans="1:11" x14ac:dyDescent="0.25">
      <c r="A204" t="s">
        <v>57</v>
      </c>
      <c r="B204" t="s">
        <v>71</v>
      </c>
      <c r="C204" s="82" t="s">
        <v>80</v>
      </c>
      <c r="D204">
        <v>201601</v>
      </c>
      <c r="E204" s="1">
        <v>42369</v>
      </c>
      <c r="F204" s="1">
        <v>42401</v>
      </c>
      <c r="G204" t="s">
        <v>81</v>
      </c>
      <c r="H204" s="81">
        <v>15</v>
      </c>
      <c r="I204" t="s">
        <v>12</v>
      </c>
      <c r="J204" s="3">
        <v>79.819999999999993</v>
      </c>
      <c r="K204" t="s">
        <v>52</v>
      </c>
    </row>
    <row r="205" spans="1:11" x14ac:dyDescent="0.25">
      <c r="A205" t="s">
        <v>57</v>
      </c>
      <c r="B205" t="s">
        <v>71</v>
      </c>
      <c r="C205" s="82" t="s">
        <v>80</v>
      </c>
      <c r="D205">
        <v>201602</v>
      </c>
      <c r="E205" s="1">
        <v>42401</v>
      </c>
      <c r="F205" s="1">
        <v>42430</v>
      </c>
      <c r="G205" t="s">
        <v>81</v>
      </c>
      <c r="H205" s="81">
        <v>12</v>
      </c>
      <c r="I205" t="s">
        <v>12</v>
      </c>
      <c r="J205" s="3">
        <v>66.849999999999994</v>
      </c>
      <c r="K205" t="s">
        <v>52</v>
      </c>
    </row>
    <row r="206" spans="1:11" x14ac:dyDescent="0.25">
      <c r="A206" t="s">
        <v>57</v>
      </c>
      <c r="B206" t="s">
        <v>71</v>
      </c>
      <c r="C206" s="82" t="s">
        <v>80</v>
      </c>
      <c r="D206">
        <v>201603</v>
      </c>
      <c r="E206" s="1">
        <v>42430</v>
      </c>
      <c r="F206" s="1">
        <v>42460</v>
      </c>
      <c r="G206" t="s">
        <v>81</v>
      </c>
      <c r="H206" s="81">
        <v>12</v>
      </c>
      <c r="I206" t="s">
        <v>12</v>
      </c>
      <c r="J206" s="3">
        <v>64.98</v>
      </c>
      <c r="K206" t="s">
        <v>52</v>
      </c>
    </row>
    <row r="207" spans="1:11" x14ac:dyDescent="0.25">
      <c r="A207" t="s">
        <v>57</v>
      </c>
      <c r="B207" t="s">
        <v>71</v>
      </c>
      <c r="C207" s="82" t="s">
        <v>80</v>
      </c>
      <c r="D207">
        <v>201604</v>
      </c>
      <c r="E207" s="1">
        <v>42460</v>
      </c>
      <c r="F207" s="1">
        <v>42489</v>
      </c>
      <c r="G207" t="s">
        <v>81</v>
      </c>
      <c r="H207" s="81">
        <v>8</v>
      </c>
      <c r="I207" t="s">
        <v>12</v>
      </c>
      <c r="J207" s="3">
        <v>59.88</v>
      </c>
      <c r="K207" t="s">
        <v>52</v>
      </c>
    </row>
    <row r="208" spans="1:11" x14ac:dyDescent="0.25">
      <c r="A208" t="s">
        <v>57</v>
      </c>
      <c r="B208" t="s">
        <v>71</v>
      </c>
      <c r="C208" s="82" t="s">
        <v>80</v>
      </c>
      <c r="D208">
        <v>201605</v>
      </c>
      <c r="E208" s="1">
        <v>42489</v>
      </c>
      <c r="F208" s="1">
        <v>42521</v>
      </c>
      <c r="G208" t="s">
        <v>81</v>
      </c>
      <c r="H208" s="81">
        <v>5</v>
      </c>
      <c r="I208" t="s">
        <v>12</v>
      </c>
      <c r="J208" s="3">
        <v>46.09</v>
      </c>
      <c r="K208" t="s">
        <v>52</v>
      </c>
    </row>
    <row r="209" spans="1:11" ht="15.75" thickBot="1" x14ac:dyDescent="0.3">
      <c r="A209" t="s">
        <v>57</v>
      </c>
      <c r="B209" t="s">
        <v>71</v>
      </c>
      <c r="C209" s="82" t="s">
        <v>80</v>
      </c>
      <c r="D209">
        <v>201606</v>
      </c>
      <c r="E209" s="1">
        <v>42521</v>
      </c>
      <c r="F209" s="1">
        <v>42550</v>
      </c>
      <c r="G209" t="s">
        <v>81</v>
      </c>
      <c r="H209" s="81">
        <v>6</v>
      </c>
      <c r="I209" t="s">
        <v>12</v>
      </c>
      <c r="J209" s="3">
        <v>65.41</v>
      </c>
      <c r="K209" t="s">
        <v>52</v>
      </c>
    </row>
    <row r="210" spans="1:11" ht="15.75" thickBot="1" x14ac:dyDescent="0.3">
      <c r="G210" s="20" t="s">
        <v>607</v>
      </c>
      <c r="H210" s="89">
        <f>SUM(H162:H209)</f>
        <v>713</v>
      </c>
      <c r="I210" t="s">
        <v>12</v>
      </c>
      <c r="J210" s="90">
        <f>SUM(J162:J209)</f>
        <v>5388.62</v>
      </c>
    </row>
    <row r="211" spans="1:11" x14ac:dyDescent="0.25">
      <c r="H211" s="2"/>
    </row>
    <row r="212" spans="1:11" x14ac:dyDescent="0.25">
      <c r="A212" t="s">
        <v>88</v>
      </c>
      <c r="B212" t="s">
        <v>71</v>
      </c>
      <c r="C212" s="82" t="s">
        <v>100</v>
      </c>
      <c r="D212">
        <v>201507</v>
      </c>
      <c r="E212" s="1">
        <v>42185</v>
      </c>
      <c r="F212" s="1">
        <v>42216</v>
      </c>
      <c r="G212" t="s">
        <v>100</v>
      </c>
      <c r="H212" s="81">
        <v>11</v>
      </c>
      <c r="I212" t="s">
        <v>12</v>
      </c>
      <c r="J212" s="3">
        <v>73.73</v>
      </c>
      <c r="K212" t="s">
        <v>52</v>
      </c>
    </row>
    <row r="213" spans="1:11" x14ac:dyDescent="0.25">
      <c r="A213" t="s">
        <v>88</v>
      </c>
      <c r="B213" t="s">
        <v>71</v>
      </c>
      <c r="C213" s="82" t="s">
        <v>100</v>
      </c>
      <c r="D213">
        <v>201508</v>
      </c>
      <c r="E213" s="1">
        <v>42216</v>
      </c>
      <c r="F213" s="1">
        <v>42243</v>
      </c>
      <c r="G213" t="s">
        <v>100</v>
      </c>
      <c r="H213" s="81">
        <v>11</v>
      </c>
      <c r="I213" t="s">
        <v>12</v>
      </c>
      <c r="J213" s="3">
        <v>73.73</v>
      </c>
      <c r="K213" t="s">
        <v>52</v>
      </c>
    </row>
    <row r="214" spans="1:11" x14ac:dyDescent="0.25">
      <c r="A214" t="s">
        <v>88</v>
      </c>
      <c r="B214" t="s">
        <v>71</v>
      </c>
      <c r="C214" s="82" t="s">
        <v>100</v>
      </c>
      <c r="D214">
        <v>201509</v>
      </c>
      <c r="E214" s="1">
        <v>42243</v>
      </c>
      <c r="F214" s="1">
        <v>42276</v>
      </c>
      <c r="G214" t="s">
        <v>100</v>
      </c>
      <c r="H214" s="81">
        <v>13</v>
      </c>
      <c r="I214" t="s">
        <v>12</v>
      </c>
      <c r="J214" s="3">
        <v>87.13</v>
      </c>
      <c r="K214" t="s">
        <v>52</v>
      </c>
    </row>
    <row r="215" spans="1:11" x14ac:dyDescent="0.25">
      <c r="A215" t="s">
        <v>88</v>
      </c>
      <c r="B215" t="s">
        <v>71</v>
      </c>
      <c r="C215" s="82" t="s">
        <v>100</v>
      </c>
      <c r="D215">
        <v>201510</v>
      </c>
      <c r="E215" s="1">
        <v>42276</v>
      </c>
      <c r="F215" s="1">
        <v>42305</v>
      </c>
      <c r="G215" t="s">
        <v>100</v>
      </c>
      <c r="H215" s="81">
        <v>15</v>
      </c>
      <c r="I215" t="s">
        <v>12</v>
      </c>
      <c r="J215" s="3">
        <v>100.54</v>
      </c>
      <c r="K215" t="s">
        <v>52</v>
      </c>
    </row>
    <row r="216" spans="1:11" x14ac:dyDescent="0.25">
      <c r="A216" t="s">
        <v>88</v>
      </c>
      <c r="B216" t="s">
        <v>71</v>
      </c>
      <c r="C216" s="82" t="s">
        <v>100</v>
      </c>
      <c r="D216">
        <v>201511</v>
      </c>
      <c r="E216" s="1">
        <v>42305</v>
      </c>
      <c r="F216" s="1">
        <v>42339</v>
      </c>
      <c r="G216" t="s">
        <v>100</v>
      </c>
      <c r="H216" s="81">
        <v>17</v>
      </c>
      <c r="I216" t="s">
        <v>12</v>
      </c>
      <c r="J216" s="3">
        <v>113.94</v>
      </c>
      <c r="K216" t="s">
        <v>52</v>
      </c>
    </row>
    <row r="217" spans="1:11" x14ac:dyDescent="0.25">
      <c r="A217" t="s">
        <v>88</v>
      </c>
      <c r="B217" t="s">
        <v>71</v>
      </c>
      <c r="C217" s="82" t="s">
        <v>100</v>
      </c>
      <c r="D217">
        <v>201512</v>
      </c>
      <c r="E217" s="1">
        <v>42339</v>
      </c>
      <c r="F217" s="1">
        <v>42369</v>
      </c>
      <c r="G217" t="s">
        <v>100</v>
      </c>
      <c r="H217" s="81">
        <v>18</v>
      </c>
      <c r="I217" t="s">
        <v>12</v>
      </c>
      <c r="J217" s="3">
        <v>110.27</v>
      </c>
      <c r="K217" t="s">
        <v>52</v>
      </c>
    </row>
    <row r="218" spans="1:11" x14ac:dyDescent="0.25">
      <c r="A218" t="s">
        <v>88</v>
      </c>
      <c r="B218" t="s">
        <v>71</v>
      </c>
      <c r="C218" s="82" t="s">
        <v>100</v>
      </c>
      <c r="D218">
        <v>201601</v>
      </c>
      <c r="E218" s="1">
        <v>42369</v>
      </c>
      <c r="F218" s="1">
        <v>42401</v>
      </c>
      <c r="G218" t="s">
        <v>100</v>
      </c>
      <c r="H218" s="81">
        <v>27</v>
      </c>
      <c r="I218" t="s">
        <v>12</v>
      </c>
      <c r="J218" s="3">
        <v>143.66999999999999</v>
      </c>
      <c r="K218" t="s">
        <v>52</v>
      </c>
    </row>
    <row r="219" spans="1:11" x14ac:dyDescent="0.25">
      <c r="A219" t="s">
        <v>88</v>
      </c>
      <c r="B219" t="s">
        <v>71</v>
      </c>
      <c r="C219" s="82" t="s">
        <v>100</v>
      </c>
      <c r="D219">
        <v>201602</v>
      </c>
      <c r="E219" s="1">
        <v>42401</v>
      </c>
      <c r="F219" s="1">
        <v>42430</v>
      </c>
      <c r="G219" t="s">
        <v>100</v>
      </c>
      <c r="H219" s="81">
        <v>21</v>
      </c>
      <c r="I219" t="s">
        <v>12</v>
      </c>
      <c r="J219" s="3">
        <v>116.99</v>
      </c>
      <c r="K219" t="s">
        <v>52</v>
      </c>
    </row>
    <row r="220" spans="1:11" x14ac:dyDescent="0.25">
      <c r="A220" t="s">
        <v>88</v>
      </c>
      <c r="B220" t="s">
        <v>71</v>
      </c>
      <c r="C220" s="82" t="s">
        <v>100</v>
      </c>
      <c r="D220">
        <v>201603</v>
      </c>
      <c r="E220" s="1">
        <v>42430</v>
      </c>
      <c r="F220" s="1">
        <v>42460</v>
      </c>
      <c r="G220" t="s">
        <v>100</v>
      </c>
      <c r="H220" s="81">
        <v>22</v>
      </c>
      <c r="I220" t="s">
        <v>12</v>
      </c>
      <c r="J220" s="3">
        <v>119.13</v>
      </c>
      <c r="K220" t="s">
        <v>52</v>
      </c>
    </row>
    <row r="221" spans="1:11" x14ac:dyDescent="0.25">
      <c r="A221" t="s">
        <v>88</v>
      </c>
      <c r="B221" t="s">
        <v>71</v>
      </c>
      <c r="C221" s="82" t="s">
        <v>100</v>
      </c>
      <c r="D221">
        <v>201604</v>
      </c>
      <c r="E221" s="1">
        <v>42460</v>
      </c>
      <c r="F221" s="1">
        <v>42489</v>
      </c>
      <c r="G221" t="s">
        <v>100</v>
      </c>
      <c r="H221" s="81">
        <v>14</v>
      </c>
      <c r="I221" t="s">
        <v>12</v>
      </c>
      <c r="J221" s="3">
        <v>104.8</v>
      </c>
      <c r="K221" t="s">
        <v>52</v>
      </c>
    </row>
    <row r="222" spans="1:11" x14ac:dyDescent="0.25">
      <c r="A222" t="s">
        <v>88</v>
      </c>
      <c r="B222" t="s">
        <v>71</v>
      </c>
      <c r="C222" s="82" t="s">
        <v>100</v>
      </c>
      <c r="D222">
        <v>201605</v>
      </c>
      <c r="E222" s="1">
        <v>42489</v>
      </c>
      <c r="F222" s="1">
        <v>42521</v>
      </c>
      <c r="G222" t="s">
        <v>100</v>
      </c>
      <c r="H222" s="81">
        <v>9</v>
      </c>
      <c r="I222" t="s">
        <v>12</v>
      </c>
      <c r="J222" s="3">
        <v>82.95</v>
      </c>
      <c r="K222" t="s">
        <v>52</v>
      </c>
    </row>
    <row r="223" spans="1:11" ht="15.75" thickBot="1" x14ac:dyDescent="0.3">
      <c r="A223" t="s">
        <v>88</v>
      </c>
      <c r="B223" t="s">
        <v>71</v>
      </c>
      <c r="C223" s="82" t="s">
        <v>100</v>
      </c>
      <c r="D223">
        <v>201606</v>
      </c>
      <c r="E223" s="1">
        <v>42521</v>
      </c>
      <c r="F223" s="1">
        <v>42550</v>
      </c>
      <c r="G223" t="s">
        <v>100</v>
      </c>
      <c r="H223" s="81">
        <v>11</v>
      </c>
      <c r="I223" t="s">
        <v>12</v>
      </c>
      <c r="J223" s="3">
        <v>119.91</v>
      </c>
      <c r="K223" t="s">
        <v>52</v>
      </c>
    </row>
    <row r="224" spans="1:11" ht="15.75" thickBot="1" x14ac:dyDescent="0.3">
      <c r="G224" s="20" t="s">
        <v>606</v>
      </c>
      <c r="H224" s="89">
        <f>SUM(H212:H223)</f>
        <v>189</v>
      </c>
      <c r="I224" t="s">
        <v>12</v>
      </c>
      <c r="J224" s="90">
        <f>SUM(J212:J223)</f>
        <v>1246.7900000000002</v>
      </c>
    </row>
    <row r="225" spans="1:11" x14ac:dyDescent="0.25">
      <c r="H225" s="2"/>
    </row>
    <row r="226" spans="1:11" x14ac:dyDescent="0.25">
      <c r="H226" s="2"/>
    </row>
    <row r="227" spans="1:11" x14ac:dyDescent="0.25">
      <c r="H227" s="2"/>
    </row>
    <row r="228" spans="1:11" x14ac:dyDescent="0.25">
      <c r="A228" t="s">
        <v>48</v>
      </c>
      <c r="B228" t="s">
        <v>71</v>
      </c>
      <c r="C228" s="82" t="s">
        <v>76</v>
      </c>
      <c r="D228">
        <v>201507</v>
      </c>
      <c r="E228" s="1">
        <v>42185</v>
      </c>
      <c r="F228" s="1">
        <v>42216</v>
      </c>
      <c r="G228" t="s">
        <v>77</v>
      </c>
      <c r="H228" s="81">
        <v>7</v>
      </c>
      <c r="I228" t="s">
        <v>12</v>
      </c>
      <c r="J228" s="3">
        <v>78.95</v>
      </c>
      <c r="K228" t="s">
        <v>52</v>
      </c>
    </row>
    <row r="229" spans="1:11" x14ac:dyDescent="0.25">
      <c r="A229" t="s">
        <v>48</v>
      </c>
      <c r="B229" t="s">
        <v>71</v>
      </c>
      <c r="C229" s="82" t="s">
        <v>76</v>
      </c>
      <c r="D229">
        <v>201508</v>
      </c>
      <c r="E229" s="1">
        <v>42216</v>
      </c>
      <c r="F229" s="1">
        <v>42243</v>
      </c>
      <c r="G229" t="s">
        <v>77</v>
      </c>
      <c r="H229" s="81">
        <v>7</v>
      </c>
      <c r="I229" t="s">
        <v>12</v>
      </c>
      <c r="J229" s="3">
        <v>80.41</v>
      </c>
      <c r="K229" t="s">
        <v>52</v>
      </c>
    </row>
    <row r="230" spans="1:11" x14ac:dyDescent="0.25">
      <c r="A230" t="s">
        <v>48</v>
      </c>
      <c r="B230" t="s">
        <v>71</v>
      </c>
      <c r="C230" s="82" t="s">
        <v>76</v>
      </c>
      <c r="D230">
        <v>201509</v>
      </c>
      <c r="E230" s="1">
        <v>42243</v>
      </c>
      <c r="F230" s="1">
        <v>42276</v>
      </c>
      <c r="G230" t="s">
        <v>77</v>
      </c>
      <c r="H230" s="81">
        <v>9</v>
      </c>
      <c r="I230" t="s">
        <v>12</v>
      </c>
      <c r="J230" s="3">
        <v>102.4</v>
      </c>
      <c r="K230" t="s">
        <v>52</v>
      </c>
    </row>
    <row r="231" spans="1:11" x14ac:dyDescent="0.25">
      <c r="A231" t="s">
        <v>48</v>
      </c>
      <c r="B231" t="s">
        <v>71</v>
      </c>
      <c r="C231" s="82" t="s">
        <v>76</v>
      </c>
      <c r="D231">
        <v>201510</v>
      </c>
      <c r="E231" s="1">
        <v>42276</v>
      </c>
      <c r="F231" s="1">
        <v>42305</v>
      </c>
      <c r="G231" t="s">
        <v>77</v>
      </c>
      <c r="H231" s="81">
        <v>10</v>
      </c>
      <c r="I231" t="s">
        <v>12</v>
      </c>
      <c r="J231" s="3">
        <v>81</v>
      </c>
      <c r="K231" t="s">
        <v>52</v>
      </c>
    </row>
    <row r="232" spans="1:11" x14ac:dyDescent="0.25">
      <c r="A232" t="s">
        <v>48</v>
      </c>
      <c r="B232" t="s">
        <v>71</v>
      </c>
      <c r="C232" s="82" t="s">
        <v>76</v>
      </c>
      <c r="D232">
        <v>201511</v>
      </c>
      <c r="E232" s="1">
        <v>42305</v>
      </c>
      <c r="F232" s="1">
        <v>42339</v>
      </c>
      <c r="G232" t="s">
        <v>77</v>
      </c>
      <c r="H232" s="81">
        <v>11</v>
      </c>
      <c r="I232" t="s">
        <v>12</v>
      </c>
      <c r="J232" s="3">
        <v>73.73</v>
      </c>
      <c r="K232" t="s">
        <v>52</v>
      </c>
    </row>
    <row r="233" spans="1:11" x14ac:dyDescent="0.25">
      <c r="A233" t="s">
        <v>48</v>
      </c>
      <c r="B233" t="s">
        <v>71</v>
      </c>
      <c r="C233" s="82" t="s">
        <v>76</v>
      </c>
      <c r="D233">
        <v>201512</v>
      </c>
      <c r="E233" s="1">
        <v>42339</v>
      </c>
      <c r="F233" s="1">
        <v>42369</v>
      </c>
      <c r="G233" t="s">
        <v>77</v>
      </c>
      <c r="H233" s="81">
        <v>12</v>
      </c>
      <c r="I233" t="s">
        <v>12</v>
      </c>
      <c r="J233" s="3">
        <v>73.510000000000005</v>
      </c>
      <c r="K233" t="s">
        <v>52</v>
      </c>
    </row>
    <row r="234" spans="1:11" x14ac:dyDescent="0.25">
      <c r="A234" t="s">
        <v>48</v>
      </c>
      <c r="B234" t="s">
        <v>71</v>
      </c>
      <c r="C234" s="82" t="s">
        <v>76</v>
      </c>
      <c r="D234">
        <v>201601</v>
      </c>
      <c r="E234" s="1">
        <v>42369</v>
      </c>
      <c r="F234" s="1">
        <v>42401</v>
      </c>
      <c r="G234" t="s">
        <v>77</v>
      </c>
      <c r="H234" s="81">
        <v>18</v>
      </c>
      <c r="I234" t="s">
        <v>12</v>
      </c>
      <c r="J234" s="3">
        <v>95.78</v>
      </c>
      <c r="K234" t="s">
        <v>52</v>
      </c>
    </row>
    <row r="235" spans="1:11" x14ac:dyDescent="0.25">
      <c r="A235" t="s">
        <v>48</v>
      </c>
      <c r="B235" t="s">
        <v>71</v>
      </c>
      <c r="C235" s="82" t="s">
        <v>76</v>
      </c>
      <c r="D235">
        <v>201602</v>
      </c>
      <c r="E235" s="1">
        <v>42401</v>
      </c>
      <c r="F235" s="1">
        <v>42430</v>
      </c>
      <c r="G235" t="s">
        <v>77</v>
      </c>
      <c r="H235" s="81">
        <v>14</v>
      </c>
      <c r="I235" t="s">
        <v>12</v>
      </c>
      <c r="J235" s="3">
        <v>78</v>
      </c>
      <c r="K235" t="s">
        <v>52</v>
      </c>
    </row>
    <row r="236" spans="1:11" x14ac:dyDescent="0.25">
      <c r="A236" t="s">
        <v>48</v>
      </c>
      <c r="B236" t="s">
        <v>71</v>
      </c>
      <c r="C236" s="82" t="s">
        <v>76</v>
      </c>
      <c r="D236">
        <v>201603</v>
      </c>
      <c r="E236" s="1">
        <v>42430</v>
      </c>
      <c r="F236" s="1">
        <v>42460</v>
      </c>
      <c r="G236" t="s">
        <v>77</v>
      </c>
      <c r="H236" s="81">
        <v>14</v>
      </c>
      <c r="I236" t="s">
        <v>12</v>
      </c>
      <c r="J236" s="3">
        <v>75.81</v>
      </c>
      <c r="K236" t="s">
        <v>52</v>
      </c>
    </row>
    <row r="237" spans="1:11" x14ac:dyDescent="0.25">
      <c r="A237" t="s">
        <v>48</v>
      </c>
      <c r="B237" t="s">
        <v>71</v>
      </c>
      <c r="C237" s="82" t="s">
        <v>76</v>
      </c>
      <c r="D237">
        <v>201604</v>
      </c>
      <c r="E237" s="1">
        <v>42460</v>
      </c>
      <c r="F237" s="1">
        <v>42489</v>
      </c>
      <c r="G237" t="s">
        <v>77</v>
      </c>
      <c r="H237" s="81">
        <v>9</v>
      </c>
      <c r="I237" t="s">
        <v>12</v>
      </c>
      <c r="J237" s="3">
        <v>67.37</v>
      </c>
      <c r="K237" t="s">
        <v>52</v>
      </c>
    </row>
    <row r="238" spans="1:11" x14ac:dyDescent="0.25">
      <c r="A238" t="s">
        <v>48</v>
      </c>
      <c r="B238" t="s">
        <v>71</v>
      </c>
      <c r="C238" s="82" t="s">
        <v>76</v>
      </c>
      <c r="D238">
        <v>201605</v>
      </c>
      <c r="E238" s="1">
        <v>42489</v>
      </c>
      <c r="F238" s="1">
        <v>42521</v>
      </c>
      <c r="G238" t="s">
        <v>77</v>
      </c>
      <c r="H238" s="81">
        <v>6</v>
      </c>
      <c r="I238" t="s">
        <v>12</v>
      </c>
      <c r="J238" s="3">
        <v>55.3</v>
      </c>
      <c r="K238" t="s">
        <v>52</v>
      </c>
    </row>
    <row r="239" spans="1:11" x14ac:dyDescent="0.25">
      <c r="A239" t="s">
        <v>48</v>
      </c>
      <c r="B239" t="s">
        <v>71</v>
      </c>
      <c r="C239" s="82" t="s">
        <v>76</v>
      </c>
      <c r="D239">
        <v>201606</v>
      </c>
      <c r="E239" s="1">
        <v>42521</v>
      </c>
      <c r="F239" s="1">
        <v>42550</v>
      </c>
      <c r="G239" t="s">
        <v>77</v>
      </c>
      <c r="H239" s="81">
        <v>7</v>
      </c>
      <c r="I239" t="s">
        <v>12</v>
      </c>
      <c r="J239" s="3">
        <v>76.31</v>
      </c>
      <c r="K239" t="s">
        <v>52</v>
      </c>
    </row>
    <row r="240" spans="1:11" x14ac:dyDescent="0.25">
      <c r="A240" t="s">
        <v>68</v>
      </c>
      <c r="B240" t="s">
        <v>71</v>
      </c>
      <c r="C240" s="82" t="s">
        <v>79</v>
      </c>
      <c r="D240">
        <v>201507</v>
      </c>
      <c r="E240" s="1">
        <v>42185</v>
      </c>
      <c r="F240" s="1">
        <v>42216</v>
      </c>
      <c r="G240" t="s">
        <v>79</v>
      </c>
      <c r="H240" s="81">
        <v>12</v>
      </c>
      <c r="I240" t="s">
        <v>12</v>
      </c>
      <c r="J240" s="3">
        <v>135.35</v>
      </c>
      <c r="K240" t="s">
        <v>52</v>
      </c>
    </row>
    <row r="241" spans="1:11" x14ac:dyDescent="0.25">
      <c r="A241" t="s">
        <v>68</v>
      </c>
      <c r="B241" t="s">
        <v>71</v>
      </c>
      <c r="C241" s="82" t="s">
        <v>79</v>
      </c>
      <c r="D241">
        <v>201508</v>
      </c>
      <c r="E241" s="1">
        <v>42216</v>
      </c>
      <c r="F241" s="1">
        <v>42243</v>
      </c>
      <c r="G241" t="s">
        <v>79</v>
      </c>
      <c r="H241" s="81">
        <v>12</v>
      </c>
      <c r="I241" t="s">
        <v>12</v>
      </c>
      <c r="J241" s="3">
        <v>137.85</v>
      </c>
      <c r="K241" t="s">
        <v>52</v>
      </c>
    </row>
    <row r="242" spans="1:11" x14ac:dyDescent="0.25">
      <c r="A242" t="s">
        <v>68</v>
      </c>
      <c r="B242" t="s">
        <v>71</v>
      </c>
      <c r="C242" s="82" t="s">
        <v>79</v>
      </c>
      <c r="D242">
        <v>201509</v>
      </c>
      <c r="E242" s="1">
        <v>42243</v>
      </c>
      <c r="F242" s="1">
        <v>42276</v>
      </c>
      <c r="G242" t="s">
        <v>79</v>
      </c>
      <c r="H242" s="81">
        <v>14</v>
      </c>
      <c r="I242" t="s">
        <v>12</v>
      </c>
      <c r="J242" s="3">
        <v>159.29</v>
      </c>
      <c r="K242" t="s">
        <v>52</v>
      </c>
    </row>
    <row r="243" spans="1:11" x14ac:dyDescent="0.25">
      <c r="A243" t="s">
        <v>68</v>
      </c>
      <c r="B243" t="s">
        <v>71</v>
      </c>
      <c r="C243" s="82" t="s">
        <v>79</v>
      </c>
      <c r="D243">
        <v>201510</v>
      </c>
      <c r="E243" s="1">
        <v>42276</v>
      </c>
      <c r="F243" s="1">
        <v>42305</v>
      </c>
      <c r="G243" t="s">
        <v>79</v>
      </c>
      <c r="H243" s="81">
        <v>16</v>
      </c>
      <c r="I243" t="s">
        <v>12</v>
      </c>
      <c r="J243" s="3">
        <v>129.59</v>
      </c>
      <c r="K243" t="s">
        <v>52</v>
      </c>
    </row>
    <row r="244" spans="1:11" x14ac:dyDescent="0.25">
      <c r="A244" t="s">
        <v>68</v>
      </c>
      <c r="B244" t="s">
        <v>71</v>
      </c>
      <c r="C244" s="82" t="s">
        <v>79</v>
      </c>
      <c r="D244">
        <v>201511</v>
      </c>
      <c r="E244" s="1">
        <v>42305</v>
      </c>
      <c r="F244" s="1">
        <v>42339</v>
      </c>
      <c r="G244" t="s">
        <v>79</v>
      </c>
      <c r="H244" s="81">
        <v>18</v>
      </c>
      <c r="I244" t="s">
        <v>12</v>
      </c>
      <c r="J244" s="3">
        <v>120.64</v>
      </c>
      <c r="K244" t="s">
        <v>52</v>
      </c>
    </row>
    <row r="245" spans="1:11" x14ac:dyDescent="0.25">
      <c r="A245" t="s">
        <v>68</v>
      </c>
      <c r="B245" t="s">
        <v>71</v>
      </c>
      <c r="C245" s="82" t="s">
        <v>79</v>
      </c>
      <c r="D245">
        <v>201512</v>
      </c>
      <c r="E245" s="1">
        <v>42339</v>
      </c>
      <c r="F245" s="1">
        <v>42369</v>
      </c>
      <c r="G245" t="s">
        <v>79</v>
      </c>
      <c r="H245" s="81">
        <v>19</v>
      </c>
      <c r="I245" t="s">
        <v>12</v>
      </c>
      <c r="J245" s="3">
        <v>116.39</v>
      </c>
      <c r="K245" t="s">
        <v>52</v>
      </c>
    </row>
    <row r="246" spans="1:11" x14ac:dyDescent="0.25">
      <c r="A246" t="s">
        <v>68</v>
      </c>
      <c r="B246" t="s">
        <v>71</v>
      </c>
      <c r="C246" s="82" t="s">
        <v>79</v>
      </c>
      <c r="D246">
        <v>201601</v>
      </c>
      <c r="E246" s="1">
        <v>42369</v>
      </c>
      <c r="F246" s="1">
        <v>42401</v>
      </c>
      <c r="G246" t="s">
        <v>79</v>
      </c>
      <c r="H246" s="81">
        <v>29</v>
      </c>
      <c r="I246" t="s">
        <v>12</v>
      </c>
      <c r="J246" s="3">
        <v>154.32</v>
      </c>
      <c r="K246" t="s">
        <v>52</v>
      </c>
    </row>
    <row r="247" spans="1:11" x14ac:dyDescent="0.25">
      <c r="A247" t="s">
        <v>68</v>
      </c>
      <c r="B247" t="s">
        <v>71</v>
      </c>
      <c r="C247" s="82" t="s">
        <v>79</v>
      </c>
      <c r="D247">
        <v>201602</v>
      </c>
      <c r="E247" s="1">
        <v>42401</v>
      </c>
      <c r="F247" s="1">
        <v>42430</v>
      </c>
      <c r="G247" t="s">
        <v>79</v>
      </c>
      <c r="H247" s="81">
        <v>23</v>
      </c>
      <c r="I247" t="s">
        <v>12</v>
      </c>
      <c r="J247" s="3">
        <v>128.13999999999999</v>
      </c>
      <c r="K247" t="s">
        <v>52</v>
      </c>
    </row>
    <row r="248" spans="1:11" x14ac:dyDescent="0.25">
      <c r="A248" t="s">
        <v>68</v>
      </c>
      <c r="B248" t="s">
        <v>71</v>
      </c>
      <c r="C248" s="82" t="s">
        <v>79</v>
      </c>
      <c r="D248">
        <v>201603</v>
      </c>
      <c r="E248" s="1">
        <v>42430</v>
      </c>
      <c r="F248" s="1">
        <v>42460</v>
      </c>
      <c r="G248" t="s">
        <v>79</v>
      </c>
      <c r="H248" s="81">
        <v>23</v>
      </c>
      <c r="I248" t="s">
        <v>12</v>
      </c>
      <c r="J248" s="3">
        <v>124.55</v>
      </c>
      <c r="K248" t="s">
        <v>52</v>
      </c>
    </row>
    <row r="249" spans="1:11" x14ac:dyDescent="0.25">
      <c r="A249" t="s">
        <v>68</v>
      </c>
      <c r="B249" t="s">
        <v>71</v>
      </c>
      <c r="C249" s="82" t="s">
        <v>79</v>
      </c>
      <c r="D249">
        <v>201604</v>
      </c>
      <c r="E249" s="1">
        <v>42460</v>
      </c>
      <c r="F249" s="1">
        <v>42489</v>
      </c>
      <c r="G249" t="s">
        <v>79</v>
      </c>
      <c r="H249" s="81">
        <v>15</v>
      </c>
      <c r="I249" t="s">
        <v>12</v>
      </c>
      <c r="J249" s="3">
        <v>112.28</v>
      </c>
      <c r="K249" t="s">
        <v>52</v>
      </c>
    </row>
    <row r="250" spans="1:11" x14ac:dyDescent="0.25">
      <c r="A250" t="s">
        <v>68</v>
      </c>
      <c r="B250" t="s">
        <v>71</v>
      </c>
      <c r="C250" s="82" t="s">
        <v>79</v>
      </c>
      <c r="D250">
        <v>201605</v>
      </c>
      <c r="E250" s="1">
        <v>42489</v>
      </c>
      <c r="F250" s="1">
        <v>42521</v>
      </c>
      <c r="G250" t="s">
        <v>79</v>
      </c>
      <c r="H250" s="81">
        <v>10</v>
      </c>
      <c r="I250" t="s">
        <v>12</v>
      </c>
      <c r="J250" s="3">
        <v>92.17</v>
      </c>
      <c r="K250" t="s">
        <v>52</v>
      </c>
    </row>
    <row r="251" spans="1:11" x14ac:dyDescent="0.25">
      <c r="A251" t="s">
        <v>68</v>
      </c>
      <c r="B251" t="s">
        <v>71</v>
      </c>
      <c r="C251" s="82" t="s">
        <v>79</v>
      </c>
      <c r="D251">
        <v>201606</v>
      </c>
      <c r="E251" s="1">
        <v>42521</v>
      </c>
      <c r="F251" s="1">
        <v>42550</v>
      </c>
      <c r="G251" t="s">
        <v>79</v>
      </c>
      <c r="H251" s="81">
        <v>12</v>
      </c>
      <c r="I251" t="s">
        <v>12</v>
      </c>
      <c r="J251" s="3">
        <v>130.81</v>
      </c>
      <c r="K251" t="s">
        <v>52</v>
      </c>
    </row>
    <row r="252" spans="1:11" x14ac:dyDescent="0.25">
      <c r="A252" t="s">
        <v>61</v>
      </c>
      <c r="B252" t="s">
        <v>71</v>
      </c>
      <c r="C252" s="82" t="s">
        <v>73</v>
      </c>
      <c r="D252">
        <v>201507</v>
      </c>
      <c r="E252" s="1">
        <v>42185</v>
      </c>
      <c r="F252" s="1">
        <v>42216</v>
      </c>
      <c r="G252" t="s">
        <v>73</v>
      </c>
      <c r="H252" s="81">
        <v>7</v>
      </c>
      <c r="I252" t="s">
        <v>12</v>
      </c>
      <c r="J252" s="3">
        <v>78.95</v>
      </c>
      <c r="K252" t="s">
        <v>52</v>
      </c>
    </row>
    <row r="253" spans="1:11" x14ac:dyDescent="0.25">
      <c r="A253" t="s">
        <v>61</v>
      </c>
      <c r="B253" t="s">
        <v>71</v>
      </c>
      <c r="C253" s="82" t="s">
        <v>73</v>
      </c>
      <c r="D253">
        <v>201508</v>
      </c>
      <c r="E253" s="1">
        <v>42216</v>
      </c>
      <c r="F253" s="1">
        <v>42243</v>
      </c>
      <c r="G253" t="s">
        <v>73</v>
      </c>
      <c r="H253" s="81">
        <v>7</v>
      </c>
      <c r="I253" t="s">
        <v>12</v>
      </c>
      <c r="J253" s="3">
        <v>80.41</v>
      </c>
      <c r="K253" t="s">
        <v>52</v>
      </c>
    </row>
    <row r="254" spans="1:11" x14ac:dyDescent="0.25">
      <c r="A254" t="s">
        <v>61</v>
      </c>
      <c r="B254" t="s">
        <v>71</v>
      </c>
      <c r="C254" s="82" t="s">
        <v>73</v>
      </c>
      <c r="D254">
        <v>201509</v>
      </c>
      <c r="E254" s="1">
        <v>42243</v>
      </c>
      <c r="F254" s="1">
        <v>42276</v>
      </c>
      <c r="G254" t="s">
        <v>73</v>
      </c>
      <c r="H254" s="81">
        <v>8</v>
      </c>
      <c r="I254" t="s">
        <v>12</v>
      </c>
      <c r="J254" s="3">
        <v>91.02</v>
      </c>
      <c r="K254" t="s">
        <v>52</v>
      </c>
    </row>
    <row r="255" spans="1:11" x14ac:dyDescent="0.25">
      <c r="A255" t="s">
        <v>61</v>
      </c>
      <c r="B255" t="s">
        <v>71</v>
      </c>
      <c r="C255" s="82" t="s">
        <v>73</v>
      </c>
      <c r="D255">
        <v>201510</v>
      </c>
      <c r="E255" s="1">
        <v>42276</v>
      </c>
      <c r="F255" s="1">
        <v>42305</v>
      </c>
      <c r="G255" t="s">
        <v>73</v>
      </c>
      <c r="H255" s="81">
        <v>9</v>
      </c>
      <c r="I255" t="s">
        <v>12</v>
      </c>
      <c r="J255" s="3">
        <v>72.900000000000006</v>
      </c>
      <c r="K255" t="s">
        <v>52</v>
      </c>
    </row>
    <row r="256" spans="1:11" x14ac:dyDescent="0.25">
      <c r="A256" t="s">
        <v>61</v>
      </c>
      <c r="B256" t="s">
        <v>71</v>
      </c>
      <c r="C256" s="82" t="s">
        <v>73</v>
      </c>
      <c r="D256">
        <v>201511</v>
      </c>
      <c r="E256" s="1">
        <v>42305</v>
      </c>
      <c r="F256" s="1">
        <v>42339</v>
      </c>
      <c r="G256" t="s">
        <v>73</v>
      </c>
      <c r="H256" s="81">
        <v>11</v>
      </c>
      <c r="I256" t="s">
        <v>12</v>
      </c>
      <c r="J256" s="3">
        <v>73.73</v>
      </c>
      <c r="K256" t="s">
        <v>52</v>
      </c>
    </row>
    <row r="257" spans="1:11" x14ac:dyDescent="0.25">
      <c r="A257" t="s">
        <v>61</v>
      </c>
      <c r="B257" t="s">
        <v>71</v>
      </c>
      <c r="C257" s="82" t="s">
        <v>73</v>
      </c>
      <c r="D257">
        <v>201512</v>
      </c>
      <c r="E257" s="1">
        <v>42339</v>
      </c>
      <c r="F257" s="1">
        <v>42369</v>
      </c>
      <c r="G257" t="s">
        <v>73</v>
      </c>
      <c r="H257" s="81">
        <v>11</v>
      </c>
      <c r="I257" t="s">
        <v>12</v>
      </c>
      <c r="J257" s="3">
        <v>67.39</v>
      </c>
      <c r="K257" t="s">
        <v>52</v>
      </c>
    </row>
    <row r="258" spans="1:11" x14ac:dyDescent="0.25">
      <c r="A258" t="s">
        <v>61</v>
      </c>
      <c r="B258" t="s">
        <v>71</v>
      </c>
      <c r="C258" s="82" t="s">
        <v>73</v>
      </c>
      <c r="D258">
        <v>201601</v>
      </c>
      <c r="E258" s="1">
        <v>42369</v>
      </c>
      <c r="F258" s="1">
        <v>42401</v>
      </c>
      <c r="G258" t="s">
        <v>73</v>
      </c>
      <c r="H258" s="81">
        <v>17</v>
      </c>
      <c r="I258" t="s">
        <v>12</v>
      </c>
      <c r="J258" s="3">
        <v>90.46</v>
      </c>
      <c r="K258" t="s">
        <v>52</v>
      </c>
    </row>
    <row r="259" spans="1:11" x14ac:dyDescent="0.25">
      <c r="A259" t="s">
        <v>61</v>
      </c>
      <c r="B259" t="s">
        <v>71</v>
      </c>
      <c r="C259" s="82" t="s">
        <v>73</v>
      </c>
      <c r="D259">
        <v>201602</v>
      </c>
      <c r="E259" s="1">
        <v>42401</v>
      </c>
      <c r="F259" s="1">
        <v>42430</v>
      </c>
      <c r="G259" t="s">
        <v>73</v>
      </c>
      <c r="H259" s="81">
        <v>13</v>
      </c>
      <c r="I259" t="s">
        <v>12</v>
      </c>
      <c r="J259" s="3">
        <v>72.42</v>
      </c>
      <c r="K259" t="s">
        <v>52</v>
      </c>
    </row>
    <row r="260" spans="1:11" x14ac:dyDescent="0.25">
      <c r="A260" t="s">
        <v>61</v>
      </c>
      <c r="B260" t="s">
        <v>71</v>
      </c>
      <c r="C260" s="82" t="s">
        <v>73</v>
      </c>
      <c r="D260">
        <v>201603</v>
      </c>
      <c r="E260" s="1">
        <v>42430</v>
      </c>
      <c r="F260" s="1">
        <v>42460</v>
      </c>
      <c r="G260" t="s">
        <v>73</v>
      </c>
      <c r="H260" s="81">
        <v>14</v>
      </c>
      <c r="I260" t="s">
        <v>12</v>
      </c>
      <c r="J260" s="3">
        <v>75.81</v>
      </c>
      <c r="K260" t="s">
        <v>52</v>
      </c>
    </row>
    <row r="261" spans="1:11" x14ac:dyDescent="0.25">
      <c r="A261" t="s">
        <v>61</v>
      </c>
      <c r="B261" t="s">
        <v>71</v>
      </c>
      <c r="C261" s="82" t="s">
        <v>73</v>
      </c>
      <c r="D261">
        <v>201604</v>
      </c>
      <c r="E261" s="1">
        <v>42460</v>
      </c>
      <c r="F261" s="1">
        <v>42489</v>
      </c>
      <c r="G261" t="s">
        <v>73</v>
      </c>
      <c r="H261" s="81">
        <v>9</v>
      </c>
      <c r="I261" t="s">
        <v>12</v>
      </c>
      <c r="J261" s="3">
        <v>67.37</v>
      </c>
      <c r="K261" t="s">
        <v>52</v>
      </c>
    </row>
    <row r="262" spans="1:11" x14ac:dyDescent="0.25">
      <c r="A262" t="s">
        <v>61</v>
      </c>
      <c r="B262" t="s">
        <v>71</v>
      </c>
      <c r="C262" s="82" t="s">
        <v>73</v>
      </c>
      <c r="D262">
        <v>201605</v>
      </c>
      <c r="E262" s="1">
        <v>42489</v>
      </c>
      <c r="F262" s="1">
        <v>42521</v>
      </c>
      <c r="G262" t="s">
        <v>73</v>
      </c>
      <c r="H262" s="81">
        <v>6</v>
      </c>
      <c r="I262" t="s">
        <v>12</v>
      </c>
      <c r="J262" s="3">
        <v>55.3</v>
      </c>
      <c r="K262" t="s">
        <v>52</v>
      </c>
    </row>
    <row r="263" spans="1:11" ht="15.75" thickBot="1" x14ac:dyDescent="0.3">
      <c r="A263" t="s">
        <v>61</v>
      </c>
      <c r="B263" t="s">
        <v>71</v>
      </c>
      <c r="C263" s="82" t="s">
        <v>73</v>
      </c>
      <c r="D263">
        <v>201606</v>
      </c>
      <c r="E263" s="1">
        <v>42521</v>
      </c>
      <c r="F263" s="1">
        <v>42550</v>
      </c>
      <c r="G263" t="s">
        <v>73</v>
      </c>
      <c r="H263" s="81">
        <v>7</v>
      </c>
      <c r="I263" t="s">
        <v>12</v>
      </c>
      <c r="J263" s="3">
        <v>76.31</v>
      </c>
      <c r="K263" t="s">
        <v>52</v>
      </c>
    </row>
    <row r="264" spans="1:11" ht="15.75" thickBot="1" x14ac:dyDescent="0.3">
      <c r="G264" s="20" t="s">
        <v>605</v>
      </c>
      <c r="H264" s="89">
        <f>SUM(H228:H263)</f>
        <v>446</v>
      </c>
      <c r="I264" t="s">
        <v>12</v>
      </c>
      <c r="J264" s="90">
        <f>SUM(J228:J263)</f>
        <v>3382.02</v>
      </c>
    </row>
    <row r="265" spans="1:11" x14ac:dyDescent="0.25">
      <c r="H265" s="2"/>
    </row>
    <row r="266" spans="1:11" x14ac:dyDescent="0.25">
      <c r="A266" t="s">
        <v>57</v>
      </c>
      <c r="B266" t="s">
        <v>59</v>
      </c>
      <c r="C266" s="82" t="s">
        <v>60</v>
      </c>
      <c r="D266">
        <v>201507</v>
      </c>
      <c r="E266" s="1">
        <v>42185</v>
      </c>
      <c r="F266" s="1">
        <v>42216</v>
      </c>
      <c r="G266" t="s">
        <v>60</v>
      </c>
      <c r="H266" s="81">
        <v>2</v>
      </c>
      <c r="I266" t="s">
        <v>47</v>
      </c>
      <c r="J266" s="3">
        <v>24.85</v>
      </c>
      <c r="K266" t="s">
        <v>52</v>
      </c>
    </row>
    <row r="267" spans="1:11" x14ac:dyDescent="0.25">
      <c r="A267" t="s">
        <v>57</v>
      </c>
      <c r="B267" t="s">
        <v>59</v>
      </c>
      <c r="C267" s="82" t="s">
        <v>60</v>
      </c>
      <c r="D267">
        <v>201508</v>
      </c>
      <c r="E267" s="1">
        <v>42216</v>
      </c>
      <c r="F267" s="1">
        <v>42243</v>
      </c>
      <c r="G267" t="s">
        <v>60</v>
      </c>
      <c r="H267" s="81">
        <v>3</v>
      </c>
      <c r="I267" t="s">
        <v>47</v>
      </c>
      <c r="J267" s="3">
        <v>33.4</v>
      </c>
      <c r="K267" t="s">
        <v>52</v>
      </c>
    </row>
    <row r="268" spans="1:11" x14ac:dyDescent="0.25">
      <c r="A268" t="s">
        <v>57</v>
      </c>
      <c r="B268" t="s">
        <v>59</v>
      </c>
      <c r="C268" s="82" t="s">
        <v>60</v>
      </c>
      <c r="D268">
        <v>201509</v>
      </c>
      <c r="E268" s="1">
        <v>42243</v>
      </c>
      <c r="F268" s="1">
        <v>42276</v>
      </c>
      <c r="G268" t="s">
        <v>60</v>
      </c>
      <c r="H268" s="81">
        <v>4</v>
      </c>
      <c r="I268" t="s">
        <v>47</v>
      </c>
      <c r="J268" s="3">
        <v>39.979999999999997</v>
      </c>
      <c r="K268" t="s">
        <v>52</v>
      </c>
    </row>
    <row r="269" spans="1:11" x14ac:dyDescent="0.25">
      <c r="A269" t="s">
        <v>57</v>
      </c>
      <c r="B269" t="s">
        <v>59</v>
      </c>
      <c r="C269" s="82" t="s">
        <v>60</v>
      </c>
      <c r="D269">
        <v>201510</v>
      </c>
      <c r="E269" s="1">
        <v>42276</v>
      </c>
      <c r="F269" s="1">
        <v>42305</v>
      </c>
      <c r="G269" t="s">
        <v>60</v>
      </c>
      <c r="H269" s="81">
        <v>5</v>
      </c>
      <c r="I269" t="s">
        <v>47</v>
      </c>
      <c r="J269" s="3">
        <v>41.61</v>
      </c>
      <c r="K269" t="s">
        <v>52</v>
      </c>
    </row>
    <row r="270" spans="1:11" x14ac:dyDescent="0.25">
      <c r="A270" t="s">
        <v>57</v>
      </c>
      <c r="B270" t="s">
        <v>59</v>
      </c>
      <c r="C270" s="82" t="s">
        <v>60</v>
      </c>
      <c r="D270">
        <v>201511</v>
      </c>
      <c r="E270" s="1">
        <v>42305</v>
      </c>
      <c r="F270" s="1">
        <v>42339</v>
      </c>
      <c r="G270" t="s">
        <v>60</v>
      </c>
      <c r="H270" s="81">
        <v>3</v>
      </c>
      <c r="I270" t="s">
        <v>47</v>
      </c>
      <c r="J270" s="3">
        <v>24.31</v>
      </c>
      <c r="K270" t="s">
        <v>52</v>
      </c>
    </row>
    <row r="271" spans="1:11" x14ac:dyDescent="0.25">
      <c r="A271" t="s">
        <v>57</v>
      </c>
      <c r="B271" t="s">
        <v>59</v>
      </c>
      <c r="C271" s="82" t="s">
        <v>60</v>
      </c>
      <c r="D271">
        <v>201512</v>
      </c>
      <c r="E271" s="1">
        <v>42339</v>
      </c>
      <c r="F271" s="1">
        <v>42369</v>
      </c>
      <c r="G271" t="s">
        <v>60</v>
      </c>
      <c r="H271" s="81">
        <v>2</v>
      </c>
      <c r="I271" t="s">
        <v>47</v>
      </c>
      <c r="J271" s="3">
        <v>17.079999999999998</v>
      </c>
      <c r="K271" t="s">
        <v>52</v>
      </c>
    </row>
    <row r="272" spans="1:11" x14ac:dyDescent="0.25">
      <c r="A272" t="s">
        <v>57</v>
      </c>
      <c r="B272" t="s">
        <v>59</v>
      </c>
      <c r="C272" s="82" t="s">
        <v>60</v>
      </c>
      <c r="D272">
        <v>201601</v>
      </c>
      <c r="E272" s="1">
        <v>42369</v>
      </c>
      <c r="F272" s="1">
        <v>42401</v>
      </c>
      <c r="G272" t="s">
        <v>60</v>
      </c>
      <c r="H272" s="81">
        <v>2</v>
      </c>
      <c r="I272" t="s">
        <v>47</v>
      </c>
      <c r="J272" s="3">
        <v>18.84</v>
      </c>
      <c r="K272" t="s">
        <v>52</v>
      </c>
    </row>
    <row r="273" spans="1:11" x14ac:dyDescent="0.25">
      <c r="A273" t="s">
        <v>57</v>
      </c>
      <c r="B273" t="s">
        <v>59</v>
      </c>
      <c r="C273" s="82" t="s">
        <v>60</v>
      </c>
      <c r="D273">
        <v>201602</v>
      </c>
      <c r="E273" s="1">
        <v>42401</v>
      </c>
      <c r="F273" s="1">
        <v>42430</v>
      </c>
      <c r="G273" t="s">
        <v>60</v>
      </c>
      <c r="H273" s="81">
        <v>3</v>
      </c>
      <c r="I273" t="s">
        <v>47</v>
      </c>
      <c r="J273" s="3">
        <v>28.47</v>
      </c>
      <c r="K273" t="s">
        <v>52</v>
      </c>
    </row>
    <row r="274" spans="1:11" x14ac:dyDescent="0.25">
      <c r="A274" t="s">
        <v>57</v>
      </c>
      <c r="B274" t="s">
        <v>59</v>
      </c>
      <c r="C274" s="82" t="s">
        <v>60</v>
      </c>
      <c r="D274">
        <v>201603</v>
      </c>
      <c r="E274" s="1">
        <v>42430</v>
      </c>
      <c r="F274" s="1">
        <v>42460</v>
      </c>
      <c r="G274" t="s">
        <v>60</v>
      </c>
      <c r="H274" s="81">
        <v>3</v>
      </c>
      <c r="I274" t="s">
        <v>47</v>
      </c>
      <c r="J274" s="3">
        <v>22.99</v>
      </c>
      <c r="K274" t="s">
        <v>52</v>
      </c>
    </row>
    <row r="275" spans="1:11" x14ac:dyDescent="0.25">
      <c r="A275" t="s">
        <v>57</v>
      </c>
      <c r="B275" t="s">
        <v>59</v>
      </c>
      <c r="C275" s="82" t="s">
        <v>60</v>
      </c>
      <c r="D275">
        <v>201604</v>
      </c>
      <c r="E275" s="1">
        <v>42460</v>
      </c>
      <c r="F275" s="1">
        <v>42489</v>
      </c>
      <c r="G275" t="s">
        <v>60</v>
      </c>
      <c r="H275" s="81">
        <v>1</v>
      </c>
      <c r="I275" t="s">
        <v>47</v>
      </c>
      <c r="J275" s="3">
        <v>9.42</v>
      </c>
      <c r="K275" t="s">
        <v>52</v>
      </c>
    </row>
    <row r="276" spans="1:11" x14ac:dyDescent="0.25">
      <c r="A276" t="s">
        <v>57</v>
      </c>
      <c r="B276" t="s">
        <v>59</v>
      </c>
      <c r="C276" s="82" t="s">
        <v>60</v>
      </c>
      <c r="D276">
        <v>201605</v>
      </c>
      <c r="E276" s="1">
        <v>42489</v>
      </c>
      <c r="F276" s="1">
        <v>42521</v>
      </c>
      <c r="G276" t="s">
        <v>60</v>
      </c>
      <c r="H276" s="81">
        <v>2</v>
      </c>
      <c r="I276" t="s">
        <v>47</v>
      </c>
      <c r="J276" s="3">
        <v>20.05</v>
      </c>
      <c r="K276" t="s">
        <v>52</v>
      </c>
    </row>
    <row r="277" spans="1:11" x14ac:dyDescent="0.25">
      <c r="A277" t="s">
        <v>57</v>
      </c>
      <c r="B277" t="s">
        <v>59</v>
      </c>
      <c r="C277" s="82" t="s">
        <v>60</v>
      </c>
      <c r="D277">
        <v>201606</v>
      </c>
      <c r="E277" s="1">
        <v>42522</v>
      </c>
      <c r="F277" s="1">
        <v>42550</v>
      </c>
      <c r="G277" t="s">
        <v>60</v>
      </c>
      <c r="H277" s="81">
        <v>2</v>
      </c>
      <c r="I277" t="s">
        <v>47</v>
      </c>
      <c r="J277" s="3">
        <v>21.83</v>
      </c>
      <c r="K277" t="s">
        <v>52</v>
      </c>
    </row>
    <row r="278" spans="1:11" x14ac:dyDescent="0.25">
      <c r="A278" t="s">
        <v>57</v>
      </c>
      <c r="B278" t="s">
        <v>59</v>
      </c>
      <c r="C278" s="82" t="s">
        <v>66</v>
      </c>
      <c r="D278">
        <v>201507</v>
      </c>
      <c r="E278" s="1">
        <v>42185</v>
      </c>
      <c r="F278" s="1">
        <v>42216</v>
      </c>
      <c r="G278" t="s">
        <v>66</v>
      </c>
      <c r="H278" s="81">
        <v>2</v>
      </c>
      <c r="I278" t="s">
        <v>47</v>
      </c>
      <c r="J278" s="3">
        <v>21.24</v>
      </c>
      <c r="K278" t="s">
        <v>52</v>
      </c>
    </row>
    <row r="279" spans="1:11" x14ac:dyDescent="0.25">
      <c r="A279" t="s">
        <v>57</v>
      </c>
      <c r="B279" t="s">
        <v>59</v>
      </c>
      <c r="C279" s="82" t="s">
        <v>66</v>
      </c>
      <c r="D279">
        <v>201508</v>
      </c>
      <c r="E279" s="1">
        <v>42216</v>
      </c>
      <c r="F279" s="1">
        <v>42243</v>
      </c>
      <c r="G279" t="s">
        <v>66</v>
      </c>
      <c r="H279" s="81">
        <v>3</v>
      </c>
      <c r="I279" t="s">
        <v>47</v>
      </c>
      <c r="J279" s="3">
        <v>28.55</v>
      </c>
      <c r="K279" t="s">
        <v>52</v>
      </c>
    </row>
    <row r="280" spans="1:11" x14ac:dyDescent="0.25">
      <c r="A280" t="s">
        <v>57</v>
      </c>
      <c r="B280" t="s">
        <v>59</v>
      </c>
      <c r="C280" s="82" t="s">
        <v>66</v>
      </c>
      <c r="D280">
        <v>201509</v>
      </c>
      <c r="E280" s="1">
        <v>42243</v>
      </c>
      <c r="F280" s="1">
        <v>42276</v>
      </c>
      <c r="G280" t="s">
        <v>66</v>
      </c>
      <c r="H280" s="81">
        <v>4</v>
      </c>
      <c r="I280" t="s">
        <v>47</v>
      </c>
      <c r="J280" s="3">
        <v>34.17</v>
      </c>
      <c r="K280" t="s">
        <v>52</v>
      </c>
    </row>
    <row r="281" spans="1:11" x14ac:dyDescent="0.25">
      <c r="A281" t="s">
        <v>57</v>
      </c>
      <c r="B281" t="s">
        <v>59</v>
      </c>
      <c r="C281" s="82" t="s">
        <v>66</v>
      </c>
      <c r="D281">
        <v>201510</v>
      </c>
      <c r="E281" s="1">
        <v>42276</v>
      </c>
      <c r="F281" s="1">
        <v>42305</v>
      </c>
      <c r="G281" t="s">
        <v>66</v>
      </c>
      <c r="H281" s="81">
        <v>4</v>
      </c>
      <c r="I281" t="s">
        <v>47</v>
      </c>
      <c r="J281" s="3">
        <v>35.56</v>
      </c>
      <c r="K281" t="s">
        <v>52</v>
      </c>
    </row>
    <row r="282" spans="1:11" x14ac:dyDescent="0.25">
      <c r="A282" t="s">
        <v>57</v>
      </c>
      <c r="B282" t="s">
        <v>59</v>
      </c>
      <c r="C282" s="82" t="s">
        <v>66</v>
      </c>
      <c r="D282">
        <v>201511</v>
      </c>
      <c r="E282" s="1">
        <v>42305</v>
      </c>
      <c r="F282" s="1">
        <v>42339</v>
      </c>
      <c r="G282" t="s">
        <v>66</v>
      </c>
      <c r="H282" s="81">
        <v>2</v>
      </c>
      <c r="I282" t="s">
        <v>47</v>
      </c>
      <c r="J282" s="3">
        <v>20.77</v>
      </c>
      <c r="K282" t="s">
        <v>52</v>
      </c>
    </row>
    <row r="283" spans="1:11" x14ac:dyDescent="0.25">
      <c r="A283" t="s">
        <v>57</v>
      </c>
      <c r="B283" t="s">
        <v>59</v>
      </c>
      <c r="C283" s="82" t="s">
        <v>66</v>
      </c>
      <c r="D283">
        <v>201512</v>
      </c>
      <c r="E283" s="1">
        <v>42339</v>
      </c>
      <c r="F283" s="1">
        <v>42369</v>
      </c>
      <c r="G283" t="s">
        <v>66</v>
      </c>
      <c r="H283" s="81">
        <v>2</v>
      </c>
      <c r="I283" t="s">
        <v>47</v>
      </c>
      <c r="J283" s="3">
        <v>14.6</v>
      </c>
      <c r="K283" t="s">
        <v>52</v>
      </c>
    </row>
    <row r="284" spans="1:11" x14ac:dyDescent="0.25">
      <c r="A284" t="s">
        <v>57</v>
      </c>
      <c r="B284" t="s">
        <v>59</v>
      </c>
      <c r="C284" s="82" t="s">
        <v>66</v>
      </c>
      <c r="D284">
        <v>201601</v>
      </c>
      <c r="E284" s="1">
        <v>42369</v>
      </c>
      <c r="F284" s="1">
        <v>42401</v>
      </c>
      <c r="G284" t="s">
        <v>66</v>
      </c>
      <c r="H284" s="81">
        <v>2</v>
      </c>
      <c r="I284" t="s">
        <v>47</v>
      </c>
      <c r="J284" s="3">
        <v>16.100000000000001</v>
      </c>
      <c r="K284" t="s">
        <v>52</v>
      </c>
    </row>
    <row r="285" spans="1:11" x14ac:dyDescent="0.25">
      <c r="A285" t="s">
        <v>57</v>
      </c>
      <c r="B285" t="s">
        <v>59</v>
      </c>
      <c r="C285" s="82" t="s">
        <v>66</v>
      </c>
      <c r="D285">
        <v>201602</v>
      </c>
      <c r="E285" s="1">
        <v>42401</v>
      </c>
      <c r="F285" s="1">
        <v>42430</v>
      </c>
      <c r="G285" t="s">
        <v>66</v>
      </c>
      <c r="H285" s="81">
        <v>3</v>
      </c>
      <c r="I285" t="s">
        <v>47</v>
      </c>
      <c r="J285" s="3">
        <v>24.33</v>
      </c>
      <c r="K285" t="s">
        <v>52</v>
      </c>
    </row>
    <row r="286" spans="1:11" x14ac:dyDescent="0.25">
      <c r="A286" t="s">
        <v>57</v>
      </c>
      <c r="B286" t="s">
        <v>59</v>
      </c>
      <c r="C286" s="82" t="s">
        <v>66</v>
      </c>
      <c r="D286">
        <v>201603</v>
      </c>
      <c r="E286" s="1">
        <v>42430</v>
      </c>
      <c r="F286" s="1">
        <v>42460</v>
      </c>
      <c r="G286" t="s">
        <v>66</v>
      </c>
      <c r="H286" s="81">
        <v>2</v>
      </c>
      <c r="I286" t="s">
        <v>47</v>
      </c>
      <c r="J286" s="3">
        <v>19.649999999999999</v>
      </c>
      <c r="K286" t="s">
        <v>52</v>
      </c>
    </row>
    <row r="287" spans="1:11" x14ac:dyDescent="0.25">
      <c r="A287" t="s">
        <v>57</v>
      </c>
      <c r="B287" t="s">
        <v>59</v>
      </c>
      <c r="C287" s="82" t="s">
        <v>66</v>
      </c>
      <c r="D287">
        <v>201604</v>
      </c>
      <c r="E287" s="1">
        <v>42460</v>
      </c>
      <c r="F287" s="1">
        <v>42489</v>
      </c>
      <c r="G287" t="s">
        <v>66</v>
      </c>
      <c r="H287" s="81">
        <v>1</v>
      </c>
      <c r="I287" t="s">
        <v>47</v>
      </c>
      <c r="J287" s="3">
        <v>8.0500000000000007</v>
      </c>
      <c r="K287" t="s">
        <v>52</v>
      </c>
    </row>
    <row r="288" spans="1:11" x14ac:dyDescent="0.25">
      <c r="A288" t="s">
        <v>57</v>
      </c>
      <c r="B288" t="s">
        <v>59</v>
      </c>
      <c r="C288" s="82" t="s">
        <v>66</v>
      </c>
      <c r="D288">
        <v>201605</v>
      </c>
      <c r="E288" s="1">
        <v>42489</v>
      </c>
      <c r="F288" s="1">
        <v>42521</v>
      </c>
      <c r="G288" t="s">
        <v>66</v>
      </c>
      <c r="H288" s="81">
        <v>2</v>
      </c>
      <c r="I288" t="s">
        <v>47</v>
      </c>
      <c r="J288" s="3">
        <v>17.14</v>
      </c>
      <c r="K288" t="s">
        <v>52</v>
      </c>
    </row>
    <row r="289" spans="1:11" x14ac:dyDescent="0.25">
      <c r="A289" t="s">
        <v>57</v>
      </c>
      <c r="B289" t="s">
        <v>59</v>
      </c>
      <c r="C289" s="82" t="s">
        <v>66</v>
      </c>
      <c r="D289">
        <v>201606</v>
      </c>
      <c r="E289" s="1">
        <v>42522</v>
      </c>
      <c r="F289" s="1">
        <v>42550</v>
      </c>
      <c r="G289" t="s">
        <v>66</v>
      </c>
      <c r="H289" s="81">
        <v>2</v>
      </c>
      <c r="I289" t="s">
        <v>47</v>
      </c>
      <c r="J289" s="3">
        <v>18.66</v>
      </c>
      <c r="K289" t="s">
        <v>52</v>
      </c>
    </row>
    <row r="290" spans="1:11" x14ac:dyDescent="0.25">
      <c r="A290" t="s">
        <v>57</v>
      </c>
      <c r="B290" t="s">
        <v>59</v>
      </c>
      <c r="C290" s="82" t="s">
        <v>70</v>
      </c>
      <c r="D290">
        <v>201507</v>
      </c>
      <c r="E290" s="1">
        <v>42185</v>
      </c>
      <c r="F290" s="1">
        <v>42216</v>
      </c>
      <c r="G290" t="s">
        <v>70</v>
      </c>
      <c r="H290" s="81">
        <v>2</v>
      </c>
      <c r="I290" t="s">
        <v>47</v>
      </c>
      <c r="J290" s="3">
        <v>19.420000000000002</v>
      </c>
      <c r="K290" t="s">
        <v>52</v>
      </c>
    </row>
    <row r="291" spans="1:11" x14ac:dyDescent="0.25">
      <c r="A291" t="s">
        <v>57</v>
      </c>
      <c r="B291" t="s">
        <v>59</v>
      </c>
      <c r="C291" s="82" t="s">
        <v>70</v>
      </c>
      <c r="D291">
        <v>201508</v>
      </c>
      <c r="E291" s="1">
        <v>42216</v>
      </c>
      <c r="F291" s="1">
        <v>42243</v>
      </c>
      <c r="G291" t="s">
        <v>70</v>
      </c>
      <c r="H291" s="81">
        <v>2</v>
      </c>
      <c r="I291" t="s">
        <v>47</v>
      </c>
      <c r="J291" s="3">
        <v>26.1</v>
      </c>
      <c r="K291" t="s">
        <v>52</v>
      </c>
    </row>
    <row r="292" spans="1:11" x14ac:dyDescent="0.25">
      <c r="A292" t="s">
        <v>57</v>
      </c>
      <c r="B292" t="s">
        <v>59</v>
      </c>
      <c r="C292" s="82" t="s">
        <v>70</v>
      </c>
      <c r="D292">
        <v>201509</v>
      </c>
      <c r="E292" s="1">
        <v>42243</v>
      </c>
      <c r="F292" s="1">
        <v>42276</v>
      </c>
      <c r="G292" t="s">
        <v>70</v>
      </c>
      <c r="H292" s="81">
        <v>3</v>
      </c>
      <c r="I292" t="s">
        <v>47</v>
      </c>
      <c r="J292" s="3">
        <v>31.24</v>
      </c>
      <c r="K292" t="s">
        <v>52</v>
      </c>
    </row>
    <row r="293" spans="1:11" x14ac:dyDescent="0.25">
      <c r="A293" t="s">
        <v>57</v>
      </c>
      <c r="B293" t="s">
        <v>59</v>
      </c>
      <c r="C293" s="82" t="s">
        <v>70</v>
      </c>
      <c r="D293">
        <v>201510</v>
      </c>
      <c r="E293" s="1">
        <v>42276</v>
      </c>
      <c r="F293" s="1">
        <v>42305</v>
      </c>
      <c r="G293" t="s">
        <v>70</v>
      </c>
      <c r="H293" s="81">
        <v>4</v>
      </c>
      <c r="I293" t="s">
        <v>47</v>
      </c>
      <c r="J293" s="3">
        <v>32.51</v>
      </c>
      <c r="K293" t="s">
        <v>52</v>
      </c>
    </row>
    <row r="294" spans="1:11" x14ac:dyDescent="0.25">
      <c r="A294" t="s">
        <v>57</v>
      </c>
      <c r="B294" t="s">
        <v>59</v>
      </c>
      <c r="C294" s="82" t="s">
        <v>70</v>
      </c>
      <c r="D294">
        <v>201511</v>
      </c>
      <c r="E294" s="1">
        <v>42305</v>
      </c>
      <c r="F294" s="1">
        <v>42339</v>
      </c>
      <c r="G294" t="s">
        <v>70</v>
      </c>
      <c r="H294" s="81">
        <v>2</v>
      </c>
      <c r="I294" t="s">
        <v>47</v>
      </c>
      <c r="J294" s="3">
        <v>18.989999999999998</v>
      </c>
      <c r="K294" t="s">
        <v>52</v>
      </c>
    </row>
    <row r="295" spans="1:11" x14ac:dyDescent="0.25">
      <c r="A295" t="s">
        <v>57</v>
      </c>
      <c r="B295" t="s">
        <v>59</v>
      </c>
      <c r="C295" s="82" t="s">
        <v>70</v>
      </c>
      <c r="D295">
        <v>201512</v>
      </c>
      <c r="E295" s="1">
        <v>42339</v>
      </c>
      <c r="F295" s="1">
        <v>42369</v>
      </c>
      <c r="G295" t="s">
        <v>70</v>
      </c>
      <c r="H295" s="81">
        <v>1</v>
      </c>
      <c r="I295" t="s">
        <v>47</v>
      </c>
      <c r="J295" s="3">
        <v>13.35</v>
      </c>
      <c r="K295" t="s">
        <v>52</v>
      </c>
    </row>
    <row r="296" spans="1:11" x14ac:dyDescent="0.25">
      <c r="A296" t="s">
        <v>57</v>
      </c>
      <c r="B296" t="s">
        <v>59</v>
      </c>
      <c r="C296" s="82" t="s">
        <v>70</v>
      </c>
      <c r="D296">
        <v>201601</v>
      </c>
      <c r="E296" s="1">
        <v>42369</v>
      </c>
      <c r="F296" s="1">
        <v>42401</v>
      </c>
      <c r="G296" t="s">
        <v>70</v>
      </c>
      <c r="H296" s="81">
        <v>2</v>
      </c>
      <c r="I296" t="s">
        <v>47</v>
      </c>
      <c r="J296" s="3">
        <v>14.72</v>
      </c>
      <c r="K296" t="s">
        <v>52</v>
      </c>
    </row>
    <row r="297" spans="1:11" x14ac:dyDescent="0.25">
      <c r="A297" t="s">
        <v>57</v>
      </c>
      <c r="B297" t="s">
        <v>59</v>
      </c>
      <c r="C297" s="82" t="s">
        <v>70</v>
      </c>
      <c r="D297">
        <v>201602</v>
      </c>
      <c r="E297" s="1">
        <v>42401</v>
      </c>
      <c r="F297" s="1">
        <v>42430</v>
      </c>
      <c r="G297" t="s">
        <v>70</v>
      </c>
      <c r="H297" s="81">
        <v>2</v>
      </c>
      <c r="I297" t="s">
        <v>47</v>
      </c>
      <c r="J297" s="3">
        <v>22.24</v>
      </c>
      <c r="K297" t="s">
        <v>52</v>
      </c>
    </row>
    <row r="298" spans="1:11" x14ac:dyDescent="0.25">
      <c r="A298" t="s">
        <v>57</v>
      </c>
      <c r="B298" t="s">
        <v>59</v>
      </c>
      <c r="C298" s="82" t="s">
        <v>70</v>
      </c>
      <c r="D298">
        <v>201603</v>
      </c>
      <c r="E298" s="1">
        <v>42430</v>
      </c>
      <c r="F298" s="1">
        <v>42460</v>
      </c>
      <c r="G298" t="s">
        <v>70</v>
      </c>
      <c r="H298" s="81">
        <v>2</v>
      </c>
      <c r="I298" t="s">
        <v>47</v>
      </c>
      <c r="J298" s="3">
        <v>17.97</v>
      </c>
      <c r="K298" t="s">
        <v>52</v>
      </c>
    </row>
    <row r="299" spans="1:11" x14ac:dyDescent="0.25">
      <c r="A299" t="s">
        <v>57</v>
      </c>
      <c r="B299" t="s">
        <v>59</v>
      </c>
      <c r="C299" s="82" t="s">
        <v>70</v>
      </c>
      <c r="D299">
        <v>201604</v>
      </c>
      <c r="E299" s="1">
        <v>42460</v>
      </c>
      <c r="F299" s="1">
        <v>42489</v>
      </c>
      <c r="G299" t="s">
        <v>70</v>
      </c>
      <c r="H299" s="81">
        <v>1</v>
      </c>
      <c r="I299" t="s">
        <v>47</v>
      </c>
      <c r="J299" s="3">
        <v>7.36</v>
      </c>
      <c r="K299" t="s">
        <v>52</v>
      </c>
    </row>
    <row r="300" spans="1:11" x14ac:dyDescent="0.25">
      <c r="A300" t="s">
        <v>57</v>
      </c>
      <c r="B300" t="s">
        <v>59</v>
      </c>
      <c r="C300" s="82" t="s">
        <v>70</v>
      </c>
      <c r="D300">
        <v>201605</v>
      </c>
      <c r="E300" s="1">
        <v>42489</v>
      </c>
      <c r="F300" s="1">
        <v>42521</v>
      </c>
      <c r="G300" t="s">
        <v>70</v>
      </c>
      <c r="H300" s="81">
        <v>2</v>
      </c>
      <c r="I300" t="s">
        <v>47</v>
      </c>
      <c r="J300" s="3">
        <v>15.67</v>
      </c>
      <c r="K300" t="s">
        <v>52</v>
      </c>
    </row>
    <row r="301" spans="1:11" ht="15.75" thickBot="1" x14ac:dyDescent="0.3">
      <c r="A301" t="s">
        <v>57</v>
      </c>
      <c r="B301" t="s">
        <v>59</v>
      </c>
      <c r="C301" s="82" t="s">
        <v>70</v>
      </c>
      <c r="D301">
        <v>201606</v>
      </c>
      <c r="E301" s="1">
        <v>42522</v>
      </c>
      <c r="F301" s="1">
        <v>42550</v>
      </c>
      <c r="G301" t="s">
        <v>70</v>
      </c>
      <c r="H301" s="81">
        <v>2</v>
      </c>
      <c r="I301" t="s">
        <v>47</v>
      </c>
      <c r="J301" s="3">
        <v>17.059999999999999</v>
      </c>
      <c r="K301" t="s">
        <v>52</v>
      </c>
    </row>
    <row r="302" spans="1:11" ht="15.75" thickBot="1" x14ac:dyDescent="0.3">
      <c r="G302" s="20" t="s">
        <v>604</v>
      </c>
      <c r="H302" s="89">
        <f>SUM(H266:H301)</f>
        <v>86</v>
      </c>
      <c r="I302" t="s">
        <v>47</v>
      </c>
      <c r="J302" s="90">
        <f>SUM(J266:J301)</f>
        <v>798.28</v>
      </c>
    </row>
    <row r="303" spans="1:11" x14ac:dyDescent="0.25">
      <c r="H303" s="2"/>
    </row>
    <row r="304" spans="1:11" x14ac:dyDescent="0.25">
      <c r="H304" s="2"/>
    </row>
    <row r="305" spans="1:11" x14ac:dyDescent="0.25">
      <c r="A305" t="s">
        <v>61</v>
      </c>
      <c r="B305" t="s">
        <v>59</v>
      </c>
      <c r="C305" s="82" t="s">
        <v>62</v>
      </c>
      <c r="D305">
        <v>201507</v>
      </c>
      <c r="E305" s="1">
        <v>42185</v>
      </c>
      <c r="F305" s="1">
        <v>42216</v>
      </c>
      <c r="G305" t="s">
        <v>62</v>
      </c>
      <c r="H305" s="81">
        <v>3</v>
      </c>
      <c r="I305" t="s">
        <v>47</v>
      </c>
      <c r="J305" s="3">
        <v>39.08</v>
      </c>
      <c r="K305" t="s">
        <v>52</v>
      </c>
    </row>
    <row r="306" spans="1:11" x14ac:dyDescent="0.25">
      <c r="A306" t="s">
        <v>61</v>
      </c>
      <c r="B306" t="s">
        <v>59</v>
      </c>
      <c r="C306" s="82" t="s">
        <v>62</v>
      </c>
      <c r="D306">
        <v>201508</v>
      </c>
      <c r="E306" s="1">
        <v>42216</v>
      </c>
      <c r="F306" s="1">
        <v>42243</v>
      </c>
      <c r="G306" t="s">
        <v>62</v>
      </c>
      <c r="H306" s="81">
        <v>2</v>
      </c>
      <c r="I306" t="s">
        <v>47</v>
      </c>
      <c r="J306" s="3">
        <v>22.96</v>
      </c>
      <c r="K306" t="s">
        <v>52</v>
      </c>
    </row>
    <row r="307" spans="1:11" x14ac:dyDescent="0.25">
      <c r="A307" t="s">
        <v>61</v>
      </c>
      <c r="B307" t="s">
        <v>59</v>
      </c>
      <c r="C307" s="82" t="s">
        <v>62</v>
      </c>
      <c r="D307">
        <v>201509</v>
      </c>
      <c r="E307" s="1">
        <v>42243</v>
      </c>
      <c r="F307" s="1">
        <v>42276</v>
      </c>
      <c r="G307" t="s">
        <v>62</v>
      </c>
      <c r="H307" s="81">
        <v>2</v>
      </c>
      <c r="I307" t="s">
        <v>47</v>
      </c>
      <c r="J307" s="3">
        <v>16.600000000000001</v>
      </c>
      <c r="K307" t="s">
        <v>52</v>
      </c>
    </row>
    <row r="308" spans="1:11" x14ac:dyDescent="0.25">
      <c r="A308" t="s">
        <v>61</v>
      </c>
      <c r="B308" t="s">
        <v>59</v>
      </c>
      <c r="C308" s="82" t="s">
        <v>62</v>
      </c>
      <c r="D308">
        <v>201510</v>
      </c>
      <c r="E308" s="1">
        <v>42276</v>
      </c>
      <c r="F308" s="1">
        <v>42305</v>
      </c>
      <c r="G308" t="s">
        <v>62</v>
      </c>
      <c r="H308" s="81">
        <v>7</v>
      </c>
      <c r="I308" t="s">
        <v>47</v>
      </c>
      <c r="J308" s="3">
        <v>60.57</v>
      </c>
      <c r="K308" t="s">
        <v>52</v>
      </c>
    </row>
    <row r="309" spans="1:11" x14ac:dyDescent="0.25">
      <c r="A309" t="s">
        <v>61</v>
      </c>
      <c r="B309" t="s">
        <v>59</v>
      </c>
      <c r="C309" s="82" t="s">
        <v>62</v>
      </c>
      <c r="D309">
        <v>201511</v>
      </c>
      <c r="E309" s="1">
        <v>42305</v>
      </c>
      <c r="F309" s="1">
        <v>42339</v>
      </c>
      <c r="G309" t="s">
        <v>62</v>
      </c>
      <c r="H309" s="81">
        <v>5</v>
      </c>
      <c r="I309" t="s">
        <v>47</v>
      </c>
      <c r="J309" s="3">
        <v>45.36</v>
      </c>
      <c r="K309" t="s">
        <v>52</v>
      </c>
    </row>
    <row r="310" spans="1:11" x14ac:dyDescent="0.25">
      <c r="A310" t="s">
        <v>61</v>
      </c>
      <c r="B310" t="s">
        <v>59</v>
      </c>
      <c r="C310" s="82" t="s">
        <v>62</v>
      </c>
      <c r="D310">
        <v>201512</v>
      </c>
      <c r="E310" s="1">
        <v>42339</v>
      </c>
      <c r="F310" s="1">
        <v>42369</v>
      </c>
      <c r="G310" t="s">
        <v>62</v>
      </c>
      <c r="H310" s="81">
        <v>5</v>
      </c>
      <c r="I310" t="s">
        <v>47</v>
      </c>
      <c r="J310" s="3">
        <v>42.7</v>
      </c>
      <c r="K310" t="s">
        <v>52</v>
      </c>
    </row>
    <row r="311" spans="1:11" x14ac:dyDescent="0.25">
      <c r="A311" t="s">
        <v>61</v>
      </c>
      <c r="B311" t="s">
        <v>59</v>
      </c>
      <c r="C311" s="82" t="s">
        <v>62</v>
      </c>
      <c r="D311">
        <v>201601</v>
      </c>
      <c r="E311" s="1">
        <v>42369</v>
      </c>
      <c r="F311" s="1">
        <v>42401</v>
      </c>
      <c r="G311" t="s">
        <v>62</v>
      </c>
      <c r="H311" s="81">
        <v>4</v>
      </c>
      <c r="I311" t="s">
        <v>47</v>
      </c>
      <c r="J311" s="3">
        <v>33.090000000000003</v>
      </c>
      <c r="K311" t="s">
        <v>52</v>
      </c>
    </row>
    <row r="312" spans="1:11" x14ac:dyDescent="0.25">
      <c r="A312" t="s">
        <v>61</v>
      </c>
      <c r="B312" t="s">
        <v>59</v>
      </c>
      <c r="C312" s="82" t="s">
        <v>62</v>
      </c>
      <c r="D312">
        <v>201602</v>
      </c>
      <c r="E312" s="1">
        <v>42401</v>
      </c>
      <c r="F312" s="1">
        <v>42430</v>
      </c>
      <c r="G312" t="s">
        <v>62</v>
      </c>
      <c r="H312" s="81">
        <v>4</v>
      </c>
      <c r="I312" t="s">
        <v>47</v>
      </c>
      <c r="J312" s="3">
        <v>34.56</v>
      </c>
      <c r="K312" t="s">
        <v>52</v>
      </c>
    </row>
    <row r="313" spans="1:11" x14ac:dyDescent="0.25">
      <c r="A313" t="s">
        <v>61</v>
      </c>
      <c r="B313" t="s">
        <v>59</v>
      </c>
      <c r="C313" s="82" t="s">
        <v>62</v>
      </c>
      <c r="D313">
        <v>201603</v>
      </c>
      <c r="E313" s="1">
        <v>42430</v>
      </c>
      <c r="F313" s="1">
        <v>42460</v>
      </c>
      <c r="G313" t="s">
        <v>62</v>
      </c>
      <c r="H313" s="81">
        <v>5</v>
      </c>
      <c r="I313" t="s">
        <v>47</v>
      </c>
      <c r="J313" s="3">
        <v>48.3</v>
      </c>
      <c r="K313" t="s">
        <v>52</v>
      </c>
    </row>
    <row r="314" spans="1:11" x14ac:dyDescent="0.25">
      <c r="A314" t="s">
        <v>61</v>
      </c>
      <c r="B314" t="s">
        <v>59</v>
      </c>
      <c r="C314" s="82" t="s">
        <v>62</v>
      </c>
      <c r="D314">
        <v>201604</v>
      </c>
      <c r="E314" s="1">
        <v>42460</v>
      </c>
      <c r="F314" s="1">
        <v>42489</v>
      </c>
      <c r="G314" t="s">
        <v>62</v>
      </c>
      <c r="H314" s="81">
        <v>6</v>
      </c>
      <c r="I314" t="s">
        <v>47</v>
      </c>
      <c r="J314" s="3">
        <v>51.1</v>
      </c>
      <c r="K314" t="s">
        <v>52</v>
      </c>
    </row>
    <row r="315" spans="1:11" x14ac:dyDescent="0.25">
      <c r="A315" t="s">
        <v>61</v>
      </c>
      <c r="B315" t="s">
        <v>59</v>
      </c>
      <c r="C315" s="82" t="s">
        <v>62</v>
      </c>
      <c r="D315">
        <v>201605</v>
      </c>
      <c r="E315" s="1">
        <v>42489</v>
      </c>
      <c r="F315" s="1">
        <v>42521</v>
      </c>
      <c r="G315" t="s">
        <v>62</v>
      </c>
      <c r="H315" s="81">
        <v>3</v>
      </c>
      <c r="I315" t="s">
        <v>47</v>
      </c>
      <c r="J315" s="3">
        <v>24.44</v>
      </c>
      <c r="K315" t="s">
        <v>52</v>
      </c>
    </row>
    <row r="316" spans="1:11" x14ac:dyDescent="0.25">
      <c r="A316" t="s">
        <v>61</v>
      </c>
      <c r="B316" t="s">
        <v>59</v>
      </c>
      <c r="C316" s="82" t="s">
        <v>62</v>
      </c>
      <c r="D316">
        <v>201606</v>
      </c>
      <c r="E316" s="1">
        <v>42522</v>
      </c>
      <c r="F316" s="1">
        <v>42550</v>
      </c>
      <c r="G316" t="s">
        <v>62</v>
      </c>
      <c r="H316" s="81">
        <v>1</v>
      </c>
      <c r="I316" t="s">
        <v>47</v>
      </c>
      <c r="J316" s="3">
        <v>9.5</v>
      </c>
      <c r="K316" t="s">
        <v>52</v>
      </c>
    </row>
    <row r="317" spans="1:11" x14ac:dyDescent="0.25">
      <c r="A317" t="s">
        <v>63</v>
      </c>
      <c r="B317" t="s">
        <v>59</v>
      </c>
      <c r="C317" s="82" t="s">
        <v>64</v>
      </c>
      <c r="D317">
        <v>201507</v>
      </c>
      <c r="E317" s="1">
        <v>42185</v>
      </c>
      <c r="F317" s="1">
        <v>42216</v>
      </c>
      <c r="G317" t="s">
        <v>65</v>
      </c>
      <c r="H317" s="81">
        <v>4</v>
      </c>
      <c r="I317" t="s">
        <v>47</v>
      </c>
      <c r="J317" s="3">
        <v>40.04</v>
      </c>
      <c r="K317" t="s">
        <v>52</v>
      </c>
    </row>
    <row r="318" spans="1:11" x14ac:dyDescent="0.25">
      <c r="A318" t="s">
        <v>63</v>
      </c>
      <c r="B318" t="s">
        <v>59</v>
      </c>
      <c r="C318" s="82" t="s">
        <v>64</v>
      </c>
      <c r="D318">
        <v>201508</v>
      </c>
      <c r="E318" s="1">
        <v>42216</v>
      </c>
      <c r="F318" s="1">
        <v>42243</v>
      </c>
      <c r="G318" t="s">
        <v>65</v>
      </c>
      <c r="H318" s="81">
        <v>2</v>
      </c>
      <c r="I318" t="s">
        <v>47</v>
      </c>
      <c r="J318" s="3">
        <v>23.52</v>
      </c>
      <c r="K318" t="s">
        <v>52</v>
      </c>
    </row>
    <row r="319" spans="1:11" x14ac:dyDescent="0.25">
      <c r="A319" t="s">
        <v>63</v>
      </c>
      <c r="B319" t="s">
        <v>59</v>
      </c>
      <c r="C319" s="82" t="s">
        <v>64</v>
      </c>
      <c r="D319">
        <v>201509</v>
      </c>
      <c r="E319" s="1">
        <v>42243</v>
      </c>
      <c r="F319" s="1">
        <v>42276</v>
      </c>
      <c r="G319" t="s">
        <v>65</v>
      </c>
      <c r="H319" s="81">
        <v>2</v>
      </c>
      <c r="I319" t="s">
        <v>47</v>
      </c>
      <c r="J319" s="3">
        <v>17.010000000000002</v>
      </c>
      <c r="K319" t="s">
        <v>52</v>
      </c>
    </row>
    <row r="320" spans="1:11" x14ac:dyDescent="0.25">
      <c r="A320" t="s">
        <v>63</v>
      </c>
      <c r="B320" t="s">
        <v>59</v>
      </c>
      <c r="C320" s="82" t="s">
        <v>64</v>
      </c>
      <c r="D320">
        <v>201510</v>
      </c>
      <c r="E320" s="1">
        <v>42276</v>
      </c>
      <c r="F320" s="1">
        <v>42305</v>
      </c>
      <c r="G320" t="s">
        <v>65</v>
      </c>
      <c r="H320" s="81">
        <v>7</v>
      </c>
      <c r="I320" t="s">
        <v>47</v>
      </c>
      <c r="J320" s="3">
        <v>62.07</v>
      </c>
      <c r="K320" t="s">
        <v>52</v>
      </c>
    </row>
    <row r="321" spans="1:11" x14ac:dyDescent="0.25">
      <c r="A321" t="s">
        <v>63</v>
      </c>
      <c r="B321" t="s">
        <v>59</v>
      </c>
      <c r="C321" s="82" t="s">
        <v>64</v>
      </c>
      <c r="D321">
        <v>201511</v>
      </c>
      <c r="E321" s="1">
        <v>42305</v>
      </c>
      <c r="F321" s="1">
        <v>42339</v>
      </c>
      <c r="G321" t="s">
        <v>65</v>
      </c>
      <c r="H321" s="81">
        <v>5</v>
      </c>
      <c r="I321" t="s">
        <v>47</v>
      </c>
      <c r="J321" s="3">
        <v>46.49</v>
      </c>
      <c r="K321" t="s">
        <v>52</v>
      </c>
    </row>
    <row r="322" spans="1:11" x14ac:dyDescent="0.25">
      <c r="A322" t="s">
        <v>63</v>
      </c>
      <c r="B322" t="s">
        <v>59</v>
      </c>
      <c r="C322" s="82" t="s">
        <v>64</v>
      </c>
      <c r="D322">
        <v>201512</v>
      </c>
      <c r="E322" s="1">
        <v>42339</v>
      </c>
      <c r="F322" s="1">
        <v>42369</v>
      </c>
      <c r="G322" t="s">
        <v>65</v>
      </c>
      <c r="H322" s="81">
        <v>5</v>
      </c>
      <c r="I322" t="s">
        <v>47</v>
      </c>
      <c r="J322" s="3">
        <v>43.75</v>
      </c>
      <c r="K322" t="s">
        <v>52</v>
      </c>
    </row>
    <row r="323" spans="1:11" x14ac:dyDescent="0.25">
      <c r="A323" t="s">
        <v>63</v>
      </c>
      <c r="B323" t="s">
        <v>59</v>
      </c>
      <c r="C323" s="82" t="s">
        <v>64</v>
      </c>
      <c r="D323">
        <v>201601</v>
      </c>
      <c r="E323" s="1">
        <v>42369</v>
      </c>
      <c r="F323" s="1">
        <v>42401</v>
      </c>
      <c r="G323" t="s">
        <v>65</v>
      </c>
      <c r="H323" s="81">
        <v>4</v>
      </c>
      <c r="I323" t="s">
        <v>47</v>
      </c>
      <c r="J323" s="3">
        <v>33.909999999999997</v>
      </c>
      <c r="K323" t="s">
        <v>52</v>
      </c>
    </row>
    <row r="324" spans="1:11" x14ac:dyDescent="0.25">
      <c r="A324" t="s">
        <v>63</v>
      </c>
      <c r="B324" t="s">
        <v>59</v>
      </c>
      <c r="C324" s="82" t="s">
        <v>64</v>
      </c>
      <c r="D324">
        <v>201602</v>
      </c>
      <c r="E324" s="1">
        <v>42401</v>
      </c>
      <c r="F324" s="1">
        <v>42430</v>
      </c>
      <c r="G324" t="s">
        <v>65</v>
      </c>
      <c r="H324" s="81">
        <v>4</v>
      </c>
      <c r="I324" t="s">
        <v>47</v>
      </c>
      <c r="J324" s="3">
        <v>35.409999999999997</v>
      </c>
      <c r="K324" t="s">
        <v>52</v>
      </c>
    </row>
    <row r="325" spans="1:11" x14ac:dyDescent="0.25">
      <c r="A325" t="s">
        <v>63</v>
      </c>
      <c r="B325" t="s">
        <v>59</v>
      </c>
      <c r="C325" s="82" t="s">
        <v>64</v>
      </c>
      <c r="D325">
        <v>201603</v>
      </c>
      <c r="E325" s="1">
        <v>42430</v>
      </c>
      <c r="F325" s="1">
        <v>42460</v>
      </c>
      <c r="G325" t="s">
        <v>65</v>
      </c>
      <c r="H325" s="81">
        <v>5</v>
      </c>
      <c r="I325" t="s">
        <v>47</v>
      </c>
      <c r="J325" s="3">
        <v>49.49</v>
      </c>
      <c r="K325" t="s">
        <v>52</v>
      </c>
    </row>
    <row r="326" spans="1:11" x14ac:dyDescent="0.25">
      <c r="A326" t="s">
        <v>63</v>
      </c>
      <c r="B326" t="s">
        <v>59</v>
      </c>
      <c r="C326" s="82" t="s">
        <v>64</v>
      </c>
      <c r="D326">
        <v>201604</v>
      </c>
      <c r="E326" s="1">
        <v>42460</v>
      </c>
      <c r="F326" s="1">
        <v>42489</v>
      </c>
      <c r="G326" t="s">
        <v>65</v>
      </c>
      <c r="H326" s="81">
        <v>6</v>
      </c>
      <c r="I326" t="s">
        <v>47</v>
      </c>
      <c r="J326" s="3">
        <v>52.36</v>
      </c>
      <c r="K326" t="s">
        <v>52</v>
      </c>
    </row>
    <row r="327" spans="1:11" x14ac:dyDescent="0.25">
      <c r="A327" t="s">
        <v>63</v>
      </c>
      <c r="B327" t="s">
        <v>59</v>
      </c>
      <c r="C327" s="82" t="s">
        <v>64</v>
      </c>
      <c r="D327">
        <v>201605</v>
      </c>
      <c r="E327" s="1">
        <v>42489</v>
      </c>
      <c r="F327" s="1">
        <v>42521</v>
      </c>
      <c r="G327" t="s">
        <v>65</v>
      </c>
      <c r="H327" s="81">
        <v>3</v>
      </c>
      <c r="I327" t="s">
        <v>47</v>
      </c>
      <c r="J327" s="3">
        <v>25.04</v>
      </c>
      <c r="K327" t="s">
        <v>52</v>
      </c>
    </row>
    <row r="328" spans="1:11" x14ac:dyDescent="0.25">
      <c r="A328" t="s">
        <v>63</v>
      </c>
      <c r="B328" t="s">
        <v>59</v>
      </c>
      <c r="C328" s="82" t="s">
        <v>64</v>
      </c>
      <c r="D328">
        <v>201606</v>
      </c>
      <c r="E328" s="1">
        <v>42522</v>
      </c>
      <c r="F328" s="1">
        <v>42550</v>
      </c>
      <c r="G328" t="s">
        <v>65</v>
      </c>
      <c r="H328" s="81">
        <v>1</v>
      </c>
      <c r="I328" t="s">
        <v>47</v>
      </c>
      <c r="J328" s="3">
        <v>9.74</v>
      </c>
      <c r="K328" t="s">
        <v>52</v>
      </c>
    </row>
    <row r="329" spans="1:11" x14ac:dyDescent="0.25">
      <c r="A329" t="s">
        <v>48</v>
      </c>
      <c r="B329" t="s">
        <v>59</v>
      </c>
      <c r="C329" s="82" t="s">
        <v>67</v>
      </c>
      <c r="D329">
        <v>201507</v>
      </c>
      <c r="E329" s="1">
        <v>42185</v>
      </c>
      <c r="F329" s="1">
        <v>42216</v>
      </c>
      <c r="G329" t="s">
        <v>67</v>
      </c>
      <c r="H329" s="81">
        <v>3</v>
      </c>
      <c r="I329" t="s">
        <v>47</v>
      </c>
      <c r="J329" s="3">
        <v>30.89</v>
      </c>
      <c r="K329" t="s">
        <v>52</v>
      </c>
    </row>
    <row r="330" spans="1:11" x14ac:dyDescent="0.25">
      <c r="A330" t="s">
        <v>48</v>
      </c>
      <c r="B330" t="s">
        <v>59</v>
      </c>
      <c r="C330" s="82" t="s">
        <v>67</v>
      </c>
      <c r="D330">
        <v>201508</v>
      </c>
      <c r="E330" s="1">
        <v>42216</v>
      </c>
      <c r="F330" s="1">
        <v>42243</v>
      </c>
      <c r="G330" t="s">
        <v>67</v>
      </c>
      <c r="H330" s="81">
        <v>2</v>
      </c>
      <c r="I330" t="s">
        <v>47</v>
      </c>
      <c r="J330" s="3">
        <v>17.440000000000001</v>
      </c>
      <c r="K330" t="s">
        <v>52</v>
      </c>
    </row>
    <row r="331" spans="1:11" x14ac:dyDescent="0.25">
      <c r="A331" t="s">
        <v>48</v>
      </c>
      <c r="B331" t="s">
        <v>59</v>
      </c>
      <c r="C331" s="82" t="s">
        <v>67</v>
      </c>
      <c r="D331">
        <v>201509</v>
      </c>
      <c r="E331" s="1">
        <v>42243</v>
      </c>
      <c r="F331" s="1">
        <v>42276</v>
      </c>
      <c r="G331" t="s">
        <v>67</v>
      </c>
      <c r="H331" s="81">
        <v>2</v>
      </c>
      <c r="I331" t="s">
        <v>47</v>
      </c>
      <c r="J331" s="3">
        <v>19.93</v>
      </c>
      <c r="K331" t="s">
        <v>52</v>
      </c>
    </row>
    <row r="332" spans="1:11" x14ac:dyDescent="0.25">
      <c r="A332" t="s">
        <v>48</v>
      </c>
      <c r="B332" t="s">
        <v>59</v>
      </c>
      <c r="C332" s="82" t="s">
        <v>67</v>
      </c>
      <c r="D332">
        <v>201510</v>
      </c>
      <c r="E332" s="1">
        <v>42276</v>
      </c>
      <c r="F332" s="1">
        <v>42305</v>
      </c>
      <c r="G332" t="s">
        <v>67</v>
      </c>
      <c r="H332" s="81">
        <v>6</v>
      </c>
      <c r="I332" t="s">
        <v>47</v>
      </c>
      <c r="J332" s="3">
        <v>54.57</v>
      </c>
      <c r="K332" t="s">
        <v>52</v>
      </c>
    </row>
    <row r="333" spans="1:11" x14ac:dyDescent="0.25">
      <c r="A333" t="s">
        <v>48</v>
      </c>
      <c r="B333" t="s">
        <v>59</v>
      </c>
      <c r="C333" s="82" t="s">
        <v>67</v>
      </c>
      <c r="D333">
        <v>201511</v>
      </c>
      <c r="E333" s="1">
        <v>42305</v>
      </c>
      <c r="F333" s="1">
        <v>42339</v>
      </c>
      <c r="G333" t="s">
        <v>67</v>
      </c>
      <c r="H333" s="81">
        <v>5</v>
      </c>
      <c r="I333" t="s">
        <v>47</v>
      </c>
      <c r="J333" s="3">
        <v>50.35</v>
      </c>
      <c r="K333" t="s">
        <v>52</v>
      </c>
    </row>
    <row r="334" spans="1:11" x14ac:dyDescent="0.25">
      <c r="A334" t="s">
        <v>48</v>
      </c>
      <c r="B334" t="s">
        <v>59</v>
      </c>
      <c r="C334" s="82" t="s">
        <v>67</v>
      </c>
      <c r="D334">
        <v>201512</v>
      </c>
      <c r="E334" s="1">
        <v>42339</v>
      </c>
      <c r="F334" s="1">
        <v>42369</v>
      </c>
      <c r="G334" t="s">
        <v>67</v>
      </c>
      <c r="H334" s="81">
        <v>4</v>
      </c>
      <c r="I334" t="s">
        <v>47</v>
      </c>
      <c r="J334" s="3">
        <v>39.19</v>
      </c>
      <c r="K334" t="s">
        <v>52</v>
      </c>
    </row>
    <row r="335" spans="1:11" x14ac:dyDescent="0.25">
      <c r="A335" t="s">
        <v>48</v>
      </c>
      <c r="B335" t="s">
        <v>59</v>
      </c>
      <c r="C335" s="82" t="s">
        <v>67</v>
      </c>
      <c r="D335">
        <v>201601</v>
      </c>
      <c r="E335" s="1">
        <v>42369</v>
      </c>
      <c r="F335" s="1">
        <v>42401</v>
      </c>
      <c r="G335" t="s">
        <v>67</v>
      </c>
      <c r="H335" s="81">
        <v>4</v>
      </c>
      <c r="I335" t="s">
        <v>47</v>
      </c>
      <c r="J335" s="3">
        <v>37.56</v>
      </c>
      <c r="K335" t="s">
        <v>52</v>
      </c>
    </row>
    <row r="336" spans="1:11" x14ac:dyDescent="0.25">
      <c r="A336" t="s">
        <v>48</v>
      </c>
      <c r="B336" t="s">
        <v>59</v>
      </c>
      <c r="C336" s="82" t="s">
        <v>67</v>
      </c>
      <c r="D336">
        <v>201602</v>
      </c>
      <c r="E336" s="1">
        <v>42401</v>
      </c>
      <c r="F336" s="1">
        <v>42430</v>
      </c>
      <c r="G336" t="s">
        <v>67</v>
      </c>
      <c r="H336" s="81">
        <v>6</v>
      </c>
      <c r="I336" t="s">
        <v>47</v>
      </c>
      <c r="J336" s="3">
        <v>58.24</v>
      </c>
      <c r="K336" t="s">
        <v>52</v>
      </c>
    </row>
    <row r="337" spans="1:11" x14ac:dyDescent="0.25">
      <c r="A337" t="s">
        <v>48</v>
      </c>
      <c r="B337" t="s">
        <v>59</v>
      </c>
      <c r="C337" s="82" t="s">
        <v>67</v>
      </c>
      <c r="D337">
        <v>201603</v>
      </c>
      <c r="E337" s="1">
        <v>42430</v>
      </c>
      <c r="F337" s="1">
        <v>42460</v>
      </c>
      <c r="G337" t="s">
        <v>67</v>
      </c>
      <c r="H337" s="81">
        <v>4</v>
      </c>
      <c r="I337" t="s">
        <v>47</v>
      </c>
      <c r="J337" s="3">
        <v>37.42</v>
      </c>
      <c r="K337" t="s">
        <v>52</v>
      </c>
    </row>
    <row r="338" spans="1:11" x14ac:dyDescent="0.25">
      <c r="A338" t="s">
        <v>48</v>
      </c>
      <c r="B338" t="s">
        <v>59</v>
      </c>
      <c r="C338" s="82" t="s">
        <v>67</v>
      </c>
      <c r="D338">
        <v>201604</v>
      </c>
      <c r="E338" s="1">
        <v>42460</v>
      </c>
      <c r="F338" s="1">
        <v>42489</v>
      </c>
      <c r="G338" t="s">
        <v>67</v>
      </c>
      <c r="H338" s="81">
        <v>60.01</v>
      </c>
      <c r="I338" t="s">
        <v>47</v>
      </c>
      <c r="J338" s="3">
        <v>60.01</v>
      </c>
      <c r="K338" t="s">
        <v>52</v>
      </c>
    </row>
    <row r="339" spans="1:11" x14ac:dyDescent="0.25">
      <c r="A339" t="s">
        <v>48</v>
      </c>
      <c r="B339" t="s">
        <v>59</v>
      </c>
      <c r="C339" s="82" t="s">
        <v>67</v>
      </c>
      <c r="D339">
        <v>201605</v>
      </c>
      <c r="E339" s="1">
        <v>42489</v>
      </c>
      <c r="F339" s="1">
        <v>42521</v>
      </c>
      <c r="G339" t="s">
        <v>67</v>
      </c>
      <c r="H339" s="81">
        <v>3</v>
      </c>
      <c r="I339" t="s">
        <v>47</v>
      </c>
      <c r="J339" s="3">
        <v>29.21</v>
      </c>
      <c r="K339" t="s">
        <v>52</v>
      </c>
    </row>
    <row r="340" spans="1:11" x14ac:dyDescent="0.25">
      <c r="A340" t="s">
        <v>48</v>
      </c>
      <c r="B340" t="s">
        <v>59</v>
      </c>
      <c r="C340" s="82" t="s">
        <v>67</v>
      </c>
      <c r="D340">
        <v>201606</v>
      </c>
      <c r="E340" s="1">
        <v>42522</v>
      </c>
      <c r="F340" s="1">
        <v>42550</v>
      </c>
      <c r="G340" t="s">
        <v>67</v>
      </c>
      <c r="H340" s="81">
        <v>1</v>
      </c>
      <c r="I340" t="s">
        <v>47</v>
      </c>
      <c r="J340" s="3">
        <v>13.29</v>
      </c>
      <c r="K340" t="s">
        <v>52</v>
      </c>
    </row>
    <row r="341" spans="1:11" x14ac:dyDescent="0.25">
      <c r="A341" t="s">
        <v>68</v>
      </c>
      <c r="B341" t="s">
        <v>59</v>
      </c>
      <c r="C341" s="82" t="s">
        <v>69</v>
      </c>
      <c r="D341">
        <v>201507</v>
      </c>
      <c r="E341" s="1">
        <v>42185</v>
      </c>
      <c r="F341" s="1">
        <v>42216</v>
      </c>
      <c r="G341" t="s">
        <v>69</v>
      </c>
      <c r="H341" s="81">
        <v>14</v>
      </c>
      <c r="I341" t="s">
        <v>47</v>
      </c>
      <c r="J341" s="3">
        <v>161.36000000000001</v>
      </c>
      <c r="K341" t="s">
        <v>52</v>
      </c>
    </row>
    <row r="342" spans="1:11" x14ac:dyDescent="0.25">
      <c r="A342" t="s">
        <v>68</v>
      </c>
      <c r="B342" t="s">
        <v>59</v>
      </c>
      <c r="C342" s="82" t="s">
        <v>69</v>
      </c>
      <c r="D342">
        <v>201508</v>
      </c>
      <c r="E342" s="1">
        <v>42216</v>
      </c>
      <c r="F342" s="1">
        <v>42243</v>
      </c>
      <c r="G342" t="s">
        <v>69</v>
      </c>
      <c r="H342" s="81">
        <v>27</v>
      </c>
      <c r="I342" t="s">
        <v>47</v>
      </c>
      <c r="J342" s="3">
        <v>305.52999999999997</v>
      </c>
      <c r="K342" t="s">
        <v>52</v>
      </c>
    </row>
    <row r="343" spans="1:11" x14ac:dyDescent="0.25">
      <c r="A343" t="s">
        <v>68</v>
      </c>
      <c r="B343" t="s">
        <v>59</v>
      </c>
      <c r="C343" s="82" t="s">
        <v>69</v>
      </c>
      <c r="D343">
        <v>201509</v>
      </c>
      <c r="E343" s="1">
        <v>42243</v>
      </c>
      <c r="F343" s="1">
        <v>42276</v>
      </c>
      <c r="G343" t="s">
        <v>69</v>
      </c>
      <c r="H343" s="81">
        <v>8</v>
      </c>
      <c r="I343" t="s">
        <v>47</v>
      </c>
      <c r="J343" s="3">
        <v>76.12</v>
      </c>
      <c r="K343" t="s">
        <v>52</v>
      </c>
    </row>
    <row r="344" spans="1:11" x14ac:dyDescent="0.25">
      <c r="A344" t="s">
        <v>68</v>
      </c>
      <c r="B344" t="s">
        <v>59</v>
      </c>
      <c r="C344" s="82" t="s">
        <v>69</v>
      </c>
      <c r="D344">
        <v>201510</v>
      </c>
      <c r="E344" s="1">
        <v>42276</v>
      </c>
      <c r="F344" s="1">
        <v>42305</v>
      </c>
      <c r="G344" t="s">
        <v>69</v>
      </c>
      <c r="H344" s="81">
        <v>24</v>
      </c>
      <c r="I344" t="s">
        <v>47</v>
      </c>
      <c r="J344" s="3">
        <v>216.78</v>
      </c>
      <c r="K344" t="s">
        <v>52</v>
      </c>
    </row>
    <row r="345" spans="1:11" x14ac:dyDescent="0.25">
      <c r="A345" t="s">
        <v>68</v>
      </c>
      <c r="B345" t="s">
        <v>59</v>
      </c>
      <c r="C345" s="82" t="s">
        <v>69</v>
      </c>
      <c r="D345">
        <v>201511</v>
      </c>
      <c r="E345" s="1">
        <v>42305</v>
      </c>
      <c r="F345" s="1">
        <v>42339</v>
      </c>
      <c r="G345" t="s">
        <v>69</v>
      </c>
      <c r="H345" s="81">
        <v>16</v>
      </c>
      <c r="I345" t="s">
        <v>47</v>
      </c>
      <c r="J345" s="3">
        <v>143.51</v>
      </c>
      <c r="K345" t="s">
        <v>52</v>
      </c>
    </row>
    <row r="346" spans="1:11" x14ac:dyDescent="0.25">
      <c r="A346" t="s">
        <v>68</v>
      </c>
      <c r="B346" t="s">
        <v>59</v>
      </c>
      <c r="C346" s="82" t="s">
        <v>69</v>
      </c>
      <c r="D346">
        <v>201512</v>
      </c>
      <c r="E346" s="1">
        <v>42339</v>
      </c>
      <c r="F346" s="1">
        <v>42369</v>
      </c>
      <c r="G346" t="s">
        <v>69</v>
      </c>
      <c r="H346" s="81">
        <v>14</v>
      </c>
      <c r="I346" t="s">
        <v>47</v>
      </c>
      <c r="J346" s="3">
        <v>128.55000000000001</v>
      </c>
      <c r="K346" t="s">
        <v>52</v>
      </c>
    </row>
    <row r="347" spans="1:11" x14ac:dyDescent="0.25">
      <c r="A347" t="s">
        <v>68</v>
      </c>
      <c r="B347" t="s">
        <v>59</v>
      </c>
      <c r="C347" s="82" t="s">
        <v>69</v>
      </c>
      <c r="D347">
        <v>201601</v>
      </c>
      <c r="E347" s="1">
        <v>42369</v>
      </c>
      <c r="F347" s="1">
        <v>42401</v>
      </c>
      <c r="G347" t="s">
        <v>69</v>
      </c>
      <c r="H347" s="81">
        <v>15</v>
      </c>
      <c r="I347" t="s">
        <v>47</v>
      </c>
      <c r="J347" s="3">
        <v>141.12</v>
      </c>
      <c r="K347" t="s">
        <v>52</v>
      </c>
    </row>
    <row r="348" spans="1:11" x14ac:dyDescent="0.25">
      <c r="A348" t="s">
        <v>68</v>
      </c>
      <c r="B348" t="s">
        <v>59</v>
      </c>
      <c r="C348" s="82" t="s">
        <v>69</v>
      </c>
      <c r="D348">
        <v>201602</v>
      </c>
      <c r="E348" s="1">
        <v>42401</v>
      </c>
      <c r="F348" s="1">
        <v>42430</v>
      </c>
      <c r="G348" t="s">
        <v>69</v>
      </c>
      <c r="H348" s="81">
        <v>17</v>
      </c>
      <c r="I348" t="s">
        <v>47</v>
      </c>
      <c r="J348" s="3">
        <v>154.56</v>
      </c>
      <c r="K348" t="s">
        <v>52</v>
      </c>
    </row>
    <row r="349" spans="1:11" x14ac:dyDescent="0.25">
      <c r="A349" t="s">
        <v>68</v>
      </c>
      <c r="B349" t="s">
        <v>59</v>
      </c>
      <c r="C349" s="82" t="s">
        <v>69</v>
      </c>
      <c r="D349">
        <v>201603</v>
      </c>
      <c r="E349" s="1">
        <v>42430</v>
      </c>
      <c r="F349" s="1">
        <v>42460</v>
      </c>
      <c r="G349" t="s">
        <v>69</v>
      </c>
      <c r="H349" s="81">
        <v>10</v>
      </c>
      <c r="I349" t="s">
        <v>47</v>
      </c>
      <c r="J349" s="3">
        <v>93.43</v>
      </c>
      <c r="K349" t="s">
        <v>52</v>
      </c>
    </row>
    <row r="350" spans="1:11" x14ac:dyDescent="0.25">
      <c r="A350" t="s">
        <v>68</v>
      </c>
      <c r="B350" t="s">
        <v>59</v>
      </c>
      <c r="C350" s="82" t="s">
        <v>69</v>
      </c>
      <c r="D350">
        <v>201604</v>
      </c>
      <c r="E350" s="1">
        <v>42460</v>
      </c>
      <c r="F350" s="1">
        <v>42489</v>
      </c>
      <c r="G350" t="s">
        <v>69</v>
      </c>
      <c r="H350" s="81">
        <v>16</v>
      </c>
      <c r="I350" t="s">
        <v>47</v>
      </c>
      <c r="J350" s="3">
        <v>146.54</v>
      </c>
      <c r="K350" t="s">
        <v>52</v>
      </c>
    </row>
    <row r="351" spans="1:11" x14ac:dyDescent="0.25">
      <c r="A351" t="s">
        <v>68</v>
      </c>
      <c r="B351" t="s">
        <v>59</v>
      </c>
      <c r="C351" s="82" t="s">
        <v>69</v>
      </c>
      <c r="D351">
        <v>201605</v>
      </c>
      <c r="E351" s="1">
        <v>42489</v>
      </c>
      <c r="F351" s="1">
        <v>42521</v>
      </c>
      <c r="G351" t="s">
        <v>69</v>
      </c>
      <c r="H351" s="81">
        <v>12</v>
      </c>
      <c r="I351" t="s">
        <v>47</v>
      </c>
      <c r="J351" s="3">
        <v>114.69</v>
      </c>
      <c r="K351" t="s">
        <v>52</v>
      </c>
    </row>
    <row r="352" spans="1:11" ht="15.75" thickBot="1" x14ac:dyDescent="0.3">
      <c r="A352" t="s">
        <v>68</v>
      </c>
      <c r="B352" t="s">
        <v>59</v>
      </c>
      <c r="C352" s="82" t="s">
        <v>69</v>
      </c>
      <c r="D352">
        <v>201606</v>
      </c>
      <c r="E352" s="1">
        <v>42522</v>
      </c>
      <c r="F352" s="1">
        <v>42550</v>
      </c>
      <c r="G352" t="s">
        <v>69</v>
      </c>
      <c r="H352" s="81">
        <v>5</v>
      </c>
      <c r="I352" t="s">
        <v>47</v>
      </c>
      <c r="J352" s="3">
        <v>50.29</v>
      </c>
      <c r="K352" t="s">
        <v>52</v>
      </c>
    </row>
    <row r="353" spans="1:11" ht="15.75" thickBot="1" x14ac:dyDescent="0.3">
      <c r="G353" s="20" t="s">
        <v>603</v>
      </c>
      <c r="H353" s="89">
        <f>SUM(H305:H352)</f>
        <v>373.01</v>
      </c>
      <c r="I353" t="s">
        <v>47</v>
      </c>
      <c r="J353" s="90">
        <f>SUM(J305:J352)</f>
        <v>3047.6700000000005</v>
      </c>
    </row>
    <row r="354" spans="1:11" x14ac:dyDescent="0.25">
      <c r="H354" s="2"/>
    </row>
    <row r="355" spans="1:11" x14ac:dyDescent="0.25">
      <c r="A355" t="s">
        <v>88</v>
      </c>
      <c r="B355" t="s">
        <v>59</v>
      </c>
      <c r="C355" s="82" t="s">
        <v>90</v>
      </c>
      <c r="D355">
        <v>201507</v>
      </c>
      <c r="E355" s="1">
        <v>42185</v>
      </c>
      <c r="F355" s="1">
        <v>42216</v>
      </c>
      <c r="G355" t="s">
        <v>91</v>
      </c>
      <c r="H355" s="81">
        <v>5</v>
      </c>
      <c r="I355" t="s">
        <v>47</v>
      </c>
      <c r="J355" s="3">
        <v>55.04</v>
      </c>
      <c r="K355" t="s">
        <v>52</v>
      </c>
    </row>
    <row r="356" spans="1:11" x14ac:dyDescent="0.25">
      <c r="A356" t="s">
        <v>88</v>
      </c>
      <c r="B356" t="s">
        <v>59</v>
      </c>
      <c r="C356" s="82" t="s">
        <v>90</v>
      </c>
      <c r="D356">
        <v>201508</v>
      </c>
      <c r="E356" s="1">
        <v>42216</v>
      </c>
      <c r="F356" s="1">
        <v>42243</v>
      </c>
      <c r="G356" t="s">
        <v>91</v>
      </c>
      <c r="H356" s="81">
        <v>4</v>
      </c>
      <c r="I356" t="s">
        <v>47</v>
      </c>
      <c r="J356" s="3">
        <v>43.18</v>
      </c>
      <c r="K356" t="s">
        <v>52</v>
      </c>
    </row>
    <row r="357" spans="1:11" x14ac:dyDescent="0.25">
      <c r="A357" t="s">
        <v>88</v>
      </c>
      <c r="B357" t="s">
        <v>59</v>
      </c>
      <c r="C357" s="82" t="s">
        <v>90</v>
      </c>
      <c r="D357">
        <v>201509</v>
      </c>
      <c r="E357" s="1">
        <v>42243</v>
      </c>
      <c r="F357" s="1">
        <v>42276</v>
      </c>
      <c r="G357" t="s">
        <v>91</v>
      </c>
      <c r="H357" s="81">
        <v>3</v>
      </c>
      <c r="I357" t="s">
        <v>47</v>
      </c>
      <c r="J357" s="3">
        <v>27.06</v>
      </c>
      <c r="K357" t="s">
        <v>52</v>
      </c>
    </row>
    <row r="358" spans="1:11" x14ac:dyDescent="0.25">
      <c r="A358" t="s">
        <v>88</v>
      </c>
      <c r="B358" t="s">
        <v>59</v>
      </c>
      <c r="C358" s="82" t="s">
        <v>90</v>
      </c>
      <c r="D358">
        <v>201510</v>
      </c>
      <c r="E358" s="1">
        <v>42276</v>
      </c>
      <c r="F358" s="1">
        <v>42305</v>
      </c>
      <c r="G358" t="s">
        <v>91</v>
      </c>
      <c r="H358" s="81">
        <v>7</v>
      </c>
      <c r="I358" t="s">
        <v>47</v>
      </c>
      <c r="J358" s="3">
        <v>64.55</v>
      </c>
      <c r="K358" t="s">
        <v>52</v>
      </c>
    </row>
    <row r="359" spans="1:11" x14ac:dyDescent="0.25">
      <c r="A359" t="s">
        <v>88</v>
      </c>
      <c r="B359" t="s">
        <v>59</v>
      </c>
      <c r="C359" s="82" t="s">
        <v>90</v>
      </c>
      <c r="D359">
        <v>201511</v>
      </c>
      <c r="E359" s="1">
        <v>42305</v>
      </c>
      <c r="F359" s="1">
        <v>42339</v>
      </c>
      <c r="G359" t="s">
        <v>91</v>
      </c>
      <c r="H359" s="81">
        <v>5</v>
      </c>
      <c r="I359" t="s">
        <v>47</v>
      </c>
      <c r="J359" s="3">
        <v>48.38</v>
      </c>
      <c r="K359" t="s">
        <v>52</v>
      </c>
    </row>
    <row r="360" spans="1:11" x14ac:dyDescent="0.25">
      <c r="A360" t="s">
        <v>88</v>
      </c>
      <c r="B360" t="s">
        <v>59</v>
      </c>
      <c r="C360" s="82" t="s">
        <v>90</v>
      </c>
      <c r="D360">
        <v>201512</v>
      </c>
      <c r="E360" s="1">
        <v>42339</v>
      </c>
      <c r="F360" s="1">
        <v>42369</v>
      </c>
      <c r="G360" t="s">
        <v>91</v>
      </c>
      <c r="H360" s="81">
        <v>4</v>
      </c>
      <c r="I360" t="s">
        <v>47</v>
      </c>
      <c r="J360" s="3">
        <v>37.57</v>
      </c>
      <c r="K360" t="s">
        <v>52</v>
      </c>
    </row>
    <row r="361" spans="1:11" x14ac:dyDescent="0.25">
      <c r="A361" t="s">
        <v>88</v>
      </c>
      <c r="B361" t="s">
        <v>59</v>
      </c>
      <c r="C361" s="82" t="s">
        <v>90</v>
      </c>
      <c r="D361">
        <v>201601</v>
      </c>
      <c r="E361" s="1">
        <v>42369</v>
      </c>
      <c r="F361" s="1">
        <v>42401</v>
      </c>
      <c r="G361" t="s">
        <v>91</v>
      </c>
      <c r="H361" s="81">
        <v>4</v>
      </c>
      <c r="I361" t="s">
        <v>47</v>
      </c>
      <c r="J361" s="3">
        <v>37.57</v>
      </c>
      <c r="K361" t="s">
        <v>52</v>
      </c>
    </row>
    <row r="362" spans="1:11" x14ac:dyDescent="0.25">
      <c r="A362" t="s">
        <v>88</v>
      </c>
      <c r="B362" t="s">
        <v>59</v>
      </c>
      <c r="C362" s="82" t="s">
        <v>90</v>
      </c>
      <c r="D362">
        <v>201602</v>
      </c>
      <c r="E362" s="1">
        <v>42401</v>
      </c>
      <c r="F362" s="1">
        <v>42430</v>
      </c>
      <c r="G362" t="s">
        <v>91</v>
      </c>
      <c r="H362" s="81">
        <v>6</v>
      </c>
      <c r="I362" t="s">
        <v>47</v>
      </c>
      <c r="J362" s="3">
        <v>52.42</v>
      </c>
      <c r="K362" t="s">
        <v>52</v>
      </c>
    </row>
    <row r="363" spans="1:11" x14ac:dyDescent="0.25">
      <c r="A363" t="s">
        <v>88</v>
      </c>
      <c r="B363" t="s">
        <v>59</v>
      </c>
      <c r="C363" s="82" t="s">
        <v>90</v>
      </c>
      <c r="D363">
        <v>201603</v>
      </c>
      <c r="E363" s="1">
        <v>42430</v>
      </c>
      <c r="F363" s="1">
        <v>42460</v>
      </c>
      <c r="G363" t="s">
        <v>91</v>
      </c>
      <c r="H363" s="81">
        <v>4</v>
      </c>
      <c r="I363" t="s">
        <v>47</v>
      </c>
      <c r="J363" s="3">
        <v>38.549999999999997</v>
      </c>
      <c r="K363" t="s">
        <v>52</v>
      </c>
    </row>
    <row r="364" spans="1:11" x14ac:dyDescent="0.25">
      <c r="A364" t="s">
        <v>88</v>
      </c>
      <c r="B364" t="s">
        <v>59</v>
      </c>
      <c r="C364" s="82" t="s">
        <v>90</v>
      </c>
      <c r="D364">
        <v>201604</v>
      </c>
      <c r="E364" s="1">
        <v>42460</v>
      </c>
      <c r="F364" s="1">
        <v>42489</v>
      </c>
      <c r="G364" t="s">
        <v>91</v>
      </c>
      <c r="H364" s="81">
        <v>7</v>
      </c>
      <c r="I364" t="s">
        <v>47</v>
      </c>
      <c r="J364" s="3">
        <v>59.63</v>
      </c>
      <c r="K364" t="s">
        <v>52</v>
      </c>
    </row>
    <row r="365" spans="1:11" x14ac:dyDescent="0.25">
      <c r="A365" t="s">
        <v>88</v>
      </c>
      <c r="B365" t="s">
        <v>59</v>
      </c>
      <c r="C365" s="82" t="s">
        <v>90</v>
      </c>
      <c r="D365">
        <v>201605</v>
      </c>
      <c r="E365" s="1">
        <v>42489</v>
      </c>
      <c r="F365" s="1">
        <v>42521</v>
      </c>
      <c r="G365" t="s">
        <v>91</v>
      </c>
      <c r="H365" s="81">
        <v>5</v>
      </c>
      <c r="I365" t="s">
        <v>47</v>
      </c>
      <c r="J365" s="3">
        <v>49.67</v>
      </c>
      <c r="K365" t="s">
        <v>52</v>
      </c>
    </row>
    <row r="366" spans="1:11" ht="15.75" thickBot="1" x14ac:dyDescent="0.3">
      <c r="A366" t="s">
        <v>88</v>
      </c>
      <c r="B366" t="s">
        <v>59</v>
      </c>
      <c r="C366" s="82" t="s">
        <v>90</v>
      </c>
      <c r="D366">
        <v>201606</v>
      </c>
      <c r="E366" s="1">
        <v>42522</v>
      </c>
      <c r="F366" s="1">
        <v>42550</v>
      </c>
      <c r="G366" t="s">
        <v>91</v>
      </c>
      <c r="H366" s="81">
        <v>3</v>
      </c>
      <c r="I366" t="s">
        <v>47</v>
      </c>
      <c r="J366" s="3">
        <v>31</v>
      </c>
      <c r="K366" t="s">
        <v>52</v>
      </c>
    </row>
    <row r="367" spans="1:11" ht="15.75" thickBot="1" x14ac:dyDescent="0.3">
      <c r="G367" s="20" t="s">
        <v>602</v>
      </c>
      <c r="H367" s="89">
        <f>SUM(H355:H366)</f>
        <v>57</v>
      </c>
      <c r="I367" t="s">
        <v>47</v>
      </c>
      <c r="J367" s="90">
        <f>SUM(J355:J366)</f>
        <v>544.62</v>
      </c>
    </row>
    <row r="368" spans="1:11" x14ac:dyDescent="0.25">
      <c r="H368" s="2"/>
    </row>
    <row r="369" spans="8:8" x14ac:dyDescent="0.25">
      <c r="H369" s="2"/>
    </row>
    <row r="370" spans="8:8" x14ac:dyDescent="0.25">
      <c r="H370" s="2"/>
    </row>
    <row r="371" spans="8:8" x14ac:dyDescent="0.25">
      <c r="H371" s="2"/>
    </row>
    <row r="372" spans="8:8" x14ac:dyDescent="0.25">
      <c r="H372" s="2"/>
    </row>
    <row r="373" spans="8:8" x14ac:dyDescent="0.25">
      <c r="H373" s="2"/>
    </row>
    <row r="374" spans="8:8" x14ac:dyDescent="0.25">
      <c r="H374" s="2"/>
    </row>
    <row r="375" spans="8:8" x14ac:dyDescent="0.25">
      <c r="H375" s="2"/>
    </row>
    <row r="376" spans="8:8" x14ac:dyDescent="0.25">
      <c r="H376" s="2"/>
    </row>
    <row r="377" spans="8:8" x14ac:dyDescent="0.25">
      <c r="H377" s="2"/>
    </row>
    <row r="378" spans="8:8" x14ac:dyDescent="0.25">
      <c r="H378" s="2"/>
    </row>
    <row r="379" spans="8:8" x14ac:dyDescent="0.25">
      <c r="H379" s="2"/>
    </row>
    <row r="380" spans="8:8" x14ac:dyDescent="0.25">
      <c r="H380" s="2"/>
    </row>
    <row r="381" spans="8:8" x14ac:dyDescent="0.25">
      <c r="H381" s="2"/>
    </row>
    <row r="382" spans="8:8" x14ac:dyDescent="0.25">
      <c r="H382" s="2"/>
    </row>
    <row r="383" spans="8:8" x14ac:dyDescent="0.25">
      <c r="H383" s="2"/>
    </row>
    <row r="384" spans="8:8" x14ac:dyDescent="0.25">
      <c r="H384" s="2"/>
    </row>
    <row r="385" spans="8:8" x14ac:dyDescent="0.25">
      <c r="H385" s="2"/>
    </row>
    <row r="386" spans="8:8" x14ac:dyDescent="0.25">
      <c r="H386" s="2"/>
    </row>
    <row r="387" spans="8:8" x14ac:dyDescent="0.25">
      <c r="H387" s="2"/>
    </row>
    <row r="388" spans="8:8" x14ac:dyDescent="0.25">
      <c r="H388" s="2"/>
    </row>
    <row r="389" spans="8:8" x14ac:dyDescent="0.25">
      <c r="H389" s="2"/>
    </row>
    <row r="390" spans="8:8" x14ac:dyDescent="0.25">
      <c r="H390" s="2"/>
    </row>
    <row r="391" spans="8:8" x14ac:dyDescent="0.25">
      <c r="H391" s="2"/>
    </row>
    <row r="392" spans="8:8" x14ac:dyDescent="0.25">
      <c r="H392" s="2"/>
    </row>
    <row r="393" spans="8:8" x14ac:dyDescent="0.25">
      <c r="H393" s="2"/>
    </row>
    <row r="394" spans="8:8" x14ac:dyDescent="0.25">
      <c r="H394" s="2"/>
    </row>
    <row r="395" spans="8:8" x14ac:dyDescent="0.25">
      <c r="H395" s="2"/>
    </row>
    <row r="396" spans="8:8" x14ac:dyDescent="0.25">
      <c r="H396" s="2"/>
    </row>
    <row r="397" spans="8:8" x14ac:dyDescent="0.25">
      <c r="H397" s="2"/>
    </row>
    <row r="398" spans="8:8" x14ac:dyDescent="0.25">
      <c r="H398" s="2"/>
    </row>
    <row r="399" spans="8:8" x14ac:dyDescent="0.25">
      <c r="H399" s="2"/>
    </row>
    <row r="400" spans="8:8" x14ac:dyDescent="0.25">
      <c r="H400" s="2"/>
    </row>
    <row r="401" spans="8:8" x14ac:dyDescent="0.25">
      <c r="H401" s="2"/>
    </row>
    <row r="402" spans="8:8" x14ac:dyDescent="0.25">
      <c r="H402" s="2"/>
    </row>
    <row r="403" spans="8:8" x14ac:dyDescent="0.25">
      <c r="H403" s="2"/>
    </row>
    <row r="404" spans="8:8" x14ac:dyDescent="0.25">
      <c r="H404" s="2"/>
    </row>
    <row r="405" spans="8:8" x14ac:dyDescent="0.25">
      <c r="H405" s="2"/>
    </row>
    <row r="406" spans="8:8" x14ac:dyDescent="0.25">
      <c r="H406" s="2"/>
    </row>
    <row r="407" spans="8:8" x14ac:dyDescent="0.25">
      <c r="H407" s="2"/>
    </row>
    <row r="408" spans="8:8" x14ac:dyDescent="0.25">
      <c r="H408" s="2"/>
    </row>
    <row r="409" spans="8:8" x14ac:dyDescent="0.25">
      <c r="H409" s="2"/>
    </row>
    <row r="410" spans="8:8" x14ac:dyDescent="0.25">
      <c r="H410" s="2"/>
    </row>
    <row r="411" spans="8:8" x14ac:dyDescent="0.25">
      <c r="H411" s="2"/>
    </row>
    <row r="412" spans="8:8" x14ac:dyDescent="0.25">
      <c r="H412" s="2"/>
    </row>
    <row r="413" spans="8:8" x14ac:dyDescent="0.25">
      <c r="H413" s="2"/>
    </row>
    <row r="414" spans="8:8" x14ac:dyDescent="0.25">
      <c r="H414" s="2"/>
    </row>
    <row r="415" spans="8:8" x14ac:dyDescent="0.25">
      <c r="H415" s="2"/>
    </row>
    <row r="416" spans="8:8" x14ac:dyDescent="0.25">
      <c r="H416" s="2"/>
    </row>
    <row r="417" spans="8:8" x14ac:dyDescent="0.25">
      <c r="H417" s="2"/>
    </row>
    <row r="418" spans="8:8" x14ac:dyDescent="0.25">
      <c r="H418" s="2"/>
    </row>
    <row r="419" spans="8:8" x14ac:dyDescent="0.25">
      <c r="H419" s="2"/>
    </row>
    <row r="420" spans="8:8" x14ac:dyDescent="0.25">
      <c r="H420" s="2"/>
    </row>
    <row r="421" spans="8:8" x14ac:dyDescent="0.25">
      <c r="H421" s="2"/>
    </row>
    <row r="422" spans="8:8" x14ac:dyDescent="0.25">
      <c r="H422" s="2"/>
    </row>
    <row r="423" spans="8:8" x14ac:dyDescent="0.25">
      <c r="H423" s="2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K164"/>
  <sheetViews>
    <sheetView workbookViewId="0">
      <selection activeCell="K82" sqref="K82"/>
    </sheetView>
  </sheetViews>
  <sheetFormatPr defaultColWidth="8.85546875" defaultRowHeight="15" x14ac:dyDescent="0.25"/>
  <cols>
    <col min="1" max="1" width="14.85546875" bestFit="1" customWidth="1"/>
    <col min="2" max="2" width="17.28515625" bestFit="1" customWidth="1"/>
    <col min="3" max="3" width="36.42578125" bestFit="1" customWidth="1"/>
    <col min="4" max="4" width="22.42578125" bestFit="1" customWidth="1"/>
    <col min="5" max="6" width="10.7109375" bestFit="1" customWidth="1"/>
    <col min="7" max="7" width="33.28515625" bestFit="1" customWidth="1"/>
    <col min="8" max="8" width="12.7109375" style="2" bestFit="1" customWidth="1"/>
    <col min="9" max="9" width="5.28515625" bestFit="1" customWidth="1"/>
    <col min="10" max="10" width="10.85546875" style="4" bestFit="1" customWidth="1"/>
    <col min="11" max="11" width="19.42578125" bestFit="1" customWidth="1"/>
  </cols>
  <sheetData>
    <row r="1" spans="1:11" x14ac:dyDescent="0.25">
      <c r="A1" s="12" t="s">
        <v>609</v>
      </c>
    </row>
    <row r="3" spans="1:11" x14ac:dyDescent="0.25">
      <c r="A3" t="s">
        <v>102</v>
      </c>
      <c r="B3" t="s">
        <v>5</v>
      </c>
      <c r="C3" t="s">
        <v>103</v>
      </c>
      <c r="D3">
        <v>201507</v>
      </c>
      <c r="E3" s="1">
        <v>42185</v>
      </c>
      <c r="F3" s="1">
        <v>42216</v>
      </c>
      <c r="G3" t="s">
        <v>104</v>
      </c>
      <c r="H3" s="2">
        <v>12527</v>
      </c>
      <c r="I3" t="s">
        <v>6</v>
      </c>
      <c r="J3" s="4">
        <v>734.81</v>
      </c>
      <c r="K3" t="s">
        <v>105</v>
      </c>
    </row>
    <row r="4" spans="1:11" x14ac:dyDescent="0.25">
      <c r="A4" t="s">
        <v>102</v>
      </c>
      <c r="B4" t="s">
        <v>5</v>
      </c>
      <c r="C4" t="s">
        <v>103</v>
      </c>
      <c r="D4">
        <v>201508</v>
      </c>
      <c r="E4" s="1">
        <v>42216</v>
      </c>
      <c r="F4" s="1">
        <v>42243</v>
      </c>
      <c r="G4" t="s">
        <v>104</v>
      </c>
      <c r="H4" s="2">
        <v>9682</v>
      </c>
      <c r="I4" t="s">
        <v>6</v>
      </c>
      <c r="J4" s="4">
        <v>587.11</v>
      </c>
      <c r="K4" t="s">
        <v>105</v>
      </c>
    </row>
    <row r="5" spans="1:11" x14ac:dyDescent="0.25">
      <c r="A5" t="s">
        <v>102</v>
      </c>
      <c r="B5" t="s">
        <v>5</v>
      </c>
      <c r="C5" t="s">
        <v>103</v>
      </c>
      <c r="D5">
        <v>201509</v>
      </c>
      <c r="E5" s="1">
        <v>42243</v>
      </c>
      <c r="F5" s="1">
        <v>42276</v>
      </c>
      <c r="G5" t="s">
        <v>104</v>
      </c>
      <c r="H5" s="2">
        <v>13164</v>
      </c>
      <c r="I5" t="s">
        <v>6</v>
      </c>
      <c r="J5" s="4">
        <v>770.16</v>
      </c>
      <c r="K5" t="s">
        <v>105</v>
      </c>
    </row>
    <row r="6" spans="1:11" x14ac:dyDescent="0.25">
      <c r="A6" t="s">
        <v>102</v>
      </c>
      <c r="B6" t="s">
        <v>5</v>
      </c>
      <c r="C6" t="s">
        <v>103</v>
      </c>
      <c r="D6">
        <v>201510</v>
      </c>
      <c r="E6" s="1">
        <v>42276</v>
      </c>
      <c r="F6" s="1">
        <v>42305</v>
      </c>
      <c r="G6" t="s">
        <v>104</v>
      </c>
      <c r="H6" s="2">
        <v>7359</v>
      </c>
      <c r="I6" t="s">
        <v>6</v>
      </c>
      <c r="J6" s="4">
        <v>440.03</v>
      </c>
      <c r="K6" t="s">
        <v>105</v>
      </c>
    </row>
    <row r="7" spans="1:11" x14ac:dyDescent="0.25">
      <c r="A7" t="s">
        <v>102</v>
      </c>
      <c r="B7" t="s">
        <v>5</v>
      </c>
      <c r="C7" t="s">
        <v>103</v>
      </c>
      <c r="D7">
        <v>201511</v>
      </c>
      <c r="E7" s="1">
        <v>42305</v>
      </c>
      <c r="F7" s="1">
        <v>42339</v>
      </c>
      <c r="G7" t="s">
        <v>104</v>
      </c>
      <c r="H7" s="2">
        <v>12349</v>
      </c>
      <c r="I7" t="s">
        <v>6</v>
      </c>
      <c r="J7" s="4">
        <v>746.93</v>
      </c>
      <c r="K7" t="s">
        <v>105</v>
      </c>
    </row>
    <row r="8" spans="1:11" x14ac:dyDescent="0.25">
      <c r="A8" t="s">
        <v>102</v>
      </c>
      <c r="B8" t="s">
        <v>5</v>
      </c>
      <c r="C8" t="s">
        <v>103</v>
      </c>
      <c r="D8">
        <v>201512</v>
      </c>
      <c r="E8" s="1">
        <v>42339</v>
      </c>
      <c r="F8" s="1">
        <v>42369</v>
      </c>
      <c r="G8" t="s">
        <v>104</v>
      </c>
      <c r="H8" s="2">
        <v>10736</v>
      </c>
      <c r="I8" t="s">
        <v>6</v>
      </c>
      <c r="J8">
        <v>678.22</v>
      </c>
      <c r="K8" t="s">
        <v>105</v>
      </c>
    </row>
    <row r="9" spans="1:11" x14ac:dyDescent="0.25">
      <c r="A9" t="s">
        <v>102</v>
      </c>
      <c r="B9" t="s">
        <v>5</v>
      </c>
      <c r="C9" t="s">
        <v>103</v>
      </c>
      <c r="D9">
        <v>201601</v>
      </c>
      <c r="E9" s="1">
        <v>42369</v>
      </c>
      <c r="F9" s="1">
        <v>42401</v>
      </c>
      <c r="G9" t="s">
        <v>104</v>
      </c>
      <c r="H9" s="2">
        <v>11025</v>
      </c>
      <c r="I9" t="s">
        <v>6</v>
      </c>
      <c r="J9">
        <v>689.69</v>
      </c>
      <c r="K9" t="s">
        <v>105</v>
      </c>
    </row>
    <row r="10" spans="1:11" x14ac:dyDescent="0.25">
      <c r="A10" t="s">
        <v>102</v>
      </c>
      <c r="B10" t="s">
        <v>5</v>
      </c>
      <c r="C10" t="s">
        <v>103</v>
      </c>
      <c r="D10">
        <v>201602</v>
      </c>
      <c r="E10" s="1">
        <v>42401</v>
      </c>
      <c r="F10" s="1">
        <v>42430</v>
      </c>
      <c r="G10" t="s">
        <v>104</v>
      </c>
      <c r="H10" s="2">
        <v>10418</v>
      </c>
      <c r="I10" t="s">
        <v>6</v>
      </c>
      <c r="J10" s="4">
        <v>635.79999999999995</v>
      </c>
      <c r="K10" t="s">
        <v>105</v>
      </c>
    </row>
    <row r="11" spans="1:11" x14ac:dyDescent="0.25">
      <c r="A11" t="s">
        <v>102</v>
      </c>
      <c r="B11" t="s">
        <v>5</v>
      </c>
      <c r="C11" t="s">
        <v>103</v>
      </c>
      <c r="D11">
        <v>201603</v>
      </c>
      <c r="E11" s="1">
        <v>42430</v>
      </c>
      <c r="F11" s="1">
        <v>42460</v>
      </c>
      <c r="G11" t="s">
        <v>104</v>
      </c>
      <c r="H11" s="2">
        <v>10966</v>
      </c>
      <c r="I11" t="s">
        <v>6</v>
      </c>
      <c r="J11" s="4">
        <v>704</v>
      </c>
      <c r="K11" t="s">
        <v>105</v>
      </c>
    </row>
    <row r="12" spans="1:11" x14ac:dyDescent="0.25">
      <c r="A12" t="s">
        <v>102</v>
      </c>
      <c r="B12" t="s">
        <v>5</v>
      </c>
      <c r="C12" t="s">
        <v>103</v>
      </c>
      <c r="D12">
        <v>201604</v>
      </c>
      <c r="E12" s="1">
        <v>42460</v>
      </c>
      <c r="F12" s="1">
        <v>42489</v>
      </c>
      <c r="G12" t="s">
        <v>104</v>
      </c>
      <c r="H12" s="2">
        <v>10815</v>
      </c>
      <c r="I12" t="s">
        <v>6</v>
      </c>
      <c r="J12" s="4">
        <v>651.6</v>
      </c>
      <c r="K12" t="s">
        <v>105</v>
      </c>
    </row>
    <row r="13" spans="1:11" x14ac:dyDescent="0.25">
      <c r="A13" t="s">
        <v>102</v>
      </c>
      <c r="B13" t="s">
        <v>5</v>
      </c>
      <c r="C13" t="s">
        <v>103</v>
      </c>
      <c r="D13">
        <v>201605</v>
      </c>
      <c r="E13" s="1">
        <v>42489</v>
      </c>
      <c r="F13" s="1">
        <v>42521</v>
      </c>
      <c r="G13" t="s">
        <v>104</v>
      </c>
      <c r="H13" s="2">
        <v>11796</v>
      </c>
      <c r="I13" t="s">
        <v>6</v>
      </c>
      <c r="J13" s="4">
        <v>733.7</v>
      </c>
      <c r="K13" t="s">
        <v>105</v>
      </c>
    </row>
    <row r="14" spans="1:11" x14ac:dyDescent="0.25">
      <c r="A14" t="s">
        <v>102</v>
      </c>
      <c r="B14" t="s">
        <v>5</v>
      </c>
      <c r="C14" t="s">
        <v>103</v>
      </c>
      <c r="D14">
        <v>201606</v>
      </c>
      <c r="E14" s="1">
        <v>42521</v>
      </c>
      <c r="F14" s="1">
        <v>42550</v>
      </c>
      <c r="G14" t="s">
        <v>104</v>
      </c>
      <c r="H14" s="2">
        <v>11094</v>
      </c>
      <c r="I14" t="s">
        <v>6</v>
      </c>
      <c r="J14" s="4">
        <v>666</v>
      </c>
      <c r="K14" t="s">
        <v>105</v>
      </c>
    </row>
    <row r="15" spans="1:11" x14ac:dyDescent="0.25">
      <c r="A15" t="s">
        <v>106</v>
      </c>
      <c r="B15" t="s">
        <v>5</v>
      </c>
      <c r="C15" t="s">
        <v>107</v>
      </c>
      <c r="D15">
        <v>201507</v>
      </c>
      <c r="E15" s="1">
        <v>42185</v>
      </c>
      <c r="F15" s="1">
        <v>42216</v>
      </c>
      <c r="G15" t="s">
        <v>108</v>
      </c>
      <c r="H15" s="2">
        <v>13100</v>
      </c>
      <c r="I15" t="s">
        <v>6</v>
      </c>
      <c r="J15" s="4">
        <v>768.42</v>
      </c>
      <c r="K15" t="s">
        <v>105</v>
      </c>
    </row>
    <row r="16" spans="1:11" x14ac:dyDescent="0.25">
      <c r="A16" t="s">
        <v>106</v>
      </c>
      <c r="B16" t="s">
        <v>5</v>
      </c>
      <c r="C16" t="s">
        <v>107</v>
      </c>
      <c r="D16">
        <v>201508</v>
      </c>
      <c r="E16" s="1">
        <v>42216</v>
      </c>
      <c r="F16" s="1">
        <v>42243</v>
      </c>
      <c r="G16" t="s">
        <v>108</v>
      </c>
      <c r="H16" s="2">
        <v>11693</v>
      </c>
      <c r="I16" t="s">
        <v>6</v>
      </c>
      <c r="J16" s="4">
        <v>709.05</v>
      </c>
      <c r="K16" t="s">
        <v>105</v>
      </c>
    </row>
    <row r="17" spans="1:11" x14ac:dyDescent="0.25">
      <c r="A17" t="s">
        <v>106</v>
      </c>
      <c r="B17" t="s">
        <v>5</v>
      </c>
      <c r="C17" t="s">
        <v>107</v>
      </c>
      <c r="D17">
        <v>201509</v>
      </c>
      <c r="E17" s="1">
        <v>42243</v>
      </c>
      <c r="F17" s="1">
        <v>42276</v>
      </c>
      <c r="G17" t="s">
        <v>108</v>
      </c>
      <c r="H17" s="2">
        <v>14378</v>
      </c>
      <c r="I17" t="s">
        <v>6</v>
      </c>
      <c r="J17" s="4">
        <v>841.18</v>
      </c>
      <c r="K17" t="s">
        <v>105</v>
      </c>
    </row>
    <row r="18" spans="1:11" x14ac:dyDescent="0.25">
      <c r="A18" t="s">
        <v>106</v>
      </c>
      <c r="B18" t="s">
        <v>5</v>
      </c>
      <c r="C18" t="s">
        <v>107</v>
      </c>
      <c r="D18">
        <v>201510</v>
      </c>
      <c r="E18" s="1">
        <v>42276</v>
      </c>
      <c r="F18" s="1">
        <v>42305</v>
      </c>
      <c r="G18" t="s">
        <v>108</v>
      </c>
      <c r="H18" s="2">
        <v>12967</v>
      </c>
      <c r="I18" t="s">
        <v>6</v>
      </c>
      <c r="J18" s="4">
        <v>775.36</v>
      </c>
      <c r="K18" t="s">
        <v>105</v>
      </c>
    </row>
    <row r="19" spans="1:11" x14ac:dyDescent="0.25">
      <c r="A19" t="s">
        <v>106</v>
      </c>
      <c r="B19" t="s">
        <v>5</v>
      </c>
      <c r="C19" t="s">
        <v>107</v>
      </c>
      <c r="D19">
        <v>201511</v>
      </c>
      <c r="E19" s="1">
        <v>42305</v>
      </c>
      <c r="F19" s="1">
        <v>42339</v>
      </c>
      <c r="G19" t="s">
        <v>108</v>
      </c>
      <c r="H19" s="2">
        <v>15763</v>
      </c>
      <c r="I19" t="s">
        <v>6</v>
      </c>
      <c r="J19" s="4">
        <v>953.43</v>
      </c>
      <c r="K19" t="s">
        <v>105</v>
      </c>
    </row>
    <row r="20" spans="1:11" x14ac:dyDescent="0.25">
      <c r="A20" t="s">
        <v>106</v>
      </c>
      <c r="B20" t="s">
        <v>5</v>
      </c>
      <c r="C20" t="s">
        <v>107</v>
      </c>
      <c r="D20">
        <v>201512</v>
      </c>
      <c r="E20" s="1">
        <v>42339</v>
      </c>
      <c r="F20" s="1">
        <v>42369</v>
      </c>
      <c r="G20" t="s">
        <v>108</v>
      </c>
      <c r="H20" s="2">
        <v>7783</v>
      </c>
      <c r="I20" t="s">
        <v>6</v>
      </c>
      <c r="J20" s="4">
        <v>491.67</v>
      </c>
      <c r="K20" t="s">
        <v>105</v>
      </c>
    </row>
    <row r="21" spans="1:11" x14ac:dyDescent="0.25">
      <c r="A21" t="s">
        <v>106</v>
      </c>
      <c r="B21" t="s">
        <v>5</v>
      </c>
      <c r="C21" t="s">
        <v>107</v>
      </c>
      <c r="D21">
        <v>201601</v>
      </c>
      <c r="E21" s="1">
        <v>42369</v>
      </c>
      <c r="F21" s="1">
        <v>42401</v>
      </c>
      <c r="G21" t="s">
        <v>108</v>
      </c>
      <c r="H21" s="2">
        <v>5315</v>
      </c>
      <c r="I21" t="s">
        <v>6</v>
      </c>
      <c r="J21" s="4">
        <v>332.49</v>
      </c>
      <c r="K21" t="s">
        <v>105</v>
      </c>
    </row>
    <row r="22" spans="1:11" x14ac:dyDescent="0.25">
      <c r="A22" t="s">
        <v>106</v>
      </c>
      <c r="B22" t="s">
        <v>5</v>
      </c>
      <c r="C22" t="s">
        <v>107</v>
      </c>
      <c r="D22">
        <v>201602</v>
      </c>
      <c r="E22" s="1">
        <v>42401</v>
      </c>
      <c r="F22" s="1">
        <v>42430</v>
      </c>
      <c r="G22" t="s">
        <v>108</v>
      </c>
      <c r="H22" s="2">
        <v>6678</v>
      </c>
      <c r="I22" t="s">
        <v>6</v>
      </c>
      <c r="J22" s="4">
        <v>407.55</v>
      </c>
      <c r="K22" t="s">
        <v>105</v>
      </c>
    </row>
    <row r="23" spans="1:11" x14ac:dyDescent="0.25">
      <c r="A23" t="s">
        <v>106</v>
      </c>
      <c r="B23" t="s">
        <v>5</v>
      </c>
      <c r="C23" t="s">
        <v>107</v>
      </c>
      <c r="D23">
        <v>201603</v>
      </c>
      <c r="E23" s="1">
        <v>42430</v>
      </c>
      <c r="F23" s="1">
        <v>42460</v>
      </c>
      <c r="G23" t="s">
        <v>108</v>
      </c>
      <c r="H23" s="2">
        <v>9163</v>
      </c>
      <c r="I23" t="s">
        <v>6</v>
      </c>
      <c r="J23" s="4">
        <v>588.25</v>
      </c>
      <c r="K23" t="s">
        <v>105</v>
      </c>
    </row>
    <row r="24" spans="1:11" x14ac:dyDescent="0.25">
      <c r="A24" t="s">
        <v>106</v>
      </c>
      <c r="B24" t="s">
        <v>5</v>
      </c>
      <c r="C24" t="s">
        <v>107</v>
      </c>
      <c r="D24">
        <v>201604</v>
      </c>
      <c r="E24" s="1">
        <v>42460</v>
      </c>
      <c r="F24" s="1">
        <v>42489</v>
      </c>
      <c r="G24" t="s">
        <v>108</v>
      </c>
      <c r="H24" s="2">
        <v>8091</v>
      </c>
      <c r="I24" t="s">
        <v>6</v>
      </c>
      <c r="J24" s="4">
        <v>487.48</v>
      </c>
      <c r="K24" t="s">
        <v>105</v>
      </c>
    </row>
    <row r="25" spans="1:11" x14ac:dyDescent="0.25">
      <c r="A25" t="s">
        <v>106</v>
      </c>
      <c r="B25" t="s">
        <v>5</v>
      </c>
      <c r="C25" t="s">
        <v>107</v>
      </c>
      <c r="D25">
        <v>201605</v>
      </c>
      <c r="E25" s="1">
        <v>42489</v>
      </c>
      <c r="F25" s="1">
        <v>42521</v>
      </c>
      <c r="G25" t="s">
        <v>108</v>
      </c>
      <c r="H25" s="2">
        <v>7597</v>
      </c>
      <c r="I25" t="s">
        <v>6</v>
      </c>
      <c r="J25" s="4">
        <v>472.53</v>
      </c>
      <c r="K25" t="s">
        <v>105</v>
      </c>
    </row>
    <row r="26" spans="1:11" x14ac:dyDescent="0.25">
      <c r="A26" t="s">
        <v>106</v>
      </c>
      <c r="B26" t="s">
        <v>5</v>
      </c>
      <c r="C26" t="s">
        <v>107</v>
      </c>
      <c r="D26">
        <v>201606</v>
      </c>
      <c r="E26" s="1">
        <v>42521</v>
      </c>
      <c r="F26" s="1">
        <v>42550</v>
      </c>
      <c r="G26" t="s">
        <v>108</v>
      </c>
      <c r="H26" s="2">
        <v>9221</v>
      </c>
      <c r="I26" t="s">
        <v>6</v>
      </c>
      <c r="J26" s="4">
        <v>553.55999999999995</v>
      </c>
      <c r="K26" t="s">
        <v>105</v>
      </c>
    </row>
    <row r="27" spans="1:11" x14ac:dyDescent="0.25">
      <c r="A27" t="s">
        <v>106</v>
      </c>
      <c r="B27" t="s">
        <v>5</v>
      </c>
      <c r="C27" t="s">
        <v>109</v>
      </c>
      <c r="D27">
        <v>201507</v>
      </c>
      <c r="E27" s="1">
        <v>42185</v>
      </c>
      <c r="F27" s="1">
        <v>42216</v>
      </c>
      <c r="G27" t="s">
        <v>110</v>
      </c>
      <c r="H27" s="2">
        <v>152</v>
      </c>
      <c r="I27" t="s">
        <v>6</v>
      </c>
      <c r="J27" s="4">
        <v>8.92</v>
      </c>
      <c r="K27" t="s">
        <v>105</v>
      </c>
    </row>
    <row r="28" spans="1:11" x14ac:dyDescent="0.25">
      <c r="A28" t="s">
        <v>106</v>
      </c>
      <c r="B28" t="s">
        <v>5</v>
      </c>
      <c r="C28" t="s">
        <v>109</v>
      </c>
      <c r="D28">
        <v>201508</v>
      </c>
      <c r="E28" s="1">
        <v>42216</v>
      </c>
      <c r="F28" s="1">
        <v>42243</v>
      </c>
      <c r="G28" t="s">
        <v>110</v>
      </c>
      <c r="H28" s="2">
        <v>130</v>
      </c>
      <c r="I28" t="s">
        <v>6</v>
      </c>
      <c r="J28" s="4">
        <v>7.88</v>
      </c>
      <c r="K28" t="s">
        <v>105</v>
      </c>
    </row>
    <row r="29" spans="1:11" x14ac:dyDescent="0.25">
      <c r="A29" t="s">
        <v>106</v>
      </c>
      <c r="B29" t="s">
        <v>5</v>
      </c>
      <c r="C29" t="s">
        <v>109</v>
      </c>
      <c r="D29">
        <v>201509</v>
      </c>
      <c r="E29" s="1">
        <v>42243</v>
      </c>
      <c r="F29" s="1">
        <v>42276</v>
      </c>
      <c r="G29" t="s">
        <v>110</v>
      </c>
      <c r="H29" s="2">
        <v>210</v>
      </c>
      <c r="I29" t="s">
        <v>6</v>
      </c>
      <c r="J29" s="4">
        <v>12.29</v>
      </c>
      <c r="K29" t="s">
        <v>105</v>
      </c>
    </row>
    <row r="30" spans="1:11" x14ac:dyDescent="0.25">
      <c r="A30" t="s">
        <v>106</v>
      </c>
      <c r="B30" t="s">
        <v>5</v>
      </c>
      <c r="C30" t="s">
        <v>109</v>
      </c>
      <c r="D30">
        <v>201510</v>
      </c>
      <c r="E30" s="1">
        <v>42276</v>
      </c>
      <c r="F30" s="1">
        <v>42305</v>
      </c>
      <c r="G30" t="s">
        <v>110</v>
      </c>
      <c r="H30" s="2">
        <v>316</v>
      </c>
      <c r="I30" t="s">
        <v>6</v>
      </c>
      <c r="J30" s="4">
        <v>18.899999999999999</v>
      </c>
      <c r="K30" t="s">
        <v>105</v>
      </c>
    </row>
    <row r="31" spans="1:11" x14ac:dyDescent="0.25">
      <c r="A31" t="s">
        <v>106</v>
      </c>
      <c r="B31" t="s">
        <v>5</v>
      </c>
      <c r="C31" t="s">
        <v>109</v>
      </c>
      <c r="D31">
        <v>201511</v>
      </c>
      <c r="E31" s="1">
        <v>42305</v>
      </c>
      <c r="F31" s="1">
        <v>42339</v>
      </c>
      <c r="G31" t="s">
        <v>110</v>
      </c>
      <c r="H31" s="2">
        <v>701</v>
      </c>
      <c r="I31" t="s">
        <v>6</v>
      </c>
      <c r="J31" s="4">
        <v>42.4</v>
      </c>
      <c r="K31" t="s">
        <v>105</v>
      </c>
    </row>
    <row r="32" spans="1:11" x14ac:dyDescent="0.25">
      <c r="A32" t="s">
        <v>106</v>
      </c>
      <c r="B32" t="s">
        <v>5</v>
      </c>
      <c r="C32" t="s">
        <v>109</v>
      </c>
      <c r="D32">
        <v>201512</v>
      </c>
      <c r="E32" s="1">
        <v>42339</v>
      </c>
      <c r="F32" s="1">
        <v>42369</v>
      </c>
      <c r="G32" t="s">
        <v>110</v>
      </c>
      <c r="H32" s="2">
        <v>272</v>
      </c>
      <c r="I32" t="s">
        <v>6</v>
      </c>
      <c r="J32" s="4">
        <v>17.18</v>
      </c>
      <c r="K32" t="s">
        <v>105</v>
      </c>
    </row>
    <row r="33" spans="1:11" x14ac:dyDescent="0.25">
      <c r="A33" t="s">
        <v>106</v>
      </c>
      <c r="B33" t="s">
        <v>5</v>
      </c>
      <c r="C33" t="s">
        <v>109</v>
      </c>
      <c r="D33">
        <v>201601</v>
      </c>
      <c r="E33" s="1">
        <v>42369</v>
      </c>
      <c r="F33" s="1">
        <v>42401</v>
      </c>
      <c r="G33" t="s">
        <v>110</v>
      </c>
      <c r="H33" s="2">
        <v>95</v>
      </c>
      <c r="I33" t="s">
        <v>6</v>
      </c>
      <c r="J33" s="4">
        <v>5.94</v>
      </c>
      <c r="K33" t="s">
        <v>105</v>
      </c>
    </row>
    <row r="34" spans="1:11" x14ac:dyDescent="0.25">
      <c r="A34" t="s">
        <v>106</v>
      </c>
      <c r="B34" t="s">
        <v>5</v>
      </c>
      <c r="C34" t="s">
        <v>109</v>
      </c>
      <c r="D34">
        <v>201602</v>
      </c>
      <c r="E34" s="1">
        <v>42401</v>
      </c>
      <c r="F34" s="1">
        <v>42430</v>
      </c>
      <c r="G34" t="s">
        <v>110</v>
      </c>
      <c r="H34" s="2">
        <v>193</v>
      </c>
      <c r="I34" t="s">
        <v>6</v>
      </c>
      <c r="J34" s="4">
        <v>11.78</v>
      </c>
      <c r="K34" t="s">
        <v>105</v>
      </c>
    </row>
    <row r="35" spans="1:11" x14ac:dyDescent="0.25">
      <c r="A35" t="s">
        <v>106</v>
      </c>
      <c r="B35" t="s">
        <v>5</v>
      </c>
      <c r="C35" t="s">
        <v>109</v>
      </c>
      <c r="D35">
        <v>201603</v>
      </c>
      <c r="E35" s="1">
        <v>42430</v>
      </c>
      <c r="F35" s="1">
        <v>42460</v>
      </c>
      <c r="G35" t="s">
        <v>110</v>
      </c>
      <c r="H35" s="2">
        <v>143</v>
      </c>
      <c r="I35" t="s">
        <v>6</v>
      </c>
      <c r="J35" s="4">
        <v>9.18</v>
      </c>
      <c r="K35" t="s">
        <v>105</v>
      </c>
    </row>
    <row r="36" spans="1:11" x14ac:dyDescent="0.25">
      <c r="A36" t="s">
        <v>106</v>
      </c>
      <c r="B36" t="s">
        <v>5</v>
      </c>
      <c r="C36" t="s">
        <v>109</v>
      </c>
      <c r="D36">
        <v>201604</v>
      </c>
      <c r="E36" s="1">
        <v>42460</v>
      </c>
      <c r="F36" s="1">
        <v>42489</v>
      </c>
      <c r="G36" t="s">
        <v>110</v>
      </c>
      <c r="H36" s="2">
        <v>93</v>
      </c>
      <c r="I36" t="s">
        <v>6</v>
      </c>
      <c r="J36" s="4">
        <v>5.6</v>
      </c>
      <c r="K36" t="s">
        <v>105</v>
      </c>
    </row>
    <row r="37" spans="1:11" x14ac:dyDescent="0.25">
      <c r="A37" t="s">
        <v>106</v>
      </c>
      <c r="B37" t="s">
        <v>5</v>
      </c>
      <c r="C37" t="s">
        <v>109</v>
      </c>
      <c r="D37">
        <v>201605</v>
      </c>
      <c r="E37" s="1">
        <v>42489</v>
      </c>
      <c r="F37" s="1">
        <v>42521</v>
      </c>
      <c r="G37" t="s">
        <v>110</v>
      </c>
      <c r="H37" s="2">
        <v>179</v>
      </c>
      <c r="I37" t="s">
        <v>6</v>
      </c>
      <c r="J37" s="4">
        <v>11.13</v>
      </c>
      <c r="K37" t="s">
        <v>105</v>
      </c>
    </row>
    <row r="38" spans="1:11" x14ac:dyDescent="0.25">
      <c r="A38" t="s">
        <v>106</v>
      </c>
      <c r="B38" t="s">
        <v>5</v>
      </c>
      <c r="C38" t="s">
        <v>109</v>
      </c>
      <c r="D38">
        <v>201606</v>
      </c>
      <c r="E38" s="1">
        <v>42521</v>
      </c>
      <c r="F38" s="1">
        <v>42550</v>
      </c>
      <c r="G38" t="s">
        <v>110</v>
      </c>
      <c r="H38" s="2">
        <v>2</v>
      </c>
      <c r="I38" t="s">
        <v>6</v>
      </c>
      <c r="J38" s="4">
        <v>0.12</v>
      </c>
      <c r="K38" t="s">
        <v>105</v>
      </c>
    </row>
    <row r="39" spans="1:11" x14ac:dyDescent="0.25">
      <c r="A39" t="s">
        <v>102</v>
      </c>
      <c r="B39" t="s">
        <v>5</v>
      </c>
      <c r="C39" t="s">
        <v>111</v>
      </c>
      <c r="D39">
        <v>201507</v>
      </c>
      <c r="E39" s="1">
        <v>42185</v>
      </c>
      <c r="F39" s="1">
        <v>42216</v>
      </c>
      <c r="G39" t="s">
        <v>112</v>
      </c>
      <c r="H39" s="2">
        <v>11397</v>
      </c>
      <c r="I39" t="s">
        <v>6</v>
      </c>
      <c r="J39" s="4">
        <v>668.53</v>
      </c>
      <c r="K39" t="s">
        <v>105</v>
      </c>
    </row>
    <row r="40" spans="1:11" x14ac:dyDescent="0.25">
      <c r="A40" t="s">
        <v>102</v>
      </c>
      <c r="B40" t="s">
        <v>5</v>
      </c>
      <c r="C40" t="s">
        <v>111</v>
      </c>
      <c r="D40">
        <v>201508</v>
      </c>
      <c r="E40" s="1">
        <v>42216</v>
      </c>
      <c r="F40" s="1">
        <v>42243</v>
      </c>
      <c r="G40" t="s">
        <v>112</v>
      </c>
      <c r="H40" s="2">
        <v>8936</v>
      </c>
      <c r="I40" t="s">
        <v>6</v>
      </c>
      <c r="J40" s="4">
        <v>541.87</v>
      </c>
      <c r="K40" t="s">
        <v>105</v>
      </c>
    </row>
    <row r="41" spans="1:11" x14ac:dyDescent="0.25">
      <c r="A41" t="s">
        <v>102</v>
      </c>
      <c r="B41" t="s">
        <v>5</v>
      </c>
      <c r="C41" t="s">
        <v>111</v>
      </c>
      <c r="D41">
        <v>201509</v>
      </c>
      <c r="E41" s="1">
        <v>42243</v>
      </c>
      <c r="F41" s="1">
        <v>42276</v>
      </c>
      <c r="G41" t="s">
        <v>112</v>
      </c>
      <c r="H41" s="2">
        <v>11245</v>
      </c>
      <c r="I41" t="s">
        <v>6</v>
      </c>
      <c r="J41" s="4">
        <v>657.89</v>
      </c>
      <c r="K41" t="s">
        <v>105</v>
      </c>
    </row>
    <row r="42" spans="1:11" x14ac:dyDescent="0.25">
      <c r="A42" t="s">
        <v>102</v>
      </c>
      <c r="B42" t="s">
        <v>5</v>
      </c>
      <c r="C42" t="s">
        <v>111</v>
      </c>
      <c r="D42">
        <v>201510</v>
      </c>
      <c r="E42" s="1">
        <v>42276</v>
      </c>
      <c r="F42" s="1">
        <v>42305</v>
      </c>
      <c r="G42" t="s">
        <v>112</v>
      </c>
      <c r="H42" s="2">
        <v>6600</v>
      </c>
      <c r="I42" t="s">
        <v>6</v>
      </c>
      <c r="J42" s="4">
        <v>394.65</v>
      </c>
      <c r="K42" t="s">
        <v>105</v>
      </c>
    </row>
    <row r="43" spans="1:11" x14ac:dyDescent="0.25">
      <c r="A43" t="s">
        <v>102</v>
      </c>
      <c r="B43" t="s">
        <v>5</v>
      </c>
      <c r="C43" t="s">
        <v>111</v>
      </c>
      <c r="D43">
        <v>201511</v>
      </c>
      <c r="E43" s="1">
        <v>42305</v>
      </c>
      <c r="F43" s="1">
        <v>42339</v>
      </c>
      <c r="G43" t="s">
        <v>112</v>
      </c>
      <c r="H43" s="2">
        <v>9926</v>
      </c>
      <c r="I43" t="s">
        <v>6</v>
      </c>
      <c r="J43" s="4">
        <v>600.37</v>
      </c>
      <c r="K43" t="s">
        <v>105</v>
      </c>
    </row>
    <row r="44" spans="1:11" x14ac:dyDescent="0.25">
      <c r="A44" t="s">
        <v>102</v>
      </c>
      <c r="B44" t="s">
        <v>5</v>
      </c>
      <c r="C44" t="s">
        <v>111</v>
      </c>
      <c r="D44">
        <v>201512</v>
      </c>
      <c r="E44" s="1">
        <v>42339</v>
      </c>
      <c r="F44" s="1">
        <v>42369</v>
      </c>
      <c r="G44" t="s">
        <v>112</v>
      </c>
      <c r="H44" s="2">
        <v>9100</v>
      </c>
      <c r="I44" t="s">
        <v>6</v>
      </c>
      <c r="J44" s="4">
        <v>574.87</v>
      </c>
      <c r="K44" t="s">
        <v>105</v>
      </c>
    </row>
    <row r="45" spans="1:11" x14ac:dyDescent="0.25">
      <c r="A45" t="s">
        <v>102</v>
      </c>
      <c r="B45" t="s">
        <v>5</v>
      </c>
      <c r="C45" t="s">
        <v>111</v>
      </c>
      <c r="D45">
        <v>201601</v>
      </c>
      <c r="E45" s="1">
        <v>42369</v>
      </c>
      <c r="F45" s="1">
        <v>42401</v>
      </c>
      <c r="G45" t="s">
        <v>112</v>
      </c>
      <c r="H45" s="2">
        <v>9316</v>
      </c>
      <c r="I45" t="s">
        <v>6</v>
      </c>
      <c r="J45" s="4">
        <v>582.78</v>
      </c>
      <c r="K45" t="s">
        <v>105</v>
      </c>
    </row>
    <row r="46" spans="1:11" x14ac:dyDescent="0.25">
      <c r="A46" t="s">
        <v>102</v>
      </c>
      <c r="B46" t="s">
        <v>5</v>
      </c>
      <c r="C46" t="s">
        <v>111</v>
      </c>
      <c r="D46">
        <v>201602</v>
      </c>
      <c r="E46" s="1">
        <v>42401</v>
      </c>
      <c r="F46" s="1">
        <v>42430</v>
      </c>
      <c r="G46" t="s">
        <v>112</v>
      </c>
      <c r="H46" s="2">
        <v>8702</v>
      </c>
      <c r="I46" t="s">
        <v>6</v>
      </c>
      <c r="J46" s="4">
        <v>531.07000000000005</v>
      </c>
      <c r="K46" t="s">
        <v>105</v>
      </c>
    </row>
    <row r="47" spans="1:11" x14ac:dyDescent="0.25">
      <c r="A47" t="s">
        <v>102</v>
      </c>
      <c r="B47" t="s">
        <v>5</v>
      </c>
      <c r="C47" t="s">
        <v>111</v>
      </c>
      <c r="D47">
        <v>201603</v>
      </c>
      <c r="E47" s="1">
        <v>42430</v>
      </c>
      <c r="F47" s="1">
        <v>42460</v>
      </c>
      <c r="G47" t="s">
        <v>112</v>
      </c>
      <c r="H47" s="2">
        <v>9275</v>
      </c>
      <c r="I47" t="s">
        <v>6</v>
      </c>
      <c r="J47" s="4">
        <v>595.44000000000005</v>
      </c>
      <c r="K47" t="s">
        <v>105</v>
      </c>
    </row>
    <row r="48" spans="1:11" x14ac:dyDescent="0.25">
      <c r="A48" t="s">
        <v>102</v>
      </c>
      <c r="B48" t="s">
        <v>5</v>
      </c>
      <c r="C48" t="s">
        <v>111</v>
      </c>
      <c r="D48">
        <v>201604</v>
      </c>
      <c r="E48" s="1">
        <v>42460</v>
      </c>
      <c r="F48" s="1">
        <v>42489</v>
      </c>
      <c r="G48" t="s">
        <v>112</v>
      </c>
      <c r="H48" s="2">
        <v>9227</v>
      </c>
      <c r="I48" t="s">
        <v>6</v>
      </c>
      <c r="J48" s="4">
        <v>555.92999999999995</v>
      </c>
      <c r="K48" t="s">
        <v>105</v>
      </c>
    </row>
    <row r="49" spans="1:11" x14ac:dyDescent="0.25">
      <c r="A49" t="s">
        <v>102</v>
      </c>
      <c r="B49" t="s">
        <v>5</v>
      </c>
      <c r="C49" t="s">
        <v>111</v>
      </c>
      <c r="D49">
        <v>201605</v>
      </c>
      <c r="E49" s="1">
        <v>42489</v>
      </c>
      <c r="F49" s="1">
        <v>42521</v>
      </c>
      <c r="G49" t="s">
        <v>112</v>
      </c>
      <c r="H49" s="2">
        <v>10259</v>
      </c>
      <c r="I49" t="s">
        <v>6</v>
      </c>
      <c r="J49" s="4">
        <v>638.1</v>
      </c>
      <c r="K49" t="s">
        <v>105</v>
      </c>
    </row>
    <row r="50" spans="1:11" x14ac:dyDescent="0.25">
      <c r="A50" t="s">
        <v>102</v>
      </c>
      <c r="B50" t="s">
        <v>5</v>
      </c>
      <c r="C50" t="s">
        <v>111</v>
      </c>
      <c r="D50">
        <v>201606</v>
      </c>
      <c r="E50" s="1">
        <v>42521</v>
      </c>
      <c r="F50" s="1">
        <v>42550</v>
      </c>
      <c r="G50" t="s">
        <v>112</v>
      </c>
      <c r="H50" s="2">
        <v>9891</v>
      </c>
      <c r="I50" t="s">
        <v>6</v>
      </c>
      <c r="J50" s="4">
        <v>593.78</v>
      </c>
      <c r="K50" t="s">
        <v>105</v>
      </c>
    </row>
    <row r="51" spans="1:11" x14ac:dyDescent="0.25">
      <c r="A51" t="s">
        <v>113</v>
      </c>
      <c r="B51" t="s">
        <v>5</v>
      </c>
      <c r="C51" t="s">
        <v>114</v>
      </c>
      <c r="D51">
        <v>201507</v>
      </c>
      <c r="E51" s="1">
        <v>42185</v>
      </c>
      <c r="F51" s="1">
        <v>42216</v>
      </c>
      <c r="G51" t="s">
        <v>114</v>
      </c>
      <c r="H51" s="2">
        <v>3473</v>
      </c>
      <c r="I51" t="s">
        <v>6</v>
      </c>
      <c r="J51" s="4">
        <v>203.72</v>
      </c>
      <c r="K51" t="s">
        <v>105</v>
      </c>
    </row>
    <row r="52" spans="1:11" x14ac:dyDescent="0.25">
      <c r="A52" t="s">
        <v>113</v>
      </c>
      <c r="B52" t="s">
        <v>5</v>
      </c>
      <c r="C52" t="s">
        <v>114</v>
      </c>
      <c r="D52">
        <v>201508</v>
      </c>
      <c r="E52" s="1">
        <v>42216</v>
      </c>
      <c r="F52" s="1">
        <v>42243</v>
      </c>
      <c r="G52" t="s">
        <v>114</v>
      </c>
      <c r="H52" s="2">
        <v>3029</v>
      </c>
      <c r="I52" t="s">
        <v>6</v>
      </c>
      <c r="J52" s="4">
        <v>183.68</v>
      </c>
      <c r="K52" t="s">
        <v>105</v>
      </c>
    </row>
    <row r="53" spans="1:11" x14ac:dyDescent="0.25">
      <c r="A53" t="s">
        <v>113</v>
      </c>
      <c r="B53" t="s">
        <v>5</v>
      </c>
      <c r="C53" t="s">
        <v>114</v>
      </c>
      <c r="D53">
        <v>201509</v>
      </c>
      <c r="E53" s="1">
        <v>42243</v>
      </c>
      <c r="F53" s="1">
        <v>42276</v>
      </c>
      <c r="G53" t="s">
        <v>114</v>
      </c>
      <c r="H53" s="2">
        <v>3778</v>
      </c>
      <c r="I53" t="s">
        <v>6</v>
      </c>
      <c r="J53" s="4">
        <v>221.03</v>
      </c>
      <c r="K53" t="s">
        <v>105</v>
      </c>
    </row>
    <row r="54" spans="1:11" x14ac:dyDescent="0.25">
      <c r="A54" t="s">
        <v>113</v>
      </c>
      <c r="B54" t="s">
        <v>5</v>
      </c>
      <c r="C54" t="s">
        <v>114</v>
      </c>
      <c r="D54">
        <v>201510</v>
      </c>
      <c r="E54" s="1">
        <v>42276</v>
      </c>
      <c r="F54" s="1">
        <v>42305</v>
      </c>
      <c r="G54" t="s">
        <v>114</v>
      </c>
      <c r="H54" s="2">
        <v>3422</v>
      </c>
      <c r="I54" t="s">
        <v>6</v>
      </c>
      <c r="J54" s="4">
        <v>204.62</v>
      </c>
      <c r="K54" t="s">
        <v>105</v>
      </c>
    </row>
    <row r="55" spans="1:11" x14ac:dyDescent="0.25">
      <c r="A55" t="s">
        <v>113</v>
      </c>
      <c r="B55" t="s">
        <v>5</v>
      </c>
      <c r="C55" t="s">
        <v>114</v>
      </c>
      <c r="D55">
        <v>201511</v>
      </c>
      <c r="E55" s="1">
        <v>42305</v>
      </c>
      <c r="F55" s="1">
        <v>42339</v>
      </c>
      <c r="G55" t="s">
        <v>114</v>
      </c>
      <c r="H55" s="2">
        <v>4197</v>
      </c>
      <c r="I55" t="s">
        <v>6</v>
      </c>
      <c r="J55" s="4">
        <v>253.86</v>
      </c>
      <c r="K55" t="s">
        <v>105</v>
      </c>
    </row>
    <row r="56" spans="1:11" x14ac:dyDescent="0.25">
      <c r="A56" t="s">
        <v>113</v>
      </c>
      <c r="B56" t="s">
        <v>5</v>
      </c>
      <c r="C56" t="s">
        <v>114</v>
      </c>
      <c r="D56">
        <v>201512</v>
      </c>
      <c r="E56" s="1">
        <v>42339</v>
      </c>
      <c r="F56" s="1">
        <v>42369</v>
      </c>
      <c r="G56" t="s">
        <v>114</v>
      </c>
      <c r="H56" s="2">
        <v>3663</v>
      </c>
      <c r="I56" t="s">
        <v>6</v>
      </c>
      <c r="J56" s="4">
        <v>231.4</v>
      </c>
      <c r="K56" t="s">
        <v>105</v>
      </c>
    </row>
    <row r="57" spans="1:11" x14ac:dyDescent="0.25">
      <c r="A57" t="s">
        <v>113</v>
      </c>
      <c r="B57" t="s">
        <v>5</v>
      </c>
      <c r="C57" t="s">
        <v>114</v>
      </c>
      <c r="D57">
        <v>201601</v>
      </c>
      <c r="E57" s="1">
        <v>42369</v>
      </c>
      <c r="F57" s="1">
        <v>42401</v>
      </c>
      <c r="G57" t="s">
        <v>114</v>
      </c>
      <c r="H57" s="2">
        <v>3942</v>
      </c>
      <c r="I57" t="s">
        <v>6</v>
      </c>
      <c r="J57" s="4">
        <v>246.6</v>
      </c>
      <c r="K57" t="s">
        <v>105</v>
      </c>
    </row>
    <row r="58" spans="1:11" x14ac:dyDescent="0.25">
      <c r="A58" t="s">
        <v>113</v>
      </c>
      <c r="B58" t="s">
        <v>5</v>
      </c>
      <c r="C58" t="s">
        <v>114</v>
      </c>
      <c r="D58">
        <v>201602</v>
      </c>
      <c r="E58" s="1">
        <v>42401</v>
      </c>
      <c r="F58" s="1">
        <v>42430</v>
      </c>
      <c r="G58" t="s">
        <v>114</v>
      </c>
      <c r="H58" s="2">
        <v>3692</v>
      </c>
      <c r="I58" t="s">
        <v>6</v>
      </c>
      <c r="J58" s="4">
        <v>225.32</v>
      </c>
      <c r="K58" t="s">
        <v>105</v>
      </c>
    </row>
    <row r="59" spans="1:11" x14ac:dyDescent="0.25">
      <c r="A59" t="s">
        <v>113</v>
      </c>
      <c r="B59" t="s">
        <v>5</v>
      </c>
      <c r="C59" t="s">
        <v>114</v>
      </c>
      <c r="D59">
        <v>201603</v>
      </c>
      <c r="E59" s="1">
        <v>42430</v>
      </c>
      <c r="F59" s="1">
        <v>42460</v>
      </c>
      <c r="G59" t="s">
        <v>114</v>
      </c>
      <c r="H59" s="2">
        <v>3729</v>
      </c>
      <c r="I59" t="s">
        <v>6</v>
      </c>
      <c r="J59" s="4">
        <v>239.4</v>
      </c>
      <c r="K59" t="s">
        <v>105</v>
      </c>
    </row>
    <row r="60" spans="1:11" x14ac:dyDescent="0.25">
      <c r="A60" t="s">
        <v>113</v>
      </c>
      <c r="B60" t="s">
        <v>5</v>
      </c>
      <c r="C60" t="s">
        <v>114</v>
      </c>
      <c r="D60">
        <v>201604</v>
      </c>
      <c r="E60" s="1">
        <v>42460</v>
      </c>
      <c r="F60" s="1">
        <v>42489</v>
      </c>
      <c r="G60" t="s">
        <v>114</v>
      </c>
      <c r="H60" s="2">
        <v>3636</v>
      </c>
      <c r="I60" t="s">
        <v>6</v>
      </c>
      <c r="J60" s="4">
        <v>219.07</v>
      </c>
      <c r="K60" t="s">
        <v>105</v>
      </c>
    </row>
    <row r="61" spans="1:11" x14ac:dyDescent="0.25">
      <c r="A61" t="s">
        <v>113</v>
      </c>
      <c r="B61" t="s">
        <v>5</v>
      </c>
      <c r="C61" t="s">
        <v>114</v>
      </c>
      <c r="D61">
        <v>201605</v>
      </c>
      <c r="E61" s="1">
        <v>42489</v>
      </c>
      <c r="F61" s="1">
        <v>42521</v>
      </c>
      <c r="G61" t="s">
        <v>114</v>
      </c>
      <c r="H61" s="2">
        <v>3908</v>
      </c>
      <c r="I61" t="s">
        <v>6</v>
      </c>
      <c r="J61" s="4">
        <v>243.07</v>
      </c>
      <c r="K61" t="s">
        <v>105</v>
      </c>
    </row>
    <row r="62" spans="1:11" x14ac:dyDescent="0.25">
      <c r="A62" t="s">
        <v>113</v>
      </c>
      <c r="B62" t="s">
        <v>5</v>
      </c>
      <c r="C62" t="s">
        <v>114</v>
      </c>
      <c r="D62">
        <v>201606</v>
      </c>
      <c r="E62" s="1">
        <v>42521</v>
      </c>
      <c r="F62" s="1">
        <v>42550</v>
      </c>
      <c r="G62" t="s">
        <v>114</v>
      </c>
      <c r="H62" s="2">
        <v>3594</v>
      </c>
      <c r="I62" t="s">
        <v>6</v>
      </c>
      <c r="J62" s="4">
        <v>215.76</v>
      </c>
      <c r="K62" t="s">
        <v>105</v>
      </c>
    </row>
    <row r="63" spans="1:11" x14ac:dyDescent="0.25">
      <c r="A63" t="s">
        <v>102</v>
      </c>
      <c r="B63" t="s">
        <v>5</v>
      </c>
      <c r="C63" t="s">
        <v>115</v>
      </c>
      <c r="D63">
        <v>201507</v>
      </c>
      <c r="E63" s="1">
        <v>42185</v>
      </c>
      <c r="F63" s="1">
        <v>42216</v>
      </c>
      <c r="G63" t="s">
        <v>116</v>
      </c>
      <c r="H63" s="2">
        <v>336</v>
      </c>
      <c r="I63" t="s">
        <v>6</v>
      </c>
      <c r="J63" s="4">
        <v>19.71</v>
      </c>
      <c r="K63" t="s">
        <v>105</v>
      </c>
    </row>
    <row r="64" spans="1:11" x14ac:dyDescent="0.25">
      <c r="A64" t="s">
        <v>102</v>
      </c>
      <c r="B64" t="s">
        <v>5</v>
      </c>
      <c r="C64" t="s">
        <v>115</v>
      </c>
      <c r="D64">
        <v>201508</v>
      </c>
      <c r="E64" s="1">
        <v>42216</v>
      </c>
      <c r="F64" s="1">
        <v>42243</v>
      </c>
      <c r="G64" t="s">
        <v>116</v>
      </c>
      <c r="H64" s="2">
        <v>292</v>
      </c>
      <c r="I64" t="s">
        <v>6</v>
      </c>
      <c r="J64" s="4">
        <v>17.71</v>
      </c>
      <c r="K64" t="s">
        <v>105</v>
      </c>
    </row>
    <row r="65" spans="1:11" x14ac:dyDescent="0.25">
      <c r="A65" t="s">
        <v>102</v>
      </c>
      <c r="B65" t="s">
        <v>5</v>
      </c>
      <c r="C65" t="s">
        <v>115</v>
      </c>
      <c r="D65">
        <v>201509</v>
      </c>
      <c r="E65" s="1">
        <v>42243</v>
      </c>
      <c r="F65" s="1">
        <v>42276</v>
      </c>
      <c r="G65" t="s">
        <v>116</v>
      </c>
      <c r="H65" s="2">
        <v>372</v>
      </c>
      <c r="I65" t="s">
        <v>6</v>
      </c>
      <c r="J65" s="4">
        <v>21.76</v>
      </c>
      <c r="K65" t="s">
        <v>105</v>
      </c>
    </row>
    <row r="66" spans="1:11" x14ac:dyDescent="0.25">
      <c r="A66" t="s">
        <v>102</v>
      </c>
      <c r="B66" t="s">
        <v>5</v>
      </c>
      <c r="C66" t="s">
        <v>115</v>
      </c>
      <c r="D66">
        <v>201510</v>
      </c>
      <c r="E66" s="1">
        <v>42276</v>
      </c>
      <c r="F66" s="1">
        <v>42305</v>
      </c>
      <c r="G66" t="s">
        <v>116</v>
      </c>
      <c r="H66" s="2">
        <v>313</v>
      </c>
      <c r="I66" t="s">
        <v>6</v>
      </c>
      <c r="J66" s="4">
        <v>18.72</v>
      </c>
      <c r="K66" t="s">
        <v>105</v>
      </c>
    </row>
    <row r="67" spans="1:11" x14ac:dyDescent="0.25">
      <c r="A67" t="s">
        <v>102</v>
      </c>
      <c r="B67" t="s">
        <v>5</v>
      </c>
      <c r="C67" t="s">
        <v>115</v>
      </c>
      <c r="D67">
        <v>201511</v>
      </c>
      <c r="E67" s="1">
        <v>42305</v>
      </c>
      <c r="F67" s="1">
        <v>42339</v>
      </c>
      <c r="G67" t="s">
        <v>116</v>
      </c>
      <c r="H67" s="2">
        <v>374</v>
      </c>
      <c r="I67" t="s">
        <v>6</v>
      </c>
      <c r="J67" s="4">
        <v>22.62</v>
      </c>
      <c r="K67" t="s">
        <v>105</v>
      </c>
    </row>
    <row r="68" spans="1:11" x14ac:dyDescent="0.25">
      <c r="A68" t="s">
        <v>102</v>
      </c>
      <c r="B68" t="s">
        <v>5</v>
      </c>
      <c r="C68" t="s">
        <v>115</v>
      </c>
      <c r="D68">
        <v>201512</v>
      </c>
      <c r="E68" s="1">
        <v>42339</v>
      </c>
      <c r="F68" s="1">
        <v>42369</v>
      </c>
      <c r="G68" t="s">
        <v>116</v>
      </c>
      <c r="H68" s="2">
        <v>331</v>
      </c>
      <c r="I68" t="s">
        <v>6</v>
      </c>
      <c r="J68" s="4">
        <v>20.91</v>
      </c>
      <c r="K68" t="s">
        <v>105</v>
      </c>
    </row>
    <row r="69" spans="1:11" x14ac:dyDescent="0.25">
      <c r="A69" t="s">
        <v>102</v>
      </c>
      <c r="B69" t="s">
        <v>5</v>
      </c>
      <c r="C69" t="s">
        <v>115</v>
      </c>
      <c r="D69">
        <v>201601</v>
      </c>
      <c r="E69" s="1">
        <v>42369</v>
      </c>
      <c r="F69" s="1">
        <v>42401</v>
      </c>
      <c r="G69" t="s">
        <v>116</v>
      </c>
      <c r="H69" s="2">
        <v>373</v>
      </c>
      <c r="I69" t="s">
        <v>6</v>
      </c>
      <c r="J69" s="4">
        <v>23.33</v>
      </c>
      <c r="K69" t="s">
        <v>105</v>
      </c>
    </row>
    <row r="70" spans="1:11" x14ac:dyDescent="0.25">
      <c r="A70" t="s">
        <v>102</v>
      </c>
      <c r="B70" t="s">
        <v>5</v>
      </c>
      <c r="C70" t="s">
        <v>115</v>
      </c>
      <c r="D70">
        <v>201602</v>
      </c>
      <c r="E70" s="1">
        <v>42401</v>
      </c>
      <c r="F70" s="1">
        <v>42430</v>
      </c>
      <c r="G70" t="s">
        <v>116</v>
      </c>
      <c r="H70" s="2">
        <v>333</v>
      </c>
      <c r="I70" t="s">
        <v>6</v>
      </c>
      <c r="J70" s="4">
        <v>20.32</v>
      </c>
      <c r="K70" t="s">
        <v>105</v>
      </c>
    </row>
    <row r="71" spans="1:11" x14ac:dyDescent="0.25">
      <c r="A71" t="s">
        <v>102</v>
      </c>
      <c r="B71" t="s">
        <v>5</v>
      </c>
      <c r="C71" t="s">
        <v>115</v>
      </c>
      <c r="D71">
        <v>201603</v>
      </c>
      <c r="E71" s="1">
        <v>42430</v>
      </c>
      <c r="F71" s="1">
        <v>42460</v>
      </c>
      <c r="G71" t="s">
        <v>116</v>
      </c>
      <c r="H71" s="2">
        <v>338</v>
      </c>
      <c r="I71" t="s">
        <v>6</v>
      </c>
      <c r="J71" s="4">
        <v>21.7</v>
      </c>
      <c r="K71" t="s">
        <v>105</v>
      </c>
    </row>
    <row r="72" spans="1:11" x14ac:dyDescent="0.25">
      <c r="A72" t="s">
        <v>102</v>
      </c>
      <c r="B72" t="s">
        <v>5</v>
      </c>
      <c r="C72" t="s">
        <v>115</v>
      </c>
      <c r="D72">
        <v>201604</v>
      </c>
      <c r="E72" s="1">
        <v>42460</v>
      </c>
      <c r="F72" s="1">
        <v>42489</v>
      </c>
      <c r="G72" t="s">
        <v>116</v>
      </c>
      <c r="H72" s="2">
        <v>330</v>
      </c>
      <c r="I72" t="s">
        <v>6</v>
      </c>
      <c r="J72" s="4">
        <v>19.88</v>
      </c>
      <c r="K72" t="s">
        <v>105</v>
      </c>
    </row>
    <row r="73" spans="1:11" x14ac:dyDescent="0.25">
      <c r="A73" t="s">
        <v>102</v>
      </c>
      <c r="B73" t="s">
        <v>5</v>
      </c>
      <c r="C73" t="s">
        <v>115</v>
      </c>
      <c r="D73">
        <v>201605</v>
      </c>
      <c r="E73" s="1">
        <v>42489</v>
      </c>
      <c r="F73" s="1">
        <v>42521</v>
      </c>
      <c r="G73" t="s">
        <v>116</v>
      </c>
      <c r="H73" s="2">
        <v>148</v>
      </c>
      <c r="I73" t="s">
        <v>6</v>
      </c>
      <c r="J73" s="4">
        <v>9.2100000000000009</v>
      </c>
      <c r="K73" t="s">
        <v>105</v>
      </c>
    </row>
    <row r="74" spans="1:11" ht="15.75" thickBot="1" x14ac:dyDescent="0.3">
      <c r="A74" t="s">
        <v>102</v>
      </c>
      <c r="B74" t="s">
        <v>5</v>
      </c>
      <c r="C74" t="s">
        <v>115</v>
      </c>
      <c r="D74">
        <v>201606</v>
      </c>
      <c r="E74" s="1">
        <v>42521</v>
      </c>
      <c r="F74" s="1">
        <v>42550</v>
      </c>
      <c r="G74" t="s">
        <v>116</v>
      </c>
      <c r="H74" s="2">
        <v>0</v>
      </c>
      <c r="I74" t="s">
        <v>6</v>
      </c>
      <c r="J74" s="4">
        <v>0</v>
      </c>
      <c r="K74" t="s">
        <v>105</v>
      </c>
    </row>
    <row r="75" spans="1:11" ht="15.75" thickBot="1" x14ac:dyDescent="0.3">
      <c r="G75" s="20" t="s">
        <v>610</v>
      </c>
      <c r="H75" s="80">
        <f>SUM(H3:H74)</f>
        <v>417643</v>
      </c>
      <c r="I75" t="s">
        <v>6</v>
      </c>
      <c r="J75" s="79">
        <f>SUM(J3:J74)</f>
        <v>25409.019999999993</v>
      </c>
    </row>
    <row r="77" spans="1:11" x14ac:dyDescent="0.25">
      <c r="J77"/>
    </row>
    <row r="164" spans="8:10" x14ac:dyDescent="0.25">
      <c r="H164"/>
      <c r="J164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L155"/>
  <sheetViews>
    <sheetView workbookViewId="0">
      <selection activeCell="H39" sqref="H39"/>
    </sheetView>
  </sheetViews>
  <sheetFormatPr defaultColWidth="8.85546875" defaultRowHeight="15" x14ac:dyDescent="0.25"/>
  <cols>
    <col min="1" max="1" width="15.42578125" bestFit="1" customWidth="1"/>
    <col min="2" max="2" width="14.42578125" bestFit="1" customWidth="1"/>
    <col min="3" max="3" width="20.42578125" bestFit="1" customWidth="1"/>
    <col min="4" max="4" width="7" bestFit="1" customWidth="1"/>
    <col min="5" max="5" width="9.7109375" bestFit="1" customWidth="1"/>
    <col min="6" max="6" width="10.7109375" bestFit="1" customWidth="1"/>
    <col min="7" max="7" width="25.7109375" bestFit="1" customWidth="1"/>
    <col min="8" max="8" width="9.140625" style="2" bestFit="1" customWidth="1"/>
    <col min="9" max="9" width="7.85546875" bestFit="1" customWidth="1"/>
    <col min="10" max="10" width="11.140625" style="4" bestFit="1" customWidth="1"/>
  </cols>
  <sheetData>
    <row r="1" spans="1:10" x14ac:dyDescent="0.25">
      <c r="A1" s="12" t="s">
        <v>614</v>
      </c>
    </row>
    <row r="3" spans="1:10" x14ac:dyDescent="0.25">
      <c r="A3" t="s">
        <v>175</v>
      </c>
      <c r="B3" t="s">
        <v>5</v>
      </c>
      <c r="C3" t="s">
        <v>733</v>
      </c>
      <c r="D3">
        <v>201507</v>
      </c>
      <c r="E3" s="1">
        <v>42186</v>
      </c>
      <c r="F3" s="1">
        <v>42217</v>
      </c>
      <c r="G3" t="s">
        <v>733</v>
      </c>
      <c r="H3" s="81">
        <v>349294</v>
      </c>
      <c r="I3" t="s">
        <v>6</v>
      </c>
      <c r="J3" s="3">
        <v>30509.43</v>
      </c>
    </row>
    <row r="4" spans="1:10" x14ac:dyDescent="0.25">
      <c r="A4" t="s">
        <v>175</v>
      </c>
      <c r="B4" t="s">
        <v>5</v>
      </c>
      <c r="C4" t="s">
        <v>733</v>
      </c>
      <c r="D4">
        <v>201508</v>
      </c>
      <c r="E4" s="1">
        <v>42217</v>
      </c>
      <c r="F4" s="1">
        <v>42248</v>
      </c>
      <c r="G4" t="s">
        <v>733</v>
      </c>
      <c r="H4" s="81">
        <v>332465</v>
      </c>
      <c r="I4" t="s">
        <v>6</v>
      </c>
      <c r="J4" s="3">
        <v>29039.48</v>
      </c>
    </row>
    <row r="5" spans="1:10" x14ac:dyDescent="0.25">
      <c r="A5" t="s">
        <v>175</v>
      </c>
      <c r="B5" t="s">
        <v>5</v>
      </c>
      <c r="C5" t="s">
        <v>733</v>
      </c>
      <c r="D5">
        <v>201509</v>
      </c>
      <c r="E5" s="1">
        <v>42248</v>
      </c>
      <c r="F5" s="1">
        <v>42278</v>
      </c>
      <c r="G5" t="s">
        <v>733</v>
      </c>
      <c r="H5" s="81">
        <v>155200</v>
      </c>
      <c r="I5" t="s">
        <v>6</v>
      </c>
      <c r="J5" s="3">
        <v>13556.1</v>
      </c>
    </row>
    <row r="6" spans="1:10" x14ac:dyDescent="0.25">
      <c r="A6" t="s">
        <v>175</v>
      </c>
      <c r="B6" t="s">
        <v>5</v>
      </c>
      <c r="C6" t="s">
        <v>733</v>
      </c>
      <c r="D6">
        <v>201510</v>
      </c>
      <c r="E6" s="1">
        <v>42278</v>
      </c>
      <c r="F6" s="1">
        <v>42309</v>
      </c>
      <c r="G6" t="s">
        <v>733</v>
      </c>
      <c r="H6" s="81">
        <v>204009</v>
      </c>
      <c r="I6" t="s">
        <v>6</v>
      </c>
      <c r="J6" s="3">
        <v>17819.37</v>
      </c>
    </row>
    <row r="7" spans="1:10" x14ac:dyDescent="0.25">
      <c r="A7" t="s">
        <v>175</v>
      </c>
      <c r="B7" t="s">
        <v>5</v>
      </c>
      <c r="C7" t="s">
        <v>733</v>
      </c>
      <c r="D7">
        <v>201511</v>
      </c>
      <c r="E7" s="1">
        <v>42309</v>
      </c>
      <c r="F7" s="1">
        <v>42339</v>
      </c>
      <c r="G7" t="s">
        <v>733</v>
      </c>
      <c r="H7" s="81">
        <v>114499</v>
      </c>
      <c r="I7" t="s">
        <v>6</v>
      </c>
      <c r="J7" s="3">
        <v>10001.030000000001</v>
      </c>
    </row>
    <row r="8" spans="1:10" x14ac:dyDescent="0.25">
      <c r="A8" t="s">
        <v>175</v>
      </c>
      <c r="B8" t="s">
        <v>5</v>
      </c>
      <c r="C8" t="s">
        <v>733</v>
      </c>
      <c r="D8">
        <v>201512</v>
      </c>
      <c r="E8" s="1">
        <v>42339</v>
      </c>
      <c r="F8" s="1">
        <v>42370</v>
      </c>
      <c r="G8" t="s">
        <v>733</v>
      </c>
      <c r="H8" s="81">
        <v>127567</v>
      </c>
      <c r="I8" t="s">
        <v>6</v>
      </c>
      <c r="J8" s="3">
        <v>11142.46</v>
      </c>
    </row>
    <row r="9" spans="1:10" x14ac:dyDescent="0.25">
      <c r="A9" t="s">
        <v>175</v>
      </c>
      <c r="B9" t="s">
        <v>5</v>
      </c>
      <c r="C9" t="s">
        <v>733</v>
      </c>
      <c r="D9">
        <v>201601</v>
      </c>
      <c r="E9" s="1">
        <v>42370</v>
      </c>
      <c r="F9" s="1">
        <v>42401</v>
      </c>
      <c r="G9" t="s">
        <v>733</v>
      </c>
      <c r="H9" s="81">
        <v>105569</v>
      </c>
      <c r="I9" t="s">
        <v>6</v>
      </c>
      <c r="J9" s="3">
        <v>9221.0300000000007</v>
      </c>
    </row>
    <row r="10" spans="1:10" x14ac:dyDescent="0.25">
      <c r="A10" t="s">
        <v>175</v>
      </c>
      <c r="B10" t="s">
        <v>5</v>
      </c>
      <c r="C10" t="s">
        <v>733</v>
      </c>
      <c r="D10">
        <v>201602</v>
      </c>
      <c r="E10" s="1">
        <v>42401</v>
      </c>
      <c r="F10" s="1">
        <v>42430</v>
      </c>
      <c r="G10" t="s">
        <v>733</v>
      </c>
      <c r="H10" s="81">
        <v>91671</v>
      </c>
      <c r="I10" t="s">
        <v>6</v>
      </c>
      <c r="J10" s="3">
        <v>8007.09</v>
      </c>
    </row>
    <row r="11" spans="1:10" x14ac:dyDescent="0.25">
      <c r="A11" t="s">
        <v>175</v>
      </c>
      <c r="B11" t="s">
        <v>5</v>
      </c>
      <c r="C11" t="s">
        <v>733</v>
      </c>
      <c r="D11">
        <v>201603</v>
      </c>
      <c r="E11" s="1">
        <v>42430</v>
      </c>
      <c r="F11" s="1">
        <v>42461</v>
      </c>
      <c r="G11" t="s">
        <v>733</v>
      </c>
      <c r="H11" s="81">
        <v>83173</v>
      </c>
      <c r="I11" t="s">
        <v>6</v>
      </c>
      <c r="J11" s="3">
        <v>7264.83</v>
      </c>
    </row>
    <row r="12" spans="1:10" x14ac:dyDescent="0.25">
      <c r="A12" t="s">
        <v>175</v>
      </c>
      <c r="B12" t="s">
        <v>5</v>
      </c>
      <c r="C12" t="s">
        <v>733</v>
      </c>
      <c r="D12">
        <v>201604</v>
      </c>
      <c r="E12" s="1">
        <v>42461</v>
      </c>
      <c r="F12" s="1">
        <v>42491</v>
      </c>
      <c r="G12" t="s">
        <v>733</v>
      </c>
      <c r="H12" s="81">
        <v>85064</v>
      </c>
      <c r="I12" t="s">
        <v>6</v>
      </c>
      <c r="J12" s="3">
        <v>7430</v>
      </c>
    </row>
    <row r="13" spans="1:10" x14ac:dyDescent="0.25">
      <c r="A13" t="s">
        <v>175</v>
      </c>
      <c r="B13" t="s">
        <v>5</v>
      </c>
      <c r="C13" t="s">
        <v>733</v>
      </c>
      <c r="D13">
        <v>201605</v>
      </c>
      <c r="E13" s="1">
        <v>42491</v>
      </c>
      <c r="F13" s="1">
        <v>42522</v>
      </c>
      <c r="G13" t="s">
        <v>733</v>
      </c>
      <c r="H13" s="81">
        <v>127887</v>
      </c>
      <c r="I13" t="s">
        <v>6</v>
      </c>
      <c r="J13" s="3">
        <v>11170.42</v>
      </c>
    </row>
    <row r="14" spans="1:10" x14ac:dyDescent="0.25">
      <c r="A14" t="s">
        <v>175</v>
      </c>
      <c r="B14" t="s">
        <v>5</v>
      </c>
      <c r="C14" t="s">
        <v>733</v>
      </c>
      <c r="D14">
        <v>201606</v>
      </c>
      <c r="E14" s="1">
        <v>42522</v>
      </c>
      <c r="F14" s="1">
        <v>42552</v>
      </c>
      <c r="G14" t="s">
        <v>733</v>
      </c>
      <c r="H14" s="81">
        <v>158793</v>
      </c>
      <c r="I14" t="s">
        <v>6</v>
      </c>
      <c r="J14" s="3">
        <v>13869.93</v>
      </c>
    </row>
    <row r="15" spans="1:10" x14ac:dyDescent="0.25">
      <c r="A15" t="s">
        <v>130</v>
      </c>
      <c r="B15" t="s">
        <v>5</v>
      </c>
      <c r="C15" t="s">
        <v>234</v>
      </c>
      <c r="D15">
        <v>201507</v>
      </c>
      <c r="E15" s="1">
        <v>42186</v>
      </c>
      <c r="F15" s="1">
        <v>42217</v>
      </c>
      <c r="G15" t="s">
        <v>234</v>
      </c>
      <c r="H15" s="81">
        <v>269909</v>
      </c>
      <c r="I15" t="s">
        <v>6</v>
      </c>
      <c r="J15" s="3">
        <v>26496.45</v>
      </c>
    </row>
    <row r="16" spans="1:10" x14ac:dyDescent="0.25">
      <c r="A16" t="s">
        <v>130</v>
      </c>
      <c r="B16" t="s">
        <v>5</v>
      </c>
      <c r="C16" t="s">
        <v>234</v>
      </c>
      <c r="D16">
        <v>201508</v>
      </c>
      <c r="E16" s="1">
        <v>42217</v>
      </c>
      <c r="F16" s="1">
        <v>42248</v>
      </c>
      <c r="G16" t="s">
        <v>234</v>
      </c>
      <c r="H16" s="81">
        <v>256905</v>
      </c>
      <c r="I16" t="s">
        <v>6</v>
      </c>
      <c r="J16" s="3">
        <v>25278.61</v>
      </c>
    </row>
    <row r="17" spans="1:10" x14ac:dyDescent="0.25">
      <c r="A17" t="s">
        <v>130</v>
      </c>
      <c r="B17" t="s">
        <v>5</v>
      </c>
      <c r="C17" t="s">
        <v>234</v>
      </c>
      <c r="D17">
        <v>201509</v>
      </c>
      <c r="E17" s="1">
        <v>42248</v>
      </c>
      <c r="F17" s="1">
        <v>42278</v>
      </c>
      <c r="G17" t="s">
        <v>234</v>
      </c>
      <c r="H17" s="81">
        <v>348899</v>
      </c>
      <c r="I17" t="s">
        <v>6</v>
      </c>
      <c r="J17" s="3">
        <v>34788.28</v>
      </c>
    </row>
    <row r="18" spans="1:10" x14ac:dyDescent="0.25">
      <c r="A18" t="s">
        <v>130</v>
      </c>
      <c r="B18" t="s">
        <v>5</v>
      </c>
      <c r="C18" t="s">
        <v>234</v>
      </c>
      <c r="D18">
        <v>201510</v>
      </c>
      <c r="E18" s="1">
        <v>42278</v>
      </c>
      <c r="F18" s="1">
        <v>42309</v>
      </c>
      <c r="G18" t="s">
        <v>234</v>
      </c>
      <c r="H18" s="81">
        <v>241435</v>
      </c>
      <c r="I18" t="s">
        <v>6</v>
      </c>
      <c r="J18" s="3">
        <v>24037.05</v>
      </c>
    </row>
    <row r="19" spans="1:10" x14ac:dyDescent="0.25">
      <c r="A19" t="s">
        <v>130</v>
      </c>
      <c r="B19" t="s">
        <v>5</v>
      </c>
      <c r="C19" t="s">
        <v>234</v>
      </c>
      <c r="D19">
        <v>201511</v>
      </c>
      <c r="E19" s="1">
        <v>42309</v>
      </c>
      <c r="F19" s="1">
        <v>42339</v>
      </c>
      <c r="G19" t="s">
        <v>234</v>
      </c>
      <c r="H19" s="81">
        <v>298658</v>
      </c>
      <c r="I19" t="s">
        <v>6</v>
      </c>
      <c r="J19" s="3">
        <v>29017.58</v>
      </c>
    </row>
    <row r="20" spans="1:10" x14ac:dyDescent="0.25">
      <c r="A20" t="s">
        <v>130</v>
      </c>
      <c r="B20" t="s">
        <v>5</v>
      </c>
      <c r="C20" t="s">
        <v>234</v>
      </c>
      <c r="D20">
        <v>201512</v>
      </c>
      <c r="E20" s="1">
        <v>42339</v>
      </c>
      <c r="F20" s="1">
        <v>42370</v>
      </c>
      <c r="G20" t="s">
        <v>234</v>
      </c>
      <c r="H20" s="81">
        <v>304270</v>
      </c>
      <c r="I20" t="s">
        <v>6</v>
      </c>
      <c r="J20" s="3">
        <v>26652.46</v>
      </c>
    </row>
    <row r="21" spans="1:10" x14ac:dyDescent="0.25">
      <c r="A21" t="s">
        <v>130</v>
      </c>
      <c r="B21" t="s">
        <v>5</v>
      </c>
      <c r="C21" t="s">
        <v>234</v>
      </c>
      <c r="D21">
        <v>201601</v>
      </c>
      <c r="E21" s="1">
        <v>42370</v>
      </c>
      <c r="F21" s="1">
        <v>42401</v>
      </c>
      <c r="G21" t="s">
        <v>234</v>
      </c>
      <c r="H21" s="81">
        <v>258788</v>
      </c>
      <c r="I21" t="s">
        <v>6</v>
      </c>
      <c r="J21" s="3">
        <v>22119.4</v>
      </c>
    </row>
    <row r="22" spans="1:10" x14ac:dyDescent="0.25">
      <c r="A22" t="s">
        <v>130</v>
      </c>
      <c r="B22" t="s">
        <v>5</v>
      </c>
      <c r="C22" t="s">
        <v>234</v>
      </c>
      <c r="D22">
        <v>201602</v>
      </c>
      <c r="E22" s="1">
        <v>42401</v>
      </c>
      <c r="F22" s="1">
        <v>42430</v>
      </c>
      <c r="G22" t="s">
        <v>234</v>
      </c>
      <c r="H22" s="81">
        <v>243730</v>
      </c>
      <c r="I22" t="s">
        <v>6</v>
      </c>
      <c r="J22" s="3">
        <v>21311.05</v>
      </c>
    </row>
    <row r="23" spans="1:10" x14ac:dyDescent="0.25">
      <c r="A23" t="s">
        <v>130</v>
      </c>
      <c r="B23" t="s">
        <v>5</v>
      </c>
      <c r="C23" t="s">
        <v>234</v>
      </c>
      <c r="D23">
        <v>201603</v>
      </c>
      <c r="E23" s="1">
        <v>42430</v>
      </c>
      <c r="F23" s="1">
        <v>42461</v>
      </c>
      <c r="G23" t="s">
        <v>234</v>
      </c>
      <c r="H23" s="81">
        <v>313856</v>
      </c>
      <c r="I23" t="s">
        <v>6</v>
      </c>
      <c r="J23" s="3">
        <v>27456.53</v>
      </c>
    </row>
    <row r="24" spans="1:10" x14ac:dyDescent="0.25">
      <c r="A24" t="s">
        <v>130</v>
      </c>
      <c r="B24" t="s">
        <v>5</v>
      </c>
      <c r="C24" t="s">
        <v>234</v>
      </c>
      <c r="D24">
        <v>201604</v>
      </c>
      <c r="E24" s="1">
        <v>42461</v>
      </c>
      <c r="F24" s="1">
        <v>42491</v>
      </c>
      <c r="G24" t="s">
        <v>234</v>
      </c>
      <c r="H24" s="81">
        <v>325510</v>
      </c>
      <c r="I24" t="s">
        <v>6</v>
      </c>
      <c r="J24" s="3">
        <v>28914.080000000002</v>
      </c>
    </row>
    <row r="25" spans="1:10" x14ac:dyDescent="0.25">
      <c r="A25" t="s">
        <v>130</v>
      </c>
      <c r="B25" t="s">
        <v>5</v>
      </c>
      <c r="C25" t="s">
        <v>234</v>
      </c>
      <c r="D25">
        <v>201605</v>
      </c>
      <c r="E25" s="1">
        <v>42491</v>
      </c>
      <c r="F25" s="1">
        <v>42522</v>
      </c>
      <c r="G25" t="s">
        <v>234</v>
      </c>
      <c r="H25" s="81">
        <v>350799</v>
      </c>
      <c r="I25" t="s">
        <v>6</v>
      </c>
      <c r="J25" s="3">
        <v>31160.43</v>
      </c>
    </row>
    <row r="26" spans="1:10" x14ac:dyDescent="0.25">
      <c r="A26" t="s">
        <v>130</v>
      </c>
      <c r="B26" t="s">
        <v>5</v>
      </c>
      <c r="C26" t="s">
        <v>234</v>
      </c>
      <c r="D26">
        <v>201606</v>
      </c>
      <c r="E26" s="1">
        <v>42522</v>
      </c>
      <c r="F26" s="1">
        <v>42552</v>
      </c>
      <c r="G26" t="s">
        <v>234</v>
      </c>
      <c r="H26" s="81">
        <v>362906</v>
      </c>
      <c r="I26" t="s">
        <v>6</v>
      </c>
      <c r="J26" s="3">
        <v>31698.38</v>
      </c>
    </row>
    <row r="27" spans="1:10" x14ac:dyDescent="0.25">
      <c r="A27" t="s">
        <v>186</v>
      </c>
      <c r="B27" t="s">
        <v>5</v>
      </c>
      <c r="C27" t="s">
        <v>235</v>
      </c>
      <c r="D27">
        <v>201507</v>
      </c>
      <c r="E27" s="1">
        <v>42186</v>
      </c>
      <c r="F27" s="1">
        <v>42217</v>
      </c>
      <c r="G27" t="s">
        <v>235</v>
      </c>
      <c r="H27" s="81">
        <v>158770</v>
      </c>
      <c r="I27" t="s">
        <v>6</v>
      </c>
      <c r="J27" s="3">
        <v>15586.15</v>
      </c>
    </row>
    <row r="28" spans="1:10" x14ac:dyDescent="0.25">
      <c r="A28" t="s">
        <v>186</v>
      </c>
      <c r="B28" t="s">
        <v>5</v>
      </c>
      <c r="C28" t="s">
        <v>235</v>
      </c>
      <c r="D28">
        <v>201508</v>
      </c>
      <c r="E28" s="1">
        <v>42217</v>
      </c>
      <c r="F28" s="1">
        <v>42248</v>
      </c>
      <c r="G28" t="s">
        <v>235</v>
      </c>
      <c r="H28" s="81">
        <v>151121</v>
      </c>
      <c r="I28" t="s">
        <v>6</v>
      </c>
      <c r="J28" s="3">
        <v>14869.81</v>
      </c>
    </row>
    <row r="29" spans="1:10" x14ac:dyDescent="0.25">
      <c r="A29" t="s">
        <v>186</v>
      </c>
      <c r="B29" t="s">
        <v>5</v>
      </c>
      <c r="C29" t="s">
        <v>235</v>
      </c>
      <c r="D29">
        <v>201509</v>
      </c>
      <c r="E29" s="1">
        <v>42248</v>
      </c>
      <c r="F29" s="1">
        <v>42278</v>
      </c>
      <c r="G29" t="s">
        <v>235</v>
      </c>
      <c r="H29" s="81">
        <v>183324</v>
      </c>
      <c r="I29" t="s">
        <v>6</v>
      </c>
      <c r="J29" s="3">
        <v>18445.060000000001</v>
      </c>
    </row>
    <row r="30" spans="1:10" x14ac:dyDescent="0.25">
      <c r="A30" t="s">
        <v>186</v>
      </c>
      <c r="B30" t="s">
        <v>5</v>
      </c>
      <c r="C30" t="s">
        <v>235</v>
      </c>
      <c r="D30">
        <v>201510</v>
      </c>
      <c r="E30" s="1">
        <v>42278</v>
      </c>
      <c r="F30" s="1">
        <v>42309</v>
      </c>
      <c r="G30" t="s">
        <v>235</v>
      </c>
      <c r="H30" s="81">
        <v>110119</v>
      </c>
      <c r="I30" t="s">
        <v>6</v>
      </c>
      <c r="J30" s="3">
        <v>11145.65</v>
      </c>
    </row>
    <row r="31" spans="1:10" x14ac:dyDescent="0.25">
      <c r="A31" t="s">
        <v>186</v>
      </c>
      <c r="B31" t="s">
        <v>5</v>
      </c>
      <c r="C31" t="s">
        <v>235</v>
      </c>
      <c r="D31">
        <v>201511</v>
      </c>
      <c r="E31" s="1">
        <v>42309</v>
      </c>
      <c r="F31" s="1">
        <v>42339</v>
      </c>
      <c r="G31" t="s">
        <v>235</v>
      </c>
      <c r="H31" s="81">
        <v>151179</v>
      </c>
      <c r="I31" t="s">
        <v>6</v>
      </c>
      <c r="J31" s="3">
        <v>15308.84</v>
      </c>
    </row>
    <row r="32" spans="1:10" x14ac:dyDescent="0.25">
      <c r="A32" t="s">
        <v>186</v>
      </c>
      <c r="B32" t="s">
        <v>5</v>
      </c>
      <c r="C32" t="s">
        <v>235</v>
      </c>
      <c r="D32">
        <v>201512</v>
      </c>
      <c r="E32" s="1">
        <v>42339</v>
      </c>
      <c r="F32" s="1">
        <v>42370</v>
      </c>
      <c r="G32" t="s">
        <v>235</v>
      </c>
      <c r="H32" s="81">
        <v>139394</v>
      </c>
      <c r="I32" t="s">
        <v>6</v>
      </c>
      <c r="J32" s="3">
        <v>12419.98</v>
      </c>
    </row>
    <row r="33" spans="1:10" x14ac:dyDescent="0.25">
      <c r="A33" t="s">
        <v>186</v>
      </c>
      <c r="B33" t="s">
        <v>5</v>
      </c>
      <c r="C33" t="s">
        <v>235</v>
      </c>
      <c r="D33">
        <v>201601</v>
      </c>
      <c r="E33" s="1">
        <v>42370</v>
      </c>
      <c r="F33" s="1">
        <v>42401</v>
      </c>
      <c r="G33" t="s">
        <v>235</v>
      </c>
      <c r="H33" s="81">
        <v>136400</v>
      </c>
      <c r="I33" t="s">
        <v>6</v>
      </c>
      <c r="J33" s="3">
        <v>12000.9</v>
      </c>
    </row>
    <row r="34" spans="1:10" x14ac:dyDescent="0.25">
      <c r="A34" t="s">
        <v>186</v>
      </c>
      <c r="B34" t="s">
        <v>5</v>
      </c>
      <c r="C34" t="s">
        <v>235</v>
      </c>
      <c r="D34">
        <v>201602</v>
      </c>
      <c r="E34" s="1">
        <v>42401</v>
      </c>
      <c r="F34" s="1">
        <v>42430</v>
      </c>
      <c r="G34" t="s">
        <v>235</v>
      </c>
      <c r="H34" s="81">
        <v>134808</v>
      </c>
      <c r="I34" t="s">
        <v>6</v>
      </c>
      <c r="J34" s="3">
        <v>11994.81</v>
      </c>
    </row>
    <row r="35" spans="1:10" x14ac:dyDescent="0.25">
      <c r="A35" t="s">
        <v>186</v>
      </c>
      <c r="B35" t="s">
        <v>5</v>
      </c>
      <c r="C35" t="s">
        <v>235</v>
      </c>
      <c r="D35">
        <v>201603</v>
      </c>
      <c r="E35" s="1">
        <v>42430</v>
      </c>
      <c r="F35" s="1">
        <v>42461</v>
      </c>
      <c r="G35" t="s">
        <v>235</v>
      </c>
      <c r="H35" s="81">
        <v>134172</v>
      </c>
      <c r="I35" t="s">
        <v>6</v>
      </c>
      <c r="J35" s="3">
        <v>11736.18</v>
      </c>
    </row>
    <row r="36" spans="1:10" x14ac:dyDescent="0.25">
      <c r="A36" t="s">
        <v>186</v>
      </c>
      <c r="B36" t="s">
        <v>5</v>
      </c>
      <c r="C36" t="s">
        <v>235</v>
      </c>
      <c r="D36">
        <v>201604</v>
      </c>
      <c r="E36" s="1">
        <v>42461</v>
      </c>
      <c r="F36" s="1">
        <v>42491</v>
      </c>
      <c r="G36" t="s">
        <v>235</v>
      </c>
      <c r="H36" s="81">
        <v>145113</v>
      </c>
      <c r="I36" t="s">
        <v>6</v>
      </c>
      <c r="J36" s="3">
        <v>12810.43</v>
      </c>
    </row>
    <row r="37" spans="1:10" x14ac:dyDescent="0.25">
      <c r="A37" t="s">
        <v>186</v>
      </c>
      <c r="B37" t="s">
        <v>5</v>
      </c>
      <c r="C37" t="s">
        <v>235</v>
      </c>
      <c r="D37">
        <v>201605</v>
      </c>
      <c r="E37" s="1">
        <v>42491</v>
      </c>
      <c r="F37" s="1">
        <v>42522</v>
      </c>
      <c r="G37" t="s">
        <v>235</v>
      </c>
      <c r="H37" s="81">
        <v>161197</v>
      </c>
      <c r="I37" t="s">
        <v>6</v>
      </c>
      <c r="J37" s="3">
        <v>14230.31</v>
      </c>
    </row>
    <row r="38" spans="1:10" ht="15.75" thickBot="1" x14ac:dyDescent="0.3">
      <c r="A38" t="s">
        <v>186</v>
      </c>
      <c r="B38" t="s">
        <v>5</v>
      </c>
      <c r="C38" t="s">
        <v>235</v>
      </c>
      <c r="D38">
        <v>201606</v>
      </c>
      <c r="E38" s="1">
        <v>42522</v>
      </c>
      <c r="F38" s="1">
        <v>42552</v>
      </c>
      <c r="G38" t="s">
        <v>235</v>
      </c>
      <c r="H38" s="81">
        <v>172966</v>
      </c>
      <c r="I38" t="s">
        <v>6</v>
      </c>
      <c r="J38" s="3">
        <v>15557.96</v>
      </c>
    </row>
    <row r="39" spans="1:10" ht="15.75" thickBot="1" x14ac:dyDescent="0.3">
      <c r="H39" s="5">
        <f>SUM(H3:H38)</f>
        <v>7289419</v>
      </c>
      <c r="I39" t="s">
        <v>6</v>
      </c>
      <c r="J39" s="21">
        <f>SUM(J3:J38)</f>
        <v>664067.5500000004</v>
      </c>
    </row>
    <row r="40" spans="1:10" ht="15.75" thickBot="1" x14ac:dyDescent="0.3">
      <c r="H40" s="5">
        <f>7289419*3412/1000000</f>
        <v>24871.497628000001</v>
      </c>
      <c r="I40" t="s">
        <v>12</v>
      </c>
    </row>
    <row r="43" spans="1:10" x14ac:dyDescent="0.25">
      <c r="A43" t="s">
        <v>175</v>
      </c>
      <c r="B43" t="s">
        <v>49</v>
      </c>
      <c r="C43">
        <v>3206209425</v>
      </c>
      <c r="D43">
        <v>201507</v>
      </c>
      <c r="E43" s="1">
        <v>42186</v>
      </c>
      <c r="F43" s="1">
        <v>42216</v>
      </c>
      <c r="G43" t="s">
        <v>176</v>
      </c>
      <c r="H43" s="81">
        <v>1518</v>
      </c>
      <c r="I43" t="s">
        <v>51</v>
      </c>
      <c r="J43" s="3">
        <v>7367.74</v>
      </c>
    </row>
    <row r="44" spans="1:10" x14ac:dyDescent="0.25">
      <c r="A44" t="s">
        <v>175</v>
      </c>
      <c r="B44" t="s">
        <v>49</v>
      </c>
      <c r="C44">
        <v>3206209425</v>
      </c>
      <c r="D44">
        <v>201508</v>
      </c>
      <c r="E44" s="1">
        <v>42217</v>
      </c>
      <c r="F44" s="1">
        <v>42247</v>
      </c>
      <c r="G44" t="s">
        <v>176</v>
      </c>
      <c r="H44" s="81">
        <v>1568</v>
      </c>
      <c r="I44" t="s">
        <v>51</v>
      </c>
      <c r="J44" s="3">
        <v>7610.43</v>
      </c>
    </row>
    <row r="45" spans="1:10" x14ac:dyDescent="0.25">
      <c r="A45" t="s">
        <v>175</v>
      </c>
      <c r="B45" t="s">
        <v>49</v>
      </c>
      <c r="C45">
        <v>3206209425</v>
      </c>
      <c r="D45">
        <v>201509</v>
      </c>
      <c r="E45" s="1">
        <v>42248</v>
      </c>
      <c r="F45" s="1">
        <v>42277</v>
      </c>
      <c r="G45" t="s">
        <v>176</v>
      </c>
      <c r="H45" s="81">
        <v>1567</v>
      </c>
      <c r="I45" t="s">
        <v>51</v>
      </c>
      <c r="J45" s="3">
        <v>7602.38</v>
      </c>
    </row>
    <row r="46" spans="1:10" x14ac:dyDescent="0.25">
      <c r="A46" t="s">
        <v>175</v>
      </c>
      <c r="B46" t="s">
        <v>49</v>
      </c>
      <c r="C46">
        <v>3206209425</v>
      </c>
      <c r="D46">
        <v>201510</v>
      </c>
      <c r="E46" s="1">
        <v>42278</v>
      </c>
      <c r="F46" s="1">
        <v>42308</v>
      </c>
      <c r="G46" t="s">
        <v>176</v>
      </c>
      <c r="H46" s="81">
        <v>1902</v>
      </c>
      <c r="I46" t="s">
        <v>51</v>
      </c>
      <c r="J46" s="3">
        <v>9214.66</v>
      </c>
    </row>
    <row r="47" spans="1:10" x14ac:dyDescent="0.25">
      <c r="A47" t="s">
        <v>175</v>
      </c>
      <c r="B47" t="s">
        <v>49</v>
      </c>
      <c r="C47">
        <v>3206209425</v>
      </c>
      <c r="D47">
        <v>201511</v>
      </c>
      <c r="E47" s="1">
        <v>42309</v>
      </c>
      <c r="F47" s="1">
        <v>42338</v>
      </c>
      <c r="G47" t="s">
        <v>176</v>
      </c>
      <c r="H47" s="81">
        <v>2104</v>
      </c>
      <c r="I47" t="s">
        <v>51</v>
      </c>
      <c r="J47" s="3">
        <v>10182.44</v>
      </c>
    </row>
    <row r="48" spans="1:10" x14ac:dyDescent="0.25">
      <c r="A48" t="s">
        <v>175</v>
      </c>
      <c r="B48" t="s">
        <v>49</v>
      </c>
      <c r="C48">
        <v>3206209425</v>
      </c>
      <c r="D48">
        <v>201512</v>
      </c>
      <c r="E48" s="1">
        <v>42339</v>
      </c>
      <c r="F48" s="1">
        <v>42369</v>
      </c>
      <c r="G48" t="s">
        <v>176</v>
      </c>
      <c r="H48" s="81">
        <v>2304</v>
      </c>
      <c r="I48" t="s">
        <v>51</v>
      </c>
      <c r="J48" s="3">
        <v>11160.65</v>
      </c>
    </row>
    <row r="49" spans="1:10" x14ac:dyDescent="0.25">
      <c r="A49" t="s">
        <v>175</v>
      </c>
      <c r="B49" t="s">
        <v>49</v>
      </c>
      <c r="C49">
        <v>3206209425</v>
      </c>
      <c r="D49">
        <v>201601</v>
      </c>
      <c r="E49" s="1">
        <v>42370</v>
      </c>
      <c r="F49" s="1">
        <v>42400</v>
      </c>
      <c r="G49" t="s">
        <v>176</v>
      </c>
      <c r="H49" s="81">
        <v>3368</v>
      </c>
      <c r="I49" t="s">
        <v>51</v>
      </c>
      <c r="J49" s="3">
        <v>16264.74</v>
      </c>
    </row>
    <row r="50" spans="1:10" x14ac:dyDescent="0.25">
      <c r="A50" t="s">
        <v>175</v>
      </c>
      <c r="B50" t="s">
        <v>49</v>
      </c>
      <c r="C50">
        <v>3206209425</v>
      </c>
      <c r="D50">
        <v>201602</v>
      </c>
      <c r="E50" s="1">
        <v>42401</v>
      </c>
      <c r="F50" s="1">
        <v>42429</v>
      </c>
      <c r="G50" t="s">
        <v>176</v>
      </c>
      <c r="H50" s="81">
        <v>2452</v>
      </c>
      <c r="I50" t="s">
        <v>51</v>
      </c>
      <c r="J50" s="3">
        <v>11871.61</v>
      </c>
    </row>
    <row r="51" spans="1:10" x14ac:dyDescent="0.25">
      <c r="A51" t="s">
        <v>175</v>
      </c>
      <c r="B51" t="s">
        <v>49</v>
      </c>
      <c r="C51">
        <v>3206209425</v>
      </c>
      <c r="D51">
        <v>201603</v>
      </c>
      <c r="E51" s="1">
        <v>42430</v>
      </c>
      <c r="F51" s="1">
        <v>42460</v>
      </c>
      <c r="G51" t="s">
        <v>176</v>
      </c>
      <c r="H51" s="81">
        <v>2347</v>
      </c>
      <c r="I51" t="s">
        <v>51</v>
      </c>
      <c r="J51" s="3">
        <v>11365.67</v>
      </c>
    </row>
    <row r="52" spans="1:10" x14ac:dyDescent="0.25">
      <c r="A52" t="s">
        <v>175</v>
      </c>
      <c r="B52" t="s">
        <v>49</v>
      </c>
      <c r="C52">
        <v>3206209425</v>
      </c>
      <c r="D52">
        <v>201604</v>
      </c>
      <c r="E52" s="1">
        <v>42461</v>
      </c>
      <c r="F52" s="1">
        <v>42490</v>
      </c>
      <c r="G52" t="s">
        <v>176</v>
      </c>
      <c r="H52" s="81">
        <v>1999</v>
      </c>
      <c r="I52" t="s">
        <v>51</v>
      </c>
      <c r="J52" s="3">
        <v>9695.4</v>
      </c>
    </row>
    <row r="53" spans="1:10" x14ac:dyDescent="0.25">
      <c r="A53" t="s">
        <v>175</v>
      </c>
      <c r="B53" t="s">
        <v>49</v>
      </c>
      <c r="C53">
        <v>3206209425</v>
      </c>
      <c r="D53">
        <v>201605</v>
      </c>
      <c r="E53" s="1">
        <v>42491</v>
      </c>
      <c r="F53" s="1">
        <v>42521</v>
      </c>
      <c r="G53" t="s">
        <v>176</v>
      </c>
      <c r="H53" s="81">
        <v>1791</v>
      </c>
      <c r="I53" t="s">
        <v>51</v>
      </c>
      <c r="J53" s="3">
        <v>8697.6299999999992</v>
      </c>
    </row>
    <row r="54" spans="1:10" x14ac:dyDescent="0.25">
      <c r="A54" t="s">
        <v>175</v>
      </c>
      <c r="B54" t="s">
        <v>49</v>
      </c>
      <c r="C54">
        <v>3206209425</v>
      </c>
      <c r="D54">
        <v>201606</v>
      </c>
      <c r="E54" s="1">
        <v>42522</v>
      </c>
      <c r="F54" s="1">
        <v>42551</v>
      </c>
      <c r="G54" t="s">
        <v>176</v>
      </c>
      <c r="H54" s="81">
        <v>1674</v>
      </c>
      <c r="I54" t="s">
        <v>51</v>
      </c>
      <c r="J54" s="3">
        <v>8138.76</v>
      </c>
    </row>
    <row r="55" spans="1:10" x14ac:dyDescent="0.25">
      <c r="A55" t="s">
        <v>130</v>
      </c>
      <c r="B55" t="s">
        <v>49</v>
      </c>
      <c r="C55">
        <v>15197909</v>
      </c>
      <c r="D55">
        <v>201507</v>
      </c>
      <c r="E55" s="1">
        <v>42186</v>
      </c>
      <c r="F55" s="1">
        <v>42216</v>
      </c>
      <c r="G55" t="s">
        <v>131</v>
      </c>
      <c r="H55" s="81">
        <v>231</v>
      </c>
      <c r="I55" t="s">
        <v>51</v>
      </c>
      <c r="J55" s="3">
        <v>1891.96</v>
      </c>
    </row>
    <row r="56" spans="1:10" x14ac:dyDescent="0.25">
      <c r="A56" t="s">
        <v>130</v>
      </c>
      <c r="B56" t="s">
        <v>49</v>
      </c>
      <c r="C56">
        <v>15197909</v>
      </c>
      <c r="D56">
        <v>201508</v>
      </c>
      <c r="E56" s="1">
        <v>42217</v>
      </c>
      <c r="F56" s="1">
        <v>42247</v>
      </c>
      <c r="G56" t="s">
        <v>131</v>
      </c>
      <c r="H56" s="81">
        <v>282</v>
      </c>
      <c r="I56" t="s">
        <v>51</v>
      </c>
      <c r="J56" s="3">
        <v>2123.02</v>
      </c>
    </row>
    <row r="57" spans="1:10" x14ac:dyDescent="0.25">
      <c r="A57" t="s">
        <v>130</v>
      </c>
      <c r="B57" t="s">
        <v>49</v>
      </c>
      <c r="C57">
        <v>15197909</v>
      </c>
      <c r="D57">
        <v>201509</v>
      </c>
      <c r="E57" s="1">
        <v>42248</v>
      </c>
      <c r="F57" s="1">
        <v>42277</v>
      </c>
      <c r="G57" t="s">
        <v>131</v>
      </c>
      <c r="H57" s="81">
        <v>290</v>
      </c>
      <c r="I57" t="s">
        <v>51</v>
      </c>
      <c r="J57" s="3">
        <v>2153.3200000000002</v>
      </c>
    </row>
    <row r="58" spans="1:10" x14ac:dyDescent="0.25">
      <c r="A58" t="s">
        <v>130</v>
      </c>
      <c r="B58" t="s">
        <v>49</v>
      </c>
      <c r="C58">
        <v>15197909</v>
      </c>
      <c r="D58">
        <v>201510</v>
      </c>
      <c r="E58" s="1">
        <v>42278</v>
      </c>
      <c r="F58" s="1">
        <v>42308</v>
      </c>
      <c r="G58" t="s">
        <v>131</v>
      </c>
      <c r="H58" s="81">
        <v>1061</v>
      </c>
      <c r="I58" t="s">
        <v>51</v>
      </c>
      <c r="J58" s="3">
        <v>5965.66</v>
      </c>
    </row>
    <row r="59" spans="1:10" x14ac:dyDescent="0.25">
      <c r="A59" t="s">
        <v>130</v>
      </c>
      <c r="B59" t="s">
        <v>49</v>
      </c>
      <c r="C59">
        <v>15197909</v>
      </c>
      <c r="D59">
        <v>201511</v>
      </c>
      <c r="E59" s="1">
        <v>42309</v>
      </c>
      <c r="F59" s="1">
        <v>42338</v>
      </c>
      <c r="G59" t="s">
        <v>131</v>
      </c>
      <c r="H59" s="81">
        <v>1351</v>
      </c>
      <c r="I59" t="s">
        <v>51</v>
      </c>
      <c r="J59" s="3">
        <v>6970.04</v>
      </c>
    </row>
    <row r="60" spans="1:10" x14ac:dyDescent="0.25">
      <c r="A60" t="s">
        <v>130</v>
      </c>
      <c r="B60" t="s">
        <v>49</v>
      </c>
      <c r="C60">
        <v>15197909</v>
      </c>
      <c r="D60">
        <v>201512</v>
      </c>
      <c r="E60" s="1">
        <v>42339</v>
      </c>
      <c r="F60" s="1">
        <v>42369</v>
      </c>
      <c r="G60" t="s">
        <v>131</v>
      </c>
      <c r="H60" s="81">
        <v>1456</v>
      </c>
      <c r="I60" t="s">
        <v>51</v>
      </c>
      <c r="J60" s="3">
        <v>7581.88</v>
      </c>
    </row>
    <row r="61" spans="1:10" x14ac:dyDescent="0.25">
      <c r="A61" t="s">
        <v>130</v>
      </c>
      <c r="B61" t="s">
        <v>49</v>
      </c>
      <c r="C61">
        <v>15197909</v>
      </c>
      <c r="D61">
        <v>201601</v>
      </c>
      <c r="E61" s="1">
        <v>42370</v>
      </c>
      <c r="F61" s="1">
        <v>42400</v>
      </c>
      <c r="G61" t="s">
        <v>131</v>
      </c>
      <c r="H61" s="81">
        <v>2050</v>
      </c>
      <c r="I61" t="s">
        <v>51</v>
      </c>
      <c r="J61" s="3">
        <v>10215.969999999999</v>
      </c>
    </row>
    <row r="62" spans="1:10" x14ac:dyDescent="0.25">
      <c r="A62" t="s">
        <v>130</v>
      </c>
      <c r="B62" t="s">
        <v>49</v>
      </c>
      <c r="C62">
        <v>15197909</v>
      </c>
      <c r="D62">
        <v>201602</v>
      </c>
      <c r="E62" s="1">
        <v>42401</v>
      </c>
      <c r="F62" s="1">
        <v>42429</v>
      </c>
      <c r="G62" t="s">
        <v>131</v>
      </c>
      <c r="H62" s="81">
        <v>1691</v>
      </c>
      <c r="I62" t="s">
        <v>51</v>
      </c>
      <c r="J62" s="3">
        <v>8594.09</v>
      </c>
    </row>
    <row r="63" spans="1:10" x14ac:dyDescent="0.25">
      <c r="A63" t="s">
        <v>130</v>
      </c>
      <c r="B63" t="s">
        <v>49</v>
      </c>
      <c r="C63">
        <v>15197909</v>
      </c>
      <c r="D63">
        <v>201603</v>
      </c>
      <c r="E63" s="1">
        <v>42430</v>
      </c>
      <c r="F63" s="1">
        <v>42460</v>
      </c>
      <c r="G63" t="s">
        <v>131</v>
      </c>
      <c r="H63" s="81">
        <v>1362</v>
      </c>
      <c r="I63" t="s">
        <v>51</v>
      </c>
      <c r="J63" s="3">
        <v>6994.54</v>
      </c>
    </row>
    <row r="64" spans="1:10" x14ac:dyDescent="0.25">
      <c r="A64" t="s">
        <v>130</v>
      </c>
      <c r="B64" t="s">
        <v>49</v>
      </c>
      <c r="C64">
        <v>15197909</v>
      </c>
      <c r="D64">
        <v>201604</v>
      </c>
      <c r="E64" s="1">
        <v>42461</v>
      </c>
      <c r="F64" s="1">
        <v>42490</v>
      </c>
      <c r="G64" t="s">
        <v>131</v>
      </c>
      <c r="H64" s="81">
        <v>1256</v>
      </c>
      <c r="I64" t="s">
        <v>51</v>
      </c>
      <c r="J64" s="3">
        <v>6608.89</v>
      </c>
    </row>
    <row r="65" spans="1:10" x14ac:dyDescent="0.25">
      <c r="A65" t="s">
        <v>130</v>
      </c>
      <c r="B65" t="s">
        <v>49</v>
      </c>
      <c r="C65">
        <v>15197909</v>
      </c>
      <c r="D65">
        <v>201605</v>
      </c>
      <c r="E65" s="1">
        <v>42491</v>
      </c>
      <c r="F65" s="1">
        <v>42521</v>
      </c>
      <c r="G65" t="s">
        <v>131</v>
      </c>
      <c r="H65" s="81">
        <v>1256</v>
      </c>
      <c r="I65" t="s">
        <v>51</v>
      </c>
      <c r="J65" s="3">
        <v>6718.35</v>
      </c>
    </row>
    <row r="66" spans="1:10" x14ac:dyDescent="0.25">
      <c r="A66" t="s">
        <v>130</v>
      </c>
      <c r="B66" t="s">
        <v>49</v>
      </c>
      <c r="C66">
        <v>15197909</v>
      </c>
      <c r="D66">
        <v>201606</v>
      </c>
      <c r="E66" s="1">
        <v>42522</v>
      </c>
      <c r="F66" s="1">
        <v>42551</v>
      </c>
      <c r="G66" t="s">
        <v>131</v>
      </c>
      <c r="H66" s="81">
        <v>333</v>
      </c>
      <c r="I66" t="s">
        <v>51</v>
      </c>
      <c r="J66" s="3">
        <v>2254.44</v>
      </c>
    </row>
    <row r="67" spans="1:10" x14ac:dyDescent="0.25">
      <c r="A67" t="s">
        <v>186</v>
      </c>
      <c r="B67" t="s">
        <v>49</v>
      </c>
      <c r="C67">
        <v>3705615114</v>
      </c>
      <c r="D67">
        <v>201508</v>
      </c>
      <c r="E67" s="1">
        <v>42217</v>
      </c>
      <c r="F67" s="1">
        <v>42247</v>
      </c>
      <c r="G67" t="s">
        <v>187</v>
      </c>
      <c r="H67" s="81">
        <v>0</v>
      </c>
      <c r="I67" t="s">
        <v>51</v>
      </c>
      <c r="J67" s="3">
        <v>20.45</v>
      </c>
    </row>
    <row r="68" spans="1:10" x14ac:dyDescent="0.25">
      <c r="A68" t="s">
        <v>186</v>
      </c>
      <c r="B68" t="s">
        <v>49</v>
      </c>
      <c r="C68">
        <v>3705615114</v>
      </c>
      <c r="D68">
        <v>201509</v>
      </c>
      <c r="E68" s="1">
        <v>42248</v>
      </c>
      <c r="F68" s="1">
        <v>42277</v>
      </c>
      <c r="G68" t="s">
        <v>187</v>
      </c>
      <c r="H68" s="81">
        <v>0</v>
      </c>
      <c r="I68" t="s">
        <v>51</v>
      </c>
      <c r="J68" s="3">
        <v>20.45</v>
      </c>
    </row>
    <row r="69" spans="1:10" x14ac:dyDescent="0.25">
      <c r="A69" t="s">
        <v>186</v>
      </c>
      <c r="B69" t="s">
        <v>49</v>
      </c>
      <c r="C69">
        <v>3705615114</v>
      </c>
      <c r="D69">
        <v>201510</v>
      </c>
      <c r="E69" s="1">
        <v>42278</v>
      </c>
      <c r="F69" s="1">
        <v>42308</v>
      </c>
      <c r="G69" t="s">
        <v>187</v>
      </c>
      <c r="H69" s="81">
        <v>0</v>
      </c>
      <c r="I69" t="s">
        <v>51</v>
      </c>
      <c r="J69" s="3">
        <v>20.45</v>
      </c>
    </row>
    <row r="70" spans="1:10" x14ac:dyDescent="0.25">
      <c r="A70" t="s">
        <v>186</v>
      </c>
      <c r="B70" t="s">
        <v>49</v>
      </c>
      <c r="C70">
        <v>3705615114</v>
      </c>
      <c r="D70">
        <v>201511</v>
      </c>
      <c r="E70" s="1">
        <v>42309</v>
      </c>
      <c r="F70" s="1">
        <v>42338</v>
      </c>
      <c r="G70" t="s">
        <v>187</v>
      </c>
      <c r="H70" s="81">
        <v>0</v>
      </c>
      <c r="I70" t="s">
        <v>51</v>
      </c>
      <c r="J70" s="3">
        <v>20.45</v>
      </c>
    </row>
    <row r="71" spans="1:10" x14ac:dyDescent="0.25">
      <c r="A71" t="s">
        <v>186</v>
      </c>
      <c r="B71" t="s">
        <v>49</v>
      </c>
      <c r="C71">
        <v>3705615114</v>
      </c>
      <c r="D71">
        <v>201512</v>
      </c>
      <c r="E71" s="1">
        <v>42339</v>
      </c>
      <c r="F71" s="1">
        <v>42369</v>
      </c>
      <c r="G71" t="s">
        <v>187</v>
      </c>
      <c r="H71" s="81">
        <v>548</v>
      </c>
      <c r="I71" t="s">
        <v>51</v>
      </c>
      <c r="J71" s="3">
        <v>3241.26</v>
      </c>
    </row>
    <row r="72" spans="1:10" x14ac:dyDescent="0.25">
      <c r="A72" t="s">
        <v>186</v>
      </c>
      <c r="B72" t="s">
        <v>49</v>
      </c>
      <c r="C72">
        <v>3705615114</v>
      </c>
      <c r="D72">
        <v>201601</v>
      </c>
      <c r="E72" s="1">
        <v>42370</v>
      </c>
      <c r="F72" s="1">
        <v>42400</v>
      </c>
      <c r="G72" t="s">
        <v>187</v>
      </c>
      <c r="H72" s="81">
        <v>882</v>
      </c>
      <c r="I72" t="s">
        <v>51</v>
      </c>
      <c r="J72" s="3">
        <v>5112.45</v>
      </c>
    </row>
    <row r="73" spans="1:10" x14ac:dyDescent="0.25">
      <c r="A73" t="s">
        <v>186</v>
      </c>
      <c r="B73" t="s">
        <v>49</v>
      </c>
      <c r="C73">
        <v>3705615114</v>
      </c>
      <c r="D73">
        <v>201602</v>
      </c>
      <c r="E73" s="1">
        <v>42401</v>
      </c>
      <c r="F73" s="1">
        <v>42429</v>
      </c>
      <c r="G73" t="s">
        <v>187</v>
      </c>
      <c r="H73" s="81">
        <v>885</v>
      </c>
      <c r="I73" t="s">
        <v>51</v>
      </c>
      <c r="J73" s="3">
        <v>5305.35</v>
      </c>
    </row>
    <row r="74" spans="1:10" x14ac:dyDescent="0.25">
      <c r="A74" t="s">
        <v>186</v>
      </c>
      <c r="B74" t="s">
        <v>49</v>
      </c>
      <c r="C74">
        <v>3705615114</v>
      </c>
      <c r="D74">
        <v>201603</v>
      </c>
      <c r="E74" s="1">
        <v>42430</v>
      </c>
      <c r="F74" s="1">
        <v>42460</v>
      </c>
      <c r="G74" t="s">
        <v>187</v>
      </c>
      <c r="H74" s="81">
        <v>622</v>
      </c>
      <c r="I74" t="s">
        <v>51</v>
      </c>
      <c r="J74" s="3">
        <v>3577.24</v>
      </c>
    </row>
    <row r="75" spans="1:10" x14ac:dyDescent="0.25">
      <c r="A75" t="s">
        <v>186</v>
      </c>
      <c r="B75" t="s">
        <v>49</v>
      </c>
      <c r="C75">
        <v>3705615114</v>
      </c>
      <c r="D75">
        <v>201604</v>
      </c>
      <c r="E75" s="1">
        <v>42461</v>
      </c>
      <c r="F75" s="1">
        <v>42490</v>
      </c>
      <c r="G75" t="s">
        <v>187</v>
      </c>
      <c r="H75" s="81">
        <v>614</v>
      </c>
      <c r="I75" t="s">
        <v>51</v>
      </c>
      <c r="J75" s="3">
        <v>3499.29</v>
      </c>
    </row>
    <row r="76" spans="1:10" x14ac:dyDescent="0.25">
      <c r="A76" t="s">
        <v>186</v>
      </c>
      <c r="B76" t="s">
        <v>49</v>
      </c>
      <c r="C76">
        <v>3705615114</v>
      </c>
      <c r="D76">
        <v>201605</v>
      </c>
      <c r="E76" s="1">
        <v>42491</v>
      </c>
      <c r="F76" s="1">
        <v>42521</v>
      </c>
      <c r="G76" t="s">
        <v>187</v>
      </c>
      <c r="H76" s="81">
        <v>534</v>
      </c>
      <c r="I76" t="s">
        <v>51</v>
      </c>
      <c r="J76" s="3">
        <v>3204.07</v>
      </c>
    </row>
    <row r="77" spans="1:10" ht="15.75" thickBot="1" x14ac:dyDescent="0.3">
      <c r="A77" t="s">
        <v>186</v>
      </c>
      <c r="B77" t="s">
        <v>49</v>
      </c>
      <c r="C77">
        <v>3705615114</v>
      </c>
      <c r="D77">
        <v>201606</v>
      </c>
      <c r="E77" s="1">
        <v>42522</v>
      </c>
      <c r="F77" s="1">
        <v>42551</v>
      </c>
      <c r="G77" t="s">
        <v>187</v>
      </c>
      <c r="H77" s="81">
        <v>404</v>
      </c>
      <c r="I77" t="s">
        <v>51</v>
      </c>
      <c r="J77" s="3">
        <v>2299.61</v>
      </c>
    </row>
    <row r="78" spans="1:10" ht="15.75" thickBot="1" x14ac:dyDescent="0.3">
      <c r="H78" s="5">
        <f>SUM(H43:H77)</f>
        <v>41702</v>
      </c>
      <c r="I78" t="s">
        <v>27</v>
      </c>
      <c r="J78" s="21">
        <f>SUM(J43:J77)</f>
        <v>213565.34000000011</v>
      </c>
    </row>
    <row r="80" spans="1:10" x14ac:dyDescent="0.25">
      <c r="A80" t="s">
        <v>175</v>
      </c>
      <c r="B80" t="s">
        <v>59</v>
      </c>
      <c r="C80">
        <v>3183270</v>
      </c>
      <c r="D80">
        <v>201507</v>
      </c>
      <c r="E80" s="1">
        <v>42192</v>
      </c>
      <c r="F80" s="1">
        <v>42221</v>
      </c>
      <c r="G80" t="s">
        <v>227</v>
      </c>
      <c r="H80" s="81">
        <v>317</v>
      </c>
      <c r="I80" t="s">
        <v>47</v>
      </c>
      <c r="J80" s="3">
        <v>3876.65</v>
      </c>
    </row>
    <row r="81" spans="1:10" x14ac:dyDescent="0.25">
      <c r="A81" t="s">
        <v>175</v>
      </c>
      <c r="B81" t="s">
        <v>59</v>
      </c>
      <c r="C81">
        <v>3183270</v>
      </c>
      <c r="D81">
        <v>201508</v>
      </c>
      <c r="E81" s="1">
        <v>42222</v>
      </c>
      <c r="F81" s="1">
        <v>42251</v>
      </c>
      <c r="G81" t="s">
        <v>227</v>
      </c>
      <c r="H81" s="81">
        <v>3</v>
      </c>
      <c r="I81" t="s">
        <v>47</v>
      </c>
      <c r="J81" s="3">
        <v>154.65</v>
      </c>
    </row>
    <row r="82" spans="1:10" x14ac:dyDescent="0.25">
      <c r="A82" t="s">
        <v>175</v>
      </c>
      <c r="B82" t="s">
        <v>59</v>
      </c>
      <c r="C82">
        <v>3183270</v>
      </c>
      <c r="D82">
        <v>201509</v>
      </c>
      <c r="E82" s="1">
        <v>42252</v>
      </c>
      <c r="F82" s="1">
        <v>42282</v>
      </c>
      <c r="G82" t="s">
        <v>227</v>
      </c>
      <c r="H82" s="81">
        <v>3</v>
      </c>
      <c r="I82" t="s">
        <v>47</v>
      </c>
      <c r="J82" s="3">
        <v>154.65</v>
      </c>
    </row>
    <row r="83" spans="1:10" x14ac:dyDescent="0.25">
      <c r="A83" t="s">
        <v>175</v>
      </c>
      <c r="B83" t="s">
        <v>59</v>
      </c>
      <c r="C83">
        <v>3183270</v>
      </c>
      <c r="D83">
        <v>201510</v>
      </c>
      <c r="E83" s="1">
        <v>42283</v>
      </c>
      <c r="F83" s="1">
        <v>42312</v>
      </c>
      <c r="G83" t="s">
        <v>227</v>
      </c>
      <c r="H83" s="81">
        <v>3</v>
      </c>
      <c r="I83" t="s">
        <v>47</v>
      </c>
      <c r="J83" s="3">
        <v>154.65</v>
      </c>
    </row>
    <row r="84" spans="1:10" x14ac:dyDescent="0.25">
      <c r="A84" t="s">
        <v>175</v>
      </c>
      <c r="B84" t="s">
        <v>59</v>
      </c>
      <c r="C84">
        <v>3183270</v>
      </c>
      <c r="D84">
        <v>201511</v>
      </c>
      <c r="E84" s="1">
        <v>42313</v>
      </c>
      <c r="F84" s="1">
        <v>42341</v>
      </c>
      <c r="G84" t="s">
        <v>227</v>
      </c>
      <c r="H84" s="81">
        <v>63</v>
      </c>
      <c r="I84" t="s">
        <v>47</v>
      </c>
      <c r="J84" s="3">
        <v>805.65</v>
      </c>
    </row>
    <row r="85" spans="1:10" x14ac:dyDescent="0.25">
      <c r="A85" t="s">
        <v>175</v>
      </c>
      <c r="B85" t="s">
        <v>59</v>
      </c>
      <c r="C85">
        <v>3183270</v>
      </c>
      <c r="D85">
        <v>201512</v>
      </c>
      <c r="E85" s="1">
        <v>42342</v>
      </c>
      <c r="F85" s="1">
        <v>42375</v>
      </c>
      <c r="G85" t="s">
        <v>227</v>
      </c>
      <c r="H85" s="81">
        <v>60</v>
      </c>
      <c r="I85" t="s">
        <v>47</v>
      </c>
      <c r="J85" s="3">
        <v>800.95</v>
      </c>
    </row>
    <row r="86" spans="1:10" x14ac:dyDescent="0.25">
      <c r="A86" t="s">
        <v>175</v>
      </c>
      <c r="B86" t="s">
        <v>59</v>
      </c>
      <c r="C86">
        <v>3183270</v>
      </c>
      <c r="D86">
        <v>201601</v>
      </c>
      <c r="E86" s="1">
        <v>42376</v>
      </c>
      <c r="F86" s="1">
        <v>42403</v>
      </c>
      <c r="G86" t="s">
        <v>227</v>
      </c>
      <c r="H86" s="81">
        <v>74</v>
      </c>
      <c r="I86" t="s">
        <v>47</v>
      </c>
      <c r="J86" s="3">
        <v>952.85</v>
      </c>
    </row>
    <row r="87" spans="1:10" x14ac:dyDescent="0.25">
      <c r="A87" t="s">
        <v>175</v>
      </c>
      <c r="B87" t="s">
        <v>59</v>
      </c>
      <c r="C87">
        <v>3183270</v>
      </c>
      <c r="D87">
        <v>201602</v>
      </c>
      <c r="E87" s="1">
        <v>42404</v>
      </c>
      <c r="F87" s="1">
        <v>42433</v>
      </c>
      <c r="G87" t="s">
        <v>227</v>
      </c>
      <c r="H87" s="81">
        <v>98</v>
      </c>
      <c r="I87" t="s">
        <v>47</v>
      </c>
      <c r="J87" s="3">
        <v>1213.25</v>
      </c>
    </row>
    <row r="88" spans="1:10" x14ac:dyDescent="0.25">
      <c r="A88" t="s">
        <v>175</v>
      </c>
      <c r="B88" t="s">
        <v>59</v>
      </c>
      <c r="C88">
        <v>3183270</v>
      </c>
      <c r="D88">
        <v>201603</v>
      </c>
      <c r="E88" s="1">
        <v>42434</v>
      </c>
      <c r="F88" s="1">
        <v>42465</v>
      </c>
      <c r="G88" t="s">
        <v>227</v>
      </c>
      <c r="H88" s="81">
        <v>94</v>
      </c>
      <c r="I88" t="s">
        <v>47</v>
      </c>
      <c r="J88" s="3">
        <v>1169.8499999999999</v>
      </c>
    </row>
    <row r="89" spans="1:10" x14ac:dyDescent="0.25">
      <c r="A89" t="s">
        <v>175</v>
      </c>
      <c r="B89" t="s">
        <v>59</v>
      </c>
      <c r="C89">
        <v>3183270</v>
      </c>
      <c r="D89">
        <v>201604</v>
      </c>
      <c r="E89" s="1">
        <v>42466</v>
      </c>
      <c r="F89" s="1">
        <v>42494</v>
      </c>
      <c r="G89" t="s">
        <v>227</v>
      </c>
      <c r="H89" s="81">
        <v>68</v>
      </c>
      <c r="I89" t="s">
        <v>47</v>
      </c>
      <c r="J89" s="3">
        <v>887.75</v>
      </c>
    </row>
    <row r="90" spans="1:10" x14ac:dyDescent="0.25">
      <c r="A90" t="s">
        <v>175</v>
      </c>
      <c r="B90" t="s">
        <v>59</v>
      </c>
      <c r="C90">
        <v>3183270</v>
      </c>
      <c r="D90">
        <v>201605</v>
      </c>
      <c r="E90" s="1">
        <v>42495</v>
      </c>
      <c r="F90" s="1">
        <v>42524</v>
      </c>
      <c r="G90" t="s">
        <v>227</v>
      </c>
      <c r="H90" s="81">
        <v>72</v>
      </c>
      <c r="I90" t="s">
        <v>47</v>
      </c>
      <c r="J90" s="3">
        <v>931.15</v>
      </c>
    </row>
    <row r="91" spans="1:10" x14ac:dyDescent="0.25">
      <c r="A91" t="s">
        <v>175</v>
      </c>
      <c r="B91" t="s">
        <v>59</v>
      </c>
      <c r="C91">
        <v>3183270</v>
      </c>
      <c r="D91">
        <v>201606</v>
      </c>
      <c r="E91" s="1">
        <v>42525</v>
      </c>
      <c r="F91" s="1">
        <v>42557</v>
      </c>
      <c r="G91" t="s">
        <v>227</v>
      </c>
      <c r="H91" s="81">
        <v>78</v>
      </c>
      <c r="I91" t="s">
        <v>47</v>
      </c>
      <c r="J91" s="3">
        <v>996.25</v>
      </c>
    </row>
    <row r="92" spans="1:10" x14ac:dyDescent="0.25">
      <c r="A92" t="s">
        <v>175</v>
      </c>
      <c r="B92" t="s">
        <v>59</v>
      </c>
      <c r="C92">
        <v>3180493</v>
      </c>
      <c r="D92">
        <v>201507</v>
      </c>
      <c r="E92" s="1">
        <v>42191</v>
      </c>
      <c r="F92" s="1">
        <v>42221</v>
      </c>
      <c r="G92" t="s">
        <v>228</v>
      </c>
      <c r="H92" s="81">
        <v>610</v>
      </c>
      <c r="I92" t="s">
        <v>47</v>
      </c>
      <c r="J92" s="3">
        <v>8536.6</v>
      </c>
    </row>
    <row r="93" spans="1:10" x14ac:dyDescent="0.25">
      <c r="A93" t="s">
        <v>175</v>
      </c>
      <c r="B93" t="s">
        <v>59</v>
      </c>
      <c r="C93">
        <v>3180493</v>
      </c>
      <c r="D93">
        <v>201508</v>
      </c>
      <c r="E93" s="1">
        <v>42222</v>
      </c>
      <c r="F93" s="1">
        <v>42251</v>
      </c>
      <c r="G93" t="s">
        <v>228</v>
      </c>
      <c r="H93" s="81">
        <v>910</v>
      </c>
      <c r="I93" t="s">
        <v>47</v>
      </c>
      <c r="J93" s="3">
        <v>12781.3</v>
      </c>
    </row>
    <row r="94" spans="1:10" x14ac:dyDescent="0.25">
      <c r="A94" t="s">
        <v>175</v>
      </c>
      <c r="B94" t="s">
        <v>59</v>
      </c>
      <c r="C94">
        <v>3180493</v>
      </c>
      <c r="D94">
        <v>201509</v>
      </c>
      <c r="E94" s="1">
        <v>42252</v>
      </c>
      <c r="F94" s="1">
        <v>42282</v>
      </c>
      <c r="G94" t="s">
        <v>228</v>
      </c>
      <c r="H94" s="81">
        <v>686</v>
      </c>
      <c r="I94" t="s">
        <v>47</v>
      </c>
      <c r="J94" s="3">
        <v>9752.35</v>
      </c>
    </row>
    <row r="95" spans="1:10" x14ac:dyDescent="0.25">
      <c r="A95" t="s">
        <v>175</v>
      </c>
      <c r="B95" t="s">
        <v>59</v>
      </c>
      <c r="C95">
        <v>3180493</v>
      </c>
      <c r="D95">
        <v>201510</v>
      </c>
      <c r="E95" s="1">
        <v>42283</v>
      </c>
      <c r="F95" s="1">
        <v>42312</v>
      </c>
      <c r="G95" t="s">
        <v>228</v>
      </c>
      <c r="H95" s="81">
        <v>312</v>
      </c>
      <c r="I95" t="s">
        <v>47</v>
      </c>
      <c r="J95" s="3">
        <v>4515.25</v>
      </c>
    </row>
    <row r="96" spans="1:10" x14ac:dyDescent="0.25">
      <c r="A96" t="s">
        <v>175</v>
      </c>
      <c r="B96" t="s">
        <v>59</v>
      </c>
      <c r="C96">
        <v>3180493</v>
      </c>
      <c r="D96">
        <v>201511</v>
      </c>
      <c r="E96" s="1">
        <v>42313</v>
      </c>
      <c r="F96" s="1">
        <v>42341</v>
      </c>
      <c r="G96" t="s">
        <v>228</v>
      </c>
      <c r="H96" s="81">
        <v>238</v>
      </c>
      <c r="I96" t="s">
        <v>47</v>
      </c>
      <c r="J96" s="3">
        <v>3394.15</v>
      </c>
    </row>
    <row r="97" spans="1:10" x14ac:dyDescent="0.25">
      <c r="A97" t="s">
        <v>175</v>
      </c>
      <c r="B97" t="s">
        <v>59</v>
      </c>
      <c r="C97">
        <v>3180493</v>
      </c>
      <c r="D97">
        <v>201512</v>
      </c>
      <c r="E97" s="1">
        <v>42342</v>
      </c>
      <c r="F97" s="1">
        <v>42375</v>
      </c>
      <c r="G97" t="s">
        <v>228</v>
      </c>
      <c r="H97" s="81">
        <v>345</v>
      </c>
      <c r="I97" t="s">
        <v>47</v>
      </c>
      <c r="J97" s="3">
        <v>5118.2</v>
      </c>
    </row>
    <row r="98" spans="1:10" x14ac:dyDescent="0.25">
      <c r="A98" t="s">
        <v>175</v>
      </c>
      <c r="B98" t="s">
        <v>59</v>
      </c>
      <c r="C98">
        <v>3180493</v>
      </c>
      <c r="D98">
        <v>201601</v>
      </c>
      <c r="E98" s="1">
        <v>42376</v>
      </c>
      <c r="F98" s="1">
        <v>42403</v>
      </c>
      <c r="G98" t="s">
        <v>228</v>
      </c>
      <c r="H98" s="81">
        <v>147</v>
      </c>
      <c r="I98" t="s">
        <v>47</v>
      </c>
      <c r="J98" s="3">
        <v>2059.1</v>
      </c>
    </row>
    <row r="99" spans="1:10" x14ac:dyDescent="0.25">
      <c r="A99" t="s">
        <v>175</v>
      </c>
      <c r="B99" t="s">
        <v>59</v>
      </c>
      <c r="C99">
        <v>3180493</v>
      </c>
      <c r="D99">
        <v>201602</v>
      </c>
      <c r="E99" s="1">
        <v>42404</v>
      </c>
      <c r="F99" s="1">
        <v>42433</v>
      </c>
      <c r="G99" t="s">
        <v>228</v>
      </c>
      <c r="H99" s="81">
        <v>259</v>
      </c>
      <c r="I99" t="s">
        <v>47</v>
      </c>
      <c r="J99" s="3">
        <v>3789.5</v>
      </c>
    </row>
    <row r="100" spans="1:10" x14ac:dyDescent="0.25">
      <c r="A100" t="s">
        <v>175</v>
      </c>
      <c r="B100" t="s">
        <v>59</v>
      </c>
      <c r="C100">
        <v>3180493</v>
      </c>
      <c r="D100">
        <v>201603</v>
      </c>
      <c r="E100" s="1">
        <v>42434</v>
      </c>
      <c r="F100" s="1">
        <v>42465</v>
      </c>
      <c r="G100" t="s">
        <v>228</v>
      </c>
      <c r="H100" s="81">
        <v>409</v>
      </c>
      <c r="I100" t="s">
        <v>47</v>
      </c>
      <c r="J100" s="3">
        <v>5872.8</v>
      </c>
    </row>
    <row r="101" spans="1:10" x14ac:dyDescent="0.25">
      <c r="A101" t="s">
        <v>175</v>
      </c>
      <c r="B101" t="s">
        <v>59</v>
      </c>
      <c r="C101">
        <v>3180493</v>
      </c>
      <c r="D101">
        <v>201604</v>
      </c>
      <c r="E101" s="1">
        <v>42467</v>
      </c>
      <c r="F101" s="1">
        <v>42494</v>
      </c>
      <c r="G101" t="s">
        <v>228</v>
      </c>
      <c r="H101" s="81">
        <v>365</v>
      </c>
      <c r="I101" t="s">
        <v>47</v>
      </c>
      <c r="J101" s="3">
        <v>4742.55</v>
      </c>
    </row>
    <row r="102" spans="1:10" x14ac:dyDescent="0.25">
      <c r="A102" t="s">
        <v>175</v>
      </c>
      <c r="B102" t="s">
        <v>59</v>
      </c>
      <c r="C102">
        <v>3180493</v>
      </c>
      <c r="D102">
        <v>201605</v>
      </c>
      <c r="E102" s="1">
        <v>42495</v>
      </c>
      <c r="F102" s="1">
        <v>42524</v>
      </c>
      <c r="G102" t="s">
        <v>228</v>
      </c>
      <c r="H102" s="81">
        <v>387</v>
      </c>
      <c r="I102" t="s">
        <v>47</v>
      </c>
      <c r="J102" s="3">
        <v>5318.4</v>
      </c>
    </row>
    <row r="103" spans="1:10" x14ac:dyDescent="0.25">
      <c r="A103" t="s">
        <v>175</v>
      </c>
      <c r="B103" t="s">
        <v>59</v>
      </c>
      <c r="C103">
        <v>3180493</v>
      </c>
      <c r="D103">
        <v>201606</v>
      </c>
      <c r="E103" s="1">
        <v>42525</v>
      </c>
      <c r="F103" s="1">
        <v>42557</v>
      </c>
      <c r="G103" t="s">
        <v>228</v>
      </c>
      <c r="H103" s="81">
        <v>772</v>
      </c>
      <c r="I103" t="s">
        <v>47</v>
      </c>
      <c r="J103" s="3">
        <v>10587.4</v>
      </c>
    </row>
    <row r="104" spans="1:10" x14ac:dyDescent="0.25">
      <c r="A104" t="s">
        <v>130</v>
      </c>
      <c r="B104" t="s">
        <v>59</v>
      </c>
      <c r="C104">
        <v>3032617</v>
      </c>
      <c r="D104">
        <v>201507</v>
      </c>
      <c r="E104" s="1">
        <v>42191</v>
      </c>
      <c r="F104" s="1">
        <v>42221</v>
      </c>
      <c r="G104" t="s">
        <v>229</v>
      </c>
      <c r="H104" s="81">
        <v>634</v>
      </c>
      <c r="I104" t="s">
        <v>47</v>
      </c>
      <c r="J104" s="3">
        <v>5901.25</v>
      </c>
    </row>
    <row r="105" spans="1:10" x14ac:dyDescent="0.25">
      <c r="A105" t="s">
        <v>130</v>
      </c>
      <c r="B105" t="s">
        <v>59</v>
      </c>
      <c r="C105">
        <v>3032617</v>
      </c>
      <c r="D105">
        <v>201508</v>
      </c>
      <c r="E105" s="1">
        <v>42222</v>
      </c>
      <c r="F105" s="1">
        <v>42251</v>
      </c>
      <c r="G105" t="s">
        <v>229</v>
      </c>
      <c r="H105" s="81">
        <v>567</v>
      </c>
      <c r="I105" t="s">
        <v>47</v>
      </c>
      <c r="J105" s="3">
        <v>5029.2</v>
      </c>
    </row>
    <row r="106" spans="1:10" x14ac:dyDescent="0.25">
      <c r="A106" t="s">
        <v>130</v>
      </c>
      <c r="B106" t="s">
        <v>59</v>
      </c>
      <c r="C106">
        <v>3032617</v>
      </c>
      <c r="D106">
        <v>201509</v>
      </c>
      <c r="E106" s="1">
        <v>42252</v>
      </c>
      <c r="F106" s="1">
        <v>42282</v>
      </c>
      <c r="G106" t="s">
        <v>229</v>
      </c>
      <c r="H106" s="81">
        <v>345</v>
      </c>
      <c r="I106" t="s">
        <v>47</v>
      </c>
      <c r="J106" s="3">
        <v>4986.3500000000004</v>
      </c>
    </row>
    <row r="107" spans="1:10" x14ac:dyDescent="0.25">
      <c r="A107" t="s">
        <v>130</v>
      </c>
      <c r="B107" t="s">
        <v>59</v>
      </c>
      <c r="C107">
        <v>3032617</v>
      </c>
      <c r="D107">
        <v>201510</v>
      </c>
      <c r="E107" s="1">
        <v>42283</v>
      </c>
      <c r="F107" s="1">
        <v>42312</v>
      </c>
      <c r="G107" t="s">
        <v>229</v>
      </c>
      <c r="H107" s="81">
        <v>562</v>
      </c>
      <c r="I107" t="s">
        <v>47</v>
      </c>
      <c r="J107" s="3">
        <v>5925.85</v>
      </c>
    </row>
    <row r="108" spans="1:10" x14ac:dyDescent="0.25">
      <c r="A108" t="s">
        <v>130</v>
      </c>
      <c r="B108" t="s">
        <v>59</v>
      </c>
      <c r="C108">
        <v>3032617</v>
      </c>
      <c r="D108">
        <v>201511</v>
      </c>
      <c r="E108" s="1">
        <v>42313</v>
      </c>
      <c r="F108" s="1">
        <v>42341</v>
      </c>
      <c r="G108" t="s">
        <v>229</v>
      </c>
      <c r="H108" s="81">
        <v>446</v>
      </c>
      <c r="I108" t="s">
        <v>47</v>
      </c>
      <c r="J108" s="3">
        <v>4397.25</v>
      </c>
    </row>
    <row r="109" spans="1:10" x14ac:dyDescent="0.25">
      <c r="A109" t="s">
        <v>130</v>
      </c>
      <c r="B109" t="s">
        <v>59</v>
      </c>
      <c r="C109">
        <v>3032617</v>
      </c>
      <c r="D109">
        <v>201512</v>
      </c>
      <c r="E109" s="1">
        <v>42342</v>
      </c>
      <c r="F109" s="1">
        <v>42375</v>
      </c>
      <c r="G109" t="s">
        <v>229</v>
      </c>
      <c r="H109" s="81">
        <v>518</v>
      </c>
      <c r="I109" t="s">
        <v>47</v>
      </c>
      <c r="J109" s="3">
        <v>5334.25</v>
      </c>
    </row>
    <row r="110" spans="1:10" x14ac:dyDescent="0.25">
      <c r="A110" t="s">
        <v>130</v>
      </c>
      <c r="B110" t="s">
        <v>59</v>
      </c>
      <c r="C110">
        <v>3032617</v>
      </c>
      <c r="D110">
        <v>201601</v>
      </c>
      <c r="E110" s="1">
        <v>42376</v>
      </c>
      <c r="F110" s="1">
        <v>42403</v>
      </c>
      <c r="G110" t="s">
        <v>229</v>
      </c>
      <c r="H110" s="81">
        <v>470</v>
      </c>
      <c r="I110" t="s">
        <v>47</v>
      </c>
      <c r="J110" s="3">
        <v>4885.8</v>
      </c>
    </row>
    <row r="111" spans="1:10" x14ac:dyDescent="0.25">
      <c r="A111" t="s">
        <v>130</v>
      </c>
      <c r="B111" t="s">
        <v>59</v>
      </c>
      <c r="C111">
        <v>3032617</v>
      </c>
      <c r="D111">
        <v>201602</v>
      </c>
      <c r="E111" s="1">
        <v>42404</v>
      </c>
      <c r="F111" s="1">
        <v>42433</v>
      </c>
      <c r="G111" t="s">
        <v>229</v>
      </c>
      <c r="H111" s="81">
        <v>530</v>
      </c>
      <c r="I111" t="s">
        <v>47</v>
      </c>
      <c r="J111" s="3">
        <v>5676.95</v>
      </c>
    </row>
    <row r="112" spans="1:10" x14ac:dyDescent="0.25">
      <c r="A112" t="s">
        <v>130</v>
      </c>
      <c r="B112" t="s">
        <v>59</v>
      </c>
      <c r="C112">
        <v>3032617</v>
      </c>
      <c r="D112">
        <v>201603</v>
      </c>
      <c r="E112" s="1">
        <v>42434</v>
      </c>
      <c r="F112" s="1">
        <v>42465</v>
      </c>
      <c r="G112" t="s">
        <v>229</v>
      </c>
      <c r="H112" s="81">
        <v>559</v>
      </c>
      <c r="I112" t="s">
        <v>47</v>
      </c>
      <c r="J112" s="3">
        <v>5867.6</v>
      </c>
    </row>
    <row r="113" spans="1:10" x14ac:dyDescent="0.25">
      <c r="A113" t="s">
        <v>130</v>
      </c>
      <c r="B113" t="s">
        <v>59</v>
      </c>
      <c r="C113">
        <v>3032617</v>
      </c>
      <c r="D113">
        <v>201604</v>
      </c>
      <c r="E113" s="1">
        <v>42466</v>
      </c>
      <c r="F113" s="1">
        <v>42494</v>
      </c>
      <c r="G113" t="s">
        <v>229</v>
      </c>
      <c r="H113" s="81">
        <v>524</v>
      </c>
      <c r="I113" t="s">
        <v>47</v>
      </c>
      <c r="J113" s="3">
        <v>5627.15</v>
      </c>
    </row>
    <row r="114" spans="1:10" x14ac:dyDescent="0.25">
      <c r="A114" t="s">
        <v>130</v>
      </c>
      <c r="B114" t="s">
        <v>59</v>
      </c>
      <c r="C114">
        <v>3032617</v>
      </c>
      <c r="D114">
        <v>201605</v>
      </c>
      <c r="E114" s="1">
        <v>42495</v>
      </c>
      <c r="F114" s="1">
        <v>42524</v>
      </c>
      <c r="G114" t="s">
        <v>229</v>
      </c>
      <c r="H114" s="81">
        <v>505</v>
      </c>
      <c r="I114" t="s">
        <v>47</v>
      </c>
      <c r="J114" s="3">
        <v>5376.5</v>
      </c>
    </row>
    <row r="115" spans="1:10" x14ac:dyDescent="0.25">
      <c r="A115" t="s">
        <v>130</v>
      </c>
      <c r="B115" t="s">
        <v>59</v>
      </c>
      <c r="C115">
        <v>3032617</v>
      </c>
      <c r="D115">
        <v>201606</v>
      </c>
      <c r="E115" s="1">
        <v>42525</v>
      </c>
      <c r="F115" s="1">
        <v>42557</v>
      </c>
      <c r="G115" t="s">
        <v>229</v>
      </c>
      <c r="H115" s="81">
        <v>628</v>
      </c>
      <c r="I115" t="s">
        <v>47</v>
      </c>
      <c r="J115" s="3">
        <v>6661.95</v>
      </c>
    </row>
    <row r="116" spans="1:10" x14ac:dyDescent="0.25">
      <c r="A116" t="s">
        <v>186</v>
      </c>
      <c r="B116" t="s">
        <v>59</v>
      </c>
      <c r="C116">
        <v>3196430</v>
      </c>
      <c r="D116">
        <v>201507</v>
      </c>
      <c r="E116" s="1">
        <v>42192</v>
      </c>
      <c r="F116" s="1">
        <v>42221</v>
      </c>
      <c r="G116" t="s">
        <v>230</v>
      </c>
      <c r="H116" s="81">
        <v>321</v>
      </c>
      <c r="I116" t="s">
        <v>47</v>
      </c>
      <c r="J116" s="3">
        <v>3929.25</v>
      </c>
    </row>
    <row r="117" spans="1:10" x14ac:dyDescent="0.25">
      <c r="A117" t="s">
        <v>186</v>
      </c>
      <c r="B117" t="s">
        <v>59</v>
      </c>
      <c r="C117">
        <v>3196430</v>
      </c>
      <c r="D117">
        <v>201508</v>
      </c>
      <c r="E117" s="1">
        <v>42222</v>
      </c>
      <c r="F117" s="1">
        <v>42251</v>
      </c>
      <c r="G117" t="s">
        <v>230</v>
      </c>
      <c r="H117" s="81">
        <v>270</v>
      </c>
      <c r="I117" t="s">
        <v>47</v>
      </c>
      <c r="J117" s="3">
        <v>3258.6</v>
      </c>
    </row>
    <row r="118" spans="1:10" x14ac:dyDescent="0.25">
      <c r="A118" t="s">
        <v>186</v>
      </c>
      <c r="B118" t="s">
        <v>59</v>
      </c>
      <c r="C118">
        <v>3196430</v>
      </c>
      <c r="D118">
        <v>201509</v>
      </c>
      <c r="E118" s="1">
        <v>42252</v>
      </c>
      <c r="F118" s="1">
        <v>42282</v>
      </c>
      <c r="G118" t="s">
        <v>230</v>
      </c>
      <c r="H118" s="81">
        <v>222</v>
      </c>
      <c r="I118" t="s">
        <v>47</v>
      </c>
      <c r="J118" s="3">
        <v>2627.4</v>
      </c>
    </row>
    <row r="119" spans="1:10" x14ac:dyDescent="0.25">
      <c r="A119" t="s">
        <v>186</v>
      </c>
      <c r="B119" t="s">
        <v>59</v>
      </c>
      <c r="C119">
        <v>3196430</v>
      </c>
      <c r="D119">
        <v>201510</v>
      </c>
      <c r="E119" s="1">
        <v>42283</v>
      </c>
      <c r="F119" s="1">
        <v>42312</v>
      </c>
      <c r="G119" t="s">
        <v>230</v>
      </c>
      <c r="H119" s="81">
        <v>97</v>
      </c>
      <c r="I119" t="s">
        <v>47</v>
      </c>
      <c r="J119" s="3">
        <v>1174.55</v>
      </c>
    </row>
    <row r="120" spans="1:10" x14ac:dyDescent="0.25">
      <c r="A120" t="s">
        <v>186</v>
      </c>
      <c r="B120" t="s">
        <v>59</v>
      </c>
      <c r="C120">
        <v>3196430</v>
      </c>
      <c r="D120">
        <v>201511</v>
      </c>
      <c r="E120" s="1">
        <v>42313</v>
      </c>
      <c r="F120" s="1">
        <v>42341</v>
      </c>
      <c r="G120" t="s">
        <v>230</v>
      </c>
      <c r="H120" s="81">
        <v>54</v>
      </c>
      <c r="I120" t="s">
        <v>47</v>
      </c>
      <c r="J120" s="3">
        <v>708</v>
      </c>
    </row>
    <row r="121" spans="1:10" x14ac:dyDescent="0.25">
      <c r="A121" t="s">
        <v>186</v>
      </c>
      <c r="B121" t="s">
        <v>59</v>
      </c>
      <c r="C121">
        <v>3196430</v>
      </c>
      <c r="D121">
        <v>201512</v>
      </c>
      <c r="E121" s="1">
        <v>42342</v>
      </c>
      <c r="F121" s="1">
        <v>42375</v>
      </c>
      <c r="G121" t="s">
        <v>230</v>
      </c>
      <c r="H121" s="81">
        <v>55</v>
      </c>
      <c r="I121" t="s">
        <v>47</v>
      </c>
      <c r="J121" s="3">
        <v>746.7</v>
      </c>
    </row>
    <row r="122" spans="1:10" x14ac:dyDescent="0.25">
      <c r="A122" t="s">
        <v>186</v>
      </c>
      <c r="B122" t="s">
        <v>59</v>
      </c>
      <c r="C122">
        <v>3196430</v>
      </c>
      <c r="D122">
        <v>201601</v>
      </c>
      <c r="E122" s="1">
        <v>42376</v>
      </c>
      <c r="F122" s="1">
        <v>42403</v>
      </c>
      <c r="G122" t="s">
        <v>230</v>
      </c>
      <c r="H122" s="81">
        <v>17</v>
      </c>
      <c r="I122" t="s">
        <v>47</v>
      </c>
      <c r="J122" s="3">
        <v>334.4</v>
      </c>
    </row>
    <row r="123" spans="1:10" x14ac:dyDescent="0.25">
      <c r="A123" t="s">
        <v>186</v>
      </c>
      <c r="B123" t="s">
        <v>59</v>
      </c>
      <c r="C123">
        <v>3196430</v>
      </c>
      <c r="D123">
        <v>201602</v>
      </c>
      <c r="E123" s="1">
        <v>42404</v>
      </c>
      <c r="F123" s="1">
        <v>42433</v>
      </c>
      <c r="G123" t="s">
        <v>230</v>
      </c>
      <c r="H123" s="81">
        <v>27</v>
      </c>
      <c r="I123" t="s">
        <v>47</v>
      </c>
      <c r="J123" s="3">
        <v>442.9</v>
      </c>
    </row>
    <row r="124" spans="1:10" x14ac:dyDescent="0.25">
      <c r="A124" t="s">
        <v>186</v>
      </c>
      <c r="B124" t="s">
        <v>59</v>
      </c>
      <c r="C124">
        <v>3196430</v>
      </c>
      <c r="D124">
        <v>201603</v>
      </c>
      <c r="E124" s="1">
        <v>42434</v>
      </c>
      <c r="F124" s="1">
        <v>42465</v>
      </c>
      <c r="G124" t="s">
        <v>230</v>
      </c>
      <c r="H124" s="81">
        <v>65</v>
      </c>
      <c r="I124" t="s">
        <v>47</v>
      </c>
      <c r="J124" s="3">
        <v>855.2</v>
      </c>
    </row>
    <row r="125" spans="1:10" x14ac:dyDescent="0.25">
      <c r="A125" t="s">
        <v>186</v>
      </c>
      <c r="B125" t="s">
        <v>59</v>
      </c>
      <c r="C125">
        <v>3196430</v>
      </c>
      <c r="D125">
        <v>201604</v>
      </c>
      <c r="E125" s="1">
        <v>42466</v>
      </c>
      <c r="F125" s="1">
        <v>42494</v>
      </c>
      <c r="G125" t="s">
        <v>230</v>
      </c>
      <c r="H125" s="81">
        <v>113</v>
      </c>
      <c r="I125" t="s">
        <v>47</v>
      </c>
      <c r="J125" s="3">
        <v>1376</v>
      </c>
    </row>
    <row r="126" spans="1:10" x14ac:dyDescent="0.25">
      <c r="A126" t="s">
        <v>186</v>
      </c>
      <c r="B126" t="s">
        <v>59</v>
      </c>
      <c r="C126">
        <v>3196430</v>
      </c>
      <c r="D126">
        <v>201605</v>
      </c>
      <c r="E126" s="1">
        <v>42495</v>
      </c>
      <c r="F126" s="1">
        <v>42524</v>
      </c>
      <c r="G126" t="s">
        <v>230</v>
      </c>
      <c r="H126" s="81">
        <v>152</v>
      </c>
      <c r="I126" t="s">
        <v>47</v>
      </c>
      <c r="J126" s="3">
        <v>1799.15</v>
      </c>
    </row>
    <row r="127" spans="1:10" x14ac:dyDescent="0.25">
      <c r="A127" t="s">
        <v>186</v>
      </c>
      <c r="B127" t="s">
        <v>59</v>
      </c>
      <c r="C127">
        <v>3196430</v>
      </c>
      <c r="D127">
        <v>201606</v>
      </c>
      <c r="E127" s="1">
        <v>42525</v>
      </c>
      <c r="F127" s="1">
        <v>42557</v>
      </c>
      <c r="G127" t="s">
        <v>230</v>
      </c>
      <c r="H127" s="81">
        <v>461</v>
      </c>
      <c r="I127" t="s">
        <v>47</v>
      </c>
      <c r="J127" s="3">
        <v>5882.4</v>
      </c>
    </row>
    <row r="128" spans="1:10" x14ac:dyDescent="0.25">
      <c r="A128" t="s">
        <v>231</v>
      </c>
      <c r="B128" t="s">
        <v>59</v>
      </c>
      <c r="C128">
        <v>3172455</v>
      </c>
      <c r="D128">
        <v>201507</v>
      </c>
      <c r="E128" s="1">
        <v>42192</v>
      </c>
      <c r="F128" s="1">
        <v>42221</v>
      </c>
      <c r="G128" t="s">
        <v>232</v>
      </c>
      <c r="H128" s="81">
        <v>36</v>
      </c>
      <c r="I128" t="s">
        <v>47</v>
      </c>
      <c r="J128" s="3">
        <v>512.70000000000005</v>
      </c>
    </row>
    <row r="129" spans="1:12" x14ac:dyDescent="0.25">
      <c r="A129" t="s">
        <v>231</v>
      </c>
      <c r="B129" t="s">
        <v>59</v>
      </c>
      <c r="C129">
        <v>3172455</v>
      </c>
      <c r="D129">
        <v>201508</v>
      </c>
      <c r="E129" s="1">
        <v>42222</v>
      </c>
      <c r="F129" s="1">
        <v>42251</v>
      </c>
      <c r="G129" t="s">
        <v>232</v>
      </c>
      <c r="H129" s="81">
        <v>67</v>
      </c>
      <c r="I129" t="s">
        <v>47</v>
      </c>
      <c r="J129" s="3">
        <v>849.05</v>
      </c>
    </row>
    <row r="130" spans="1:12" x14ac:dyDescent="0.25">
      <c r="A130" t="s">
        <v>231</v>
      </c>
      <c r="B130" t="s">
        <v>59</v>
      </c>
      <c r="C130">
        <v>3172455</v>
      </c>
      <c r="D130">
        <v>201509</v>
      </c>
      <c r="E130" s="1">
        <v>42252</v>
      </c>
      <c r="F130" s="1">
        <v>42282</v>
      </c>
      <c r="G130" t="s">
        <v>232</v>
      </c>
      <c r="H130" s="81">
        <v>70</v>
      </c>
      <c r="I130" t="s">
        <v>47</v>
      </c>
      <c r="J130" s="3">
        <v>881.6</v>
      </c>
    </row>
    <row r="131" spans="1:12" x14ac:dyDescent="0.25">
      <c r="A131" t="s">
        <v>231</v>
      </c>
      <c r="B131" t="s">
        <v>59</v>
      </c>
      <c r="C131">
        <v>3172455</v>
      </c>
      <c r="D131">
        <v>201510</v>
      </c>
      <c r="E131" s="1">
        <v>42283</v>
      </c>
      <c r="F131" s="1">
        <v>42312</v>
      </c>
      <c r="G131" t="s">
        <v>232</v>
      </c>
      <c r="H131" s="81">
        <v>49</v>
      </c>
      <c r="I131" t="s">
        <v>47</v>
      </c>
      <c r="J131" s="3">
        <v>653.75</v>
      </c>
    </row>
    <row r="132" spans="1:12" x14ac:dyDescent="0.25">
      <c r="A132" t="s">
        <v>231</v>
      </c>
      <c r="B132" t="s">
        <v>59</v>
      </c>
      <c r="C132">
        <v>3172455</v>
      </c>
      <c r="D132">
        <v>201511</v>
      </c>
      <c r="E132" s="1">
        <v>42313</v>
      </c>
      <c r="F132" s="1">
        <v>42341</v>
      </c>
      <c r="G132" t="s">
        <v>232</v>
      </c>
      <c r="H132" s="81">
        <v>37</v>
      </c>
      <c r="I132" t="s">
        <v>47</v>
      </c>
      <c r="J132" s="3">
        <v>523.54999999999995</v>
      </c>
    </row>
    <row r="133" spans="1:12" x14ac:dyDescent="0.25">
      <c r="A133" t="s">
        <v>231</v>
      </c>
      <c r="B133" t="s">
        <v>59</v>
      </c>
      <c r="C133">
        <v>3172455</v>
      </c>
      <c r="D133">
        <v>201512</v>
      </c>
      <c r="E133" s="1">
        <v>42342</v>
      </c>
      <c r="F133" s="1">
        <v>42375</v>
      </c>
      <c r="G133" t="s">
        <v>232</v>
      </c>
      <c r="H133" s="81">
        <v>39</v>
      </c>
      <c r="I133" t="s">
        <v>47</v>
      </c>
      <c r="J133" s="3">
        <v>573.1</v>
      </c>
    </row>
    <row r="134" spans="1:12" x14ac:dyDescent="0.25">
      <c r="A134" t="s">
        <v>231</v>
      </c>
      <c r="B134" t="s">
        <v>59</v>
      </c>
      <c r="C134">
        <v>3172455</v>
      </c>
      <c r="D134">
        <v>201601</v>
      </c>
      <c r="E134" s="1">
        <v>42376</v>
      </c>
      <c r="F134" s="1">
        <v>42403</v>
      </c>
      <c r="G134" t="s">
        <v>232</v>
      </c>
      <c r="H134" s="81">
        <v>106</v>
      </c>
      <c r="I134" t="s">
        <v>47</v>
      </c>
      <c r="J134" s="3">
        <v>1300.05</v>
      </c>
    </row>
    <row r="135" spans="1:12" x14ac:dyDescent="0.25">
      <c r="A135" t="s">
        <v>231</v>
      </c>
      <c r="B135" t="s">
        <v>59</v>
      </c>
      <c r="C135">
        <v>3172455</v>
      </c>
      <c r="D135">
        <v>201602</v>
      </c>
      <c r="E135" s="1">
        <v>42404</v>
      </c>
      <c r="F135" s="1">
        <v>42433</v>
      </c>
      <c r="G135" t="s">
        <v>232</v>
      </c>
      <c r="H135" s="81">
        <v>33</v>
      </c>
      <c r="I135" t="s">
        <v>47</v>
      </c>
      <c r="J135" s="3">
        <v>508</v>
      </c>
    </row>
    <row r="136" spans="1:12" x14ac:dyDescent="0.25">
      <c r="A136" t="s">
        <v>231</v>
      </c>
      <c r="B136" t="s">
        <v>59</v>
      </c>
      <c r="C136">
        <v>3172455</v>
      </c>
      <c r="D136">
        <v>201603</v>
      </c>
      <c r="E136" s="1">
        <v>42434</v>
      </c>
      <c r="F136" s="1">
        <v>42465</v>
      </c>
      <c r="G136" t="s">
        <v>232</v>
      </c>
      <c r="H136" s="81">
        <v>29</v>
      </c>
      <c r="I136" t="s">
        <v>47</v>
      </c>
      <c r="J136" s="3">
        <v>464.6</v>
      </c>
    </row>
    <row r="137" spans="1:12" x14ac:dyDescent="0.25">
      <c r="A137" t="s">
        <v>231</v>
      </c>
      <c r="B137" t="s">
        <v>59</v>
      </c>
      <c r="C137">
        <v>3172455</v>
      </c>
      <c r="D137">
        <v>201604</v>
      </c>
      <c r="E137" s="1">
        <v>42466</v>
      </c>
      <c r="F137" s="1">
        <v>42494</v>
      </c>
      <c r="G137" t="s">
        <v>232</v>
      </c>
      <c r="H137" s="81">
        <v>28</v>
      </c>
      <c r="I137" t="s">
        <v>47</v>
      </c>
      <c r="J137" s="3">
        <v>453.75</v>
      </c>
    </row>
    <row r="138" spans="1:12" x14ac:dyDescent="0.25">
      <c r="A138" t="s">
        <v>231</v>
      </c>
      <c r="B138" t="s">
        <v>59</v>
      </c>
      <c r="C138">
        <v>3172455</v>
      </c>
      <c r="D138">
        <v>201605</v>
      </c>
      <c r="E138" s="1">
        <v>42495</v>
      </c>
      <c r="F138" s="1">
        <v>42524</v>
      </c>
      <c r="G138" t="s">
        <v>232</v>
      </c>
      <c r="H138" s="81">
        <v>34</v>
      </c>
      <c r="I138" t="s">
        <v>47</v>
      </c>
      <c r="J138" s="3">
        <v>518.85</v>
      </c>
    </row>
    <row r="139" spans="1:12" ht="15.75" thickBot="1" x14ac:dyDescent="0.3">
      <c r="A139" t="s">
        <v>231</v>
      </c>
      <c r="B139" t="s">
        <v>59</v>
      </c>
      <c r="C139">
        <v>3172455</v>
      </c>
      <c r="D139">
        <v>201606</v>
      </c>
      <c r="E139" s="1">
        <v>42525</v>
      </c>
      <c r="F139" s="1">
        <v>42557</v>
      </c>
      <c r="G139" t="s">
        <v>232</v>
      </c>
      <c r="H139" s="81">
        <v>145</v>
      </c>
      <c r="I139" t="s">
        <v>47</v>
      </c>
      <c r="J139" s="3">
        <v>1723.2</v>
      </c>
    </row>
    <row r="140" spans="1:12" ht="15.75" thickBot="1" x14ac:dyDescent="0.3">
      <c r="H140" s="5">
        <f>SUM(H80:H139)</f>
        <v>15188</v>
      </c>
      <c r="I140" t="s">
        <v>47</v>
      </c>
      <c r="J140" s="21">
        <f>SUM(J80:J139)</f>
        <v>186332.75</v>
      </c>
    </row>
    <row r="141" spans="1:12" x14ac:dyDescent="0.25">
      <c r="L141" t="s">
        <v>3</v>
      </c>
    </row>
    <row r="155" spans="3:6" x14ac:dyDescent="0.25">
      <c r="C155" s="82"/>
      <c r="E155" s="1"/>
      <c r="F155" s="1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W214"/>
  <sheetViews>
    <sheetView topLeftCell="A106" workbookViewId="0">
      <selection activeCell="A2" sqref="A2"/>
    </sheetView>
  </sheetViews>
  <sheetFormatPr defaultColWidth="8.85546875" defaultRowHeight="15" x14ac:dyDescent="0.25"/>
  <cols>
    <col min="1" max="1" width="25.28515625" bestFit="1" customWidth="1"/>
    <col min="2" max="2" width="17.28515625" bestFit="1" customWidth="1"/>
    <col min="3" max="3" width="31.140625" style="83" bestFit="1" customWidth="1"/>
    <col min="4" max="4" width="7" bestFit="1" customWidth="1"/>
    <col min="5" max="6" width="10.7109375" bestFit="1" customWidth="1"/>
    <col min="7" max="7" width="31.140625" bestFit="1" customWidth="1"/>
    <col min="8" max="8" width="12.7109375" style="2" bestFit="1" customWidth="1"/>
    <col min="9" max="9" width="7.85546875" bestFit="1" customWidth="1"/>
    <col min="10" max="10" width="12.7109375" style="4" bestFit="1" customWidth="1"/>
    <col min="13" max="13" width="11.28515625" bestFit="1" customWidth="1"/>
    <col min="14" max="14" width="14.42578125" customWidth="1"/>
    <col min="15" max="15" width="24.7109375" bestFit="1" customWidth="1"/>
    <col min="17" max="18" width="9.7109375" bestFit="1" customWidth="1"/>
    <col min="19" max="19" width="25.140625" bestFit="1" customWidth="1"/>
    <col min="20" max="20" width="8.85546875" style="2"/>
    <col min="22" max="22" width="10.140625" bestFit="1" customWidth="1"/>
  </cols>
  <sheetData>
    <row r="1" spans="1:23" x14ac:dyDescent="0.25">
      <c r="D1" s="12" t="s">
        <v>613</v>
      </c>
    </row>
    <row r="3" spans="1:23" x14ac:dyDescent="0.25">
      <c r="A3" t="s">
        <v>483</v>
      </c>
      <c r="B3" t="s">
        <v>5</v>
      </c>
      <c r="C3" s="82" t="s">
        <v>490</v>
      </c>
      <c r="D3">
        <v>201507</v>
      </c>
      <c r="E3" s="1">
        <v>42185</v>
      </c>
      <c r="F3" s="1">
        <v>42217</v>
      </c>
      <c r="G3" t="s">
        <v>490</v>
      </c>
      <c r="H3" s="81">
        <v>0</v>
      </c>
      <c r="I3" t="s">
        <v>6</v>
      </c>
      <c r="J3" s="3">
        <v>0</v>
      </c>
      <c r="M3" t="s">
        <v>426</v>
      </c>
      <c r="N3" t="s">
        <v>5</v>
      </c>
      <c r="O3" t="s">
        <v>491</v>
      </c>
      <c r="P3">
        <v>201507</v>
      </c>
      <c r="Q3" s="1">
        <v>42186</v>
      </c>
      <c r="R3" s="1">
        <v>42217</v>
      </c>
      <c r="S3" t="s">
        <v>492</v>
      </c>
      <c r="T3" s="2">
        <v>4905</v>
      </c>
      <c r="U3" t="s">
        <v>6</v>
      </c>
      <c r="V3" s="4">
        <v>481.51</v>
      </c>
    </row>
    <row r="4" spans="1:23" x14ac:dyDescent="0.25">
      <c r="A4" t="s">
        <v>483</v>
      </c>
      <c r="B4" t="s">
        <v>5</v>
      </c>
      <c r="C4" s="82" t="s">
        <v>490</v>
      </c>
      <c r="D4">
        <v>201508</v>
      </c>
      <c r="E4" s="1">
        <v>42217</v>
      </c>
      <c r="F4" s="1">
        <v>42248</v>
      </c>
      <c r="G4" t="s">
        <v>490</v>
      </c>
      <c r="H4" s="81">
        <v>248011</v>
      </c>
      <c r="I4" t="s">
        <v>6</v>
      </c>
      <c r="J4" s="3">
        <v>24403.47</v>
      </c>
      <c r="M4" t="s">
        <v>426</v>
      </c>
      <c r="N4" t="s">
        <v>5</v>
      </c>
      <c r="O4" t="s">
        <v>491</v>
      </c>
      <c r="P4">
        <v>201508</v>
      </c>
      <c r="Q4" s="1">
        <v>42217</v>
      </c>
      <c r="R4" s="1">
        <v>42248</v>
      </c>
      <c r="S4" t="s">
        <v>492</v>
      </c>
      <c r="T4" s="2">
        <v>68761</v>
      </c>
      <c r="U4" t="s">
        <v>6</v>
      </c>
      <c r="V4" s="4">
        <v>6765.86</v>
      </c>
    </row>
    <row r="5" spans="1:23" x14ac:dyDescent="0.25">
      <c r="A5" t="s">
        <v>483</v>
      </c>
      <c r="B5" t="s">
        <v>5</v>
      </c>
      <c r="C5" s="82" t="s">
        <v>490</v>
      </c>
      <c r="D5">
        <v>201509</v>
      </c>
      <c r="E5" s="1">
        <v>42248</v>
      </c>
      <c r="F5" s="1">
        <v>42278</v>
      </c>
      <c r="G5" t="s">
        <v>490</v>
      </c>
      <c r="H5" s="81">
        <v>243650</v>
      </c>
      <c r="I5" t="s">
        <v>6</v>
      </c>
      <c r="J5" s="3">
        <v>24514.73</v>
      </c>
      <c r="M5" t="s">
        <v>426</v>
      </c>
      <c r="N5" t="s">
        <v>5</v>
      </c>
      <c r="O5" t="s">
        <v>491</v>
      </c>
      <c r="P5">
        <v>201509</v>
      </c>
      <c r="Q5" s="1">
        <v>42248</v>
      </c>
      <c r="R5" s="1">
        <v>42278</v>
      </c>
      <c r="S5" t="s">
        <v>492</v>
      </c>
      <c r="T5" s="2">
        <v>49674</v>
      </c>
      <c r="U5" t="s">
        <v>6</v>
      </c>
      <c r="V5" s="4">
        <v>4997.93</v>
      </c>
    </row>
    <row r="6" spans="1:23" x14ac:dyDescent="0.25">
      <c r="A6" t="s">
        <v>483</v>
      </c>
      <c r="B6" t="s">
        <v>5</v>
      </c>
      <c r="C6" s="82" t="s">
        <v>490</v>
      </c>
      <c r="D6">
        <v>201510</v>
      </c>
      <c r="E6" s="1">
        <v>42278</v>
      </c>
      <c r="F6" s="1">
        <v>42309</v>
      </c>
      <c r="G6" t="s">
        <v>490</v>
      </c>
      <c r="H6" s="81">
        <v>238314</v>
      </c>
      <c r="I6" t="s">
        <v>6</v>
      </c>
      <c r="J6" s="3">
        <v>24120.85</v>
      </c>
      <c r="M6" t="s">
        <v>426</v>
      </c>
      <c r="N6" t="s">
        <v>5</v>
      </c>
      <c r="O6" t="s">
        <v>491</v>
      </c>
      <c r="P6">
        <v>201510</v>
      </c>
      <c r="Q6" s="1">
        <v>42278</v>
      </c>
      <c r="R6" s="1">
        <v>42309</v>
      </c>
      <c r="S6" t="s">
        <v>492</v>
      </c>
      <c r="T6" s="2">
        <v>54752</v>
      </c>
      <c r="U6" t="s">
        <v>6</v>
      </c>
      <c r="V6" s="4">
        <v>5541.7</v>
      </c>
    </row>
    <row r="7" spans="1:23" x14ac:dyDescent="0.25">
      <c r="A7" t="s">
        <v>483</v>
      </c>
      <c r="B7" t="s">
        <v>5</v>
      </c>
      <c r="C7" s="82" t="s">
        <v>490</v>
      </c>
      <c r="D7">
        <v>201511</v>
      </c>
      <c r="E7" s="1">
        <v>42309</v>
      </c>
      <c r="F7" s="1">
        <v>42339</v>
      </c>
      <c r="G7" t="s">
        <v>490</v>
      </c>
      <c r="H7" s="81">
        <v>186127</v>
      </c>
      <c r="I7" t="s">
        <v>6</v>
      </c>
      <c r="J7" s="3">
        <v>18847.78</v>
      </c>
      <c r="M7" t="s">
        <v>426</v>
      </c>
      <c r="N7" t="s">
        <v>5</v>
      </c>
      <c r="O7" t="s">
        <v>491</v>
      </c>
      <c r="P7">
        <v>201511</v>
      </c>
      <c r="Q7" s="1">
        <v>42309</v>
      </c>
      <c r="R7" s="1">
        <v>42339</v>
      </c>
      <c r="S7" t="s">
        <v>492</v>
      </c>
      <c r="T7" s="2">
        <v>61952</v>
      </c>
      <c r="U7" t="s">
        <v>6</v>
      </c>
      <c r="V7" s="4">
        <v>6273.45</v>
      </c>
    </row>
    <row r="8" spans="1:23" x14ac:dyDescent="0.25">
      <c r="A8" t="s">
        <v>483</v>
      </c>
      <c r="B8" t="s">
        <v>5</v>
      </c>
      <c r="C8" s="82" t="s">
        <v>490</v>
      </c>
      <c r="D8">
        <v>201512</v>
      </c>
      <c r="E8" s="1">
        <v>42339</v>
      </c>
      <c r="F8" s="1">
        <v>42370</v>
      </c>
      <c r="G8" t="s">
        <v>490</v>
      </c>
      <c r="H8" s="81">
        <v>294627</v>
      </c>
      <c r="I8" t="s">
        <v>6</v>
      </c>
      <c r="J8" s="3">
        <v>26251.21</v>
      </c>
      <c r="M8" t="s">
        <v>426</v>
      </c>
      <c r="N8" t="s">
        <v>5</v>
      </c>
      <c r="O8" t="s">
        <v>491</v>
      </c>
      <c r="P8">
        <v>201512</v>
      </c>
      <c r="Q8" s="1">
        <v>42339</v>
      </c>
      <c r="R8" s="1">
        <v>42370</v>
      </c>
      <c r="S8" t="s">
        <v>492</v>
      </c>
      <c r="T8" s="2">
        <v>65196</v>
      </c>
      <c r="U8" t="s">
        <v>6</v>
      </c>
      <c r="V8" s="4">
        <v>5808.95</v>
      </c>
    </row>
    <row r="9" spans="1:23" x14ac:dyDescent="0.25">
      <c r="A9" t="s">
        <v>483</v>
      </c>
      <c r="B9" t="s">
        <v>5</v>
      </c>
      <c r="C9" s="82" t="s">
        <v>490</v>
      </c>
      <c r="D9">
        <v>201601</v>
      </c>
      <c r="E9" s="1">
        <v>42370</v>
      </c>
      <c r="F9" s="1">
        <v>42401</v>
      </c>
      <c r="G9" t="s">
        <v>490</v>
      </c>
      <c r="H9" s="81">
        <v>169568</v>
      </c>
      <c r="I9" t="s">
        <v>6</v>
      </c>
      <c r="J9" s="3">
        <v>14919.12</v>
      </c>
      <c r="M9" t="s">
        <v>426</v>
      </c>
      <c r="N9" t="s">
        <v>5</v>
      </c>
      <c r="O9" t="s">
        <v>491</v>
      </c>
      <c r="P9">
        <v>201601</v>
      </c>
      <c r="Q9" s="1">
        <v>42370</v>
      </c>
      <c r="R9" s="1">
        <v>42401</v>
      </c>
      <c r="S9" t="s">
        <v>492</v>
      </c>
      <c r="T9" s="2">
        <v>86568</v>
      </c>
      <c r="U9" t="s">
        <v>6</v>
      </c>
      <c r="V9" s="4">
        <v>7616.52</v>
      </c>
    </row>
    <row r="10" spans="1:23" x14ac:dyDescent="0.25">
      <c r="A10" t="s">
        <v>483</v>
      </c>
      <c r="B10" t="s">
        <v>5</v>
      </c>
      <c r="C10" s="82" t="s">
        <v>490</v>
      </c>
      <c r="D10">
        <v>201602</v>
      </c>
      <c r="E10" s="1">
        <v>42401</v>
      </c>
      <c r="F10" s="1">
        <v>42430</v>
      </c>
      <c r="G10" t="s">
        <v>490</v>
      </c>
      <c r="H10" s="81">
        <v>153653</v>
      </c>
      <c r="I10" t="s">
        <v>6</v>
      </c>
      <c r="J10" s="3">
        <v>13671.58</v>
      </c>
      <c r="M10" t="s">
        <v>426</v>
      </c>
      <c r="N10" t="s">
        <v>5</v>
      </c>
      <c r="O10" t="s">
        <v>491</v>
      </c>
      <c r="P10">
        <v>201602</v>
      </c>
      <c r="Q10" s="1">
        <v>42401</v>
      </c>
      <c r="R10" s="1">
        <v>42430</v>
      </c>
      <c r="S10" t="s">
        <v>492</v>
      </c>
      <c r="T10" s="2">
        <v>77304</v>
      </c>
      <c r="U10" t="s">
        <v>6</v>
      </c>
      <c r="V10" s="4">
        <v>6878.28</v>
      </c>
    </row>
    <row r="11" spans="1:23" x14ac:dyDescent="0.25">
      <c r="A11" t="s">
        <v>483</v>
      </c>
      <c r="B11" t="s">
        <v>5</v>
      </c>
      <c r="C11" s="82" t="s">
        <v>490</v>
      </c>
      <c r="D11">
        <v>201603</v>
      </c>
      <c r="E11" s="1">
        <v>42430</v>
      </c>
      <c r="F11" s="1">
        <v>42461</v>
      </c>
      <c r="G11" t="s">
        <v>490</v>
      </c>
      <c r="H11" s="81">
        <v>194776</v>
      </c>
      <c r="I11" t="s">
        <v>6</v>
      </c>
      <c r="J11" s="3">
        <v>17037.28</v>
      </c>
      <c r="M11" t="s">
        <v>426</v>
      </c>
      <c r="N11" t="s">
        <v>5</v>
      </c>
      <c r="O11" t="s">
        <v>491</v>
      </c>
      <c r="P11">
        <v>201603</v>
      </c>
      <c r="Q11" s="1">
        <v>42430</v>
      </c>
      <c r="R11" s="1">
        <v>42461</v>
      </c>
      <c r="S11" t="s">
        <v>492</v>
      </c>
      <c r="T11" s="2">
        <v>60668</v>
      </c>
      <c r="U11" t="s">
        <v>6</v>
      </c>
      <c r="V11" s="4">
        <v>5306.7</v>
      </c>
    </row>
    <row r="12" spans="1:23" x14ac:dyDescent="0.25">
      <c r="A12" t="s">
        <v>483</v>
      </c>
      <c r="B12" t="s">
        <v>5</v>
      </c>
      <c r="C12" s="82" t="s">
        <v>490</v>
      </c>
      <c r="D12">
        <v>201604</v>
      </c>
      <c r="E12" s="1">
        <v>42461</v>
      </c>
      <c r="F12" s="1">
        <v>42491</v>
      </c>
      <c r="G12" t="s">
        <v>490</v>
      </c>
      <c r="H12" s="81">
        <v>198802</v>
      </c>
      <c r="I12" t="s">
        <v>6</v>
      </c>
      <c r="J12" s="3">
        <v>17550.04</v>
      </c>
      <c r="M12" t="s">
        <v>426</v>
      </c>
      <c r="N12" t="s">
        <v>5</v>
      </c>
      <c r="O12" t="s">
        <v>491</v>
      </c>
      <c r="P12">
        <v>201604</v>
      </c>
      <c r="Q12" s="1">
        <v>42461</v>
      </c>
      <c r="R12" s="1">
        <v>42491</v>
      </c>
      <c r="S12" t="s">
        <v>492</v>
      </c>
      <c r="T12" s="2">
        <v>53952</v>
      </c>
      <c r="U12" t="s">
        <v>6</v>
      </c>
      <c r="V12" s="4">
        <v>4762.83</v>
      </c>
    </row>
    <row r="13" spans="1:23" x14ac:dyDescent="0.25">
      <c r="A13" t="s">
        <v>483</v>
      </c>
      <c r="B13" t="s">
        <v>5</v>
      </c>
      <c r="C13" s="82" t="s">
        <v>490</v>
      </c>
      <c r="D13">
        <v>201605</v>
      </c>
      <c r="E13" s="1">
        <v>42491</v>
      </c>
      <c r="F13" s="1">
        <v>42522</v>
      </c>
      <c r="G13" t="s">
        <v>490</v>
      </c>
      <c r="H13" s="81">
        <v>224427</v>
      </c>
      <c r="I13" t="s">
        <v>6</v>
      </c>
      <c r="J13" s="3">
        <v>19812.189999999999</v>
      </c>
      <c r="M13" t="s">
        <v>426</v>
      </c>
      <c r="N13" t="s">
        <v>5</v>
      </c>
      <c r="O13" t="s">
        <v>491</v>
      </c>
      <c r="P13">
        <v>201605</v>
      </c>
      <c r="Q13" s="1">
        <v>42491</v>
      </c>
      <c r="R13" s="1">
        <v>42522</v>
      </c>
      <c r="S13" t="s">
        <v>492</v>
      </c>
      <c r="T13" s="2">
        <v>50784</v>
      </c>
      <c r="U13" t="s">
        <v>6</v>
      </c>
      <c r="V13" s="4">
        <v>4483.16</v>
      </c>
    </row>
    <row r="14" spans="1:23" ht="15.75" thickBot="1" x14ac:dyDescent="0.3">
      <c r="A14" t="s">
        <v>483</v>
      </c>
      <c r="B14" t="s">
        <v>5</v>
      </c>
      <c r="C14" s="82" t="s">
        <v>490</v>
      </c>
      <c r="D14">
        <v>201606</v>
      </c>
      <c r="E14" s="1">
        <v>42522</v>
      </c>
      <c r="F14" s="1">
        <v>42552</v>
      </c>
      <c r="G14" t="s">
        <v>490</v>
      </c>
      <c r="H14" s="81">
        <v>285942</v>
      </c>
      <c r="I14" t="s">
        <v>6</v>
      </c>
      <c r="J14" s="3">
        <v>25719.94</v>
      </c>
      <c r="M14" t="s">
        <v>426</v>
      </c>
      <c r="N14" t="s">
        <v>5</v>
      </c>
      <c r="O14" t="s">
        <v>491</v>
      </c>
      <c r="P14">
        <v>201606</v>
      </c>
      <c r="Q14" s="1">
        <v>42522</v>
      </c>
      <c r="R14" s="1">
        <v>42552</v>
      </c>
      <c r="S14" t="s">
        <v>492</v>
      </c>
      <c r="T14" s="2">
        <v>53652</v>
      </c>
      <c r="U14" t="s">
        <v>6</v>
      </c>
      <c r="V14" s="4">
        <v>4825.8999999999996</v>
      </c>
    </row>
    <row r="15" spans="1:23" ht="15.75" thickBot="1" x14ac:dyDescent="0.3">
      <c r="A15" t="s">
        <v>474</v>
      </c>
      <c r="B15" t="s">
        <v>5</v>
      </c>
      <c r="C15" s="82">
        <v>2490795003</v>
      </c>
      <c r="D15">
        <v>201507</v>
      </c>
      <c r="E15" s="1">
        <v>42174</v>
      </c>
      <c r="F15" s="1">
        <v>42205</v>
      </c>
      <c r="G15" t="s">
        <v>475</v>
      </c>
      <c r="H15" s="81">
        <v>456</v>
      </c>
      <c r="I15" t="s">
        <v>6</v>
      </c>
      <c r="J15" s="3">
        <v>92.34</v>
      </c>
      <c r="T15" s="89">
        <f>SUM(T3:T14)</f>
        <v>688168</v>
      </c>
      <c r="U15" t="s">
        <v>6</v>
      </c>
      <c r="V15" s="90">
        <f>SUM(V3:V14)</f>
        <v>63742.79</v>
      </c>
      <c r="W15" t="s">
        <v>493</v>
      </c>
    </row>
    <row r="16" spans="1:23" x14ac:dyDescent="0.25">
      <c r="A16" t="s">
        <v>474</v>
      </c>
      <c r="B16" t="s">
        <v>5</v>
      </c>
      <c r="C16" s="82">
        <v>2490795003</v>
      </c>
      <c r="D16">
        <v>201508</v>
      </c>
      <c r="E16" s="1">
        <v>42205</v>
      </c>
      <c r="F16" s="1">
        <v>42236</v>
      </c>
      <c r="G16" t="s">
        <v>475</v>
      </c>
      <c r="H16" s="81">
        <v>439</v>
      </c>
      <c r="I16" t="s">
        <v>6</v>
      </c>
      <c r="J16" s="3">
        <v>90.45</v>
      </c>
    </row>
    <row r="17" spans="1:20" x14ac:dyDescent="0.25">
      <c r="A17" t="s">
        <v>474</v>
      </c>
      <c r="B17" t="s">
        <v>5</v>
      </c>
      <c r="C17" s="82">
        <v>2490795003</v>
      </c>
      <c r="D17">
        <v>201509</v>
      </c>
      <c r="E17" s="1">
        <v>42236</v>
      </c>
      <c r="F17" s="1">
        <v>42265</v>
      </c>
      <c r="G17" t="s">
        <v>475</v>
      </c>
      <c r="H17" s="81">
        <v>500</v>
      </c>
      <c r="I17" t="s">
        <v>6</v>
      </c>
      <c r="J17" s="3">
        <v>97.26</v>
      </c>
    </row>
    <row r="18" spans="1:20" x14ac:dyDescent="0.25">
      <c r="A18" t="s">
        <v>474</v>
      </c>
      <c r="B18" t="s">
        <v>5</v>
      </c>
      <c r="C18" s="82">
        <v>2490795003</v>
      </c>
      <c r="D18">
        <v>201510</v>
      </c>
      <c r="E18" s="1">
        <v>42265</v>
      </c>
      <c r="F18" s="1">
        <v>42297</v>
      </c>
      <c r="G18" t="s">
        <v>475</v>
      </c>
      <c r="H18" s="81">
        <v>1897</v>
      </c>
      <c r="I18" t="s">
        <v>6</v>
      </c>
      <c r="J18" s="3">
        <v>253.06</v>
      </c>
    </row>
    <row r="19" spans="1:20" x14ac:dyDescent="0.25">
      <c r="A19" t="s">
        <v>474</v>
      </c>
      <c r="B19" t="s">
        <v>5</v>
      </c>
      <c r="C19" s="82">
        <v>2490795003</v>
      </c>
      <c r="D19">
        <v>201511</v>
      </c>
      <c r="E19" s="1">
        <v>42297</v>
      </c>
      <c r="F19" s="1">
        <v>42327</v>
      </c>
      <c r="G19" t="s">
        <v>475</v>
      </c>
      <c r="H19" s="81">
        <v>2289</v>
      </c>
      <c r="I19" t="s">
        <v>6</v>
      </c>
      <c r="J19" s="3">
        <v>300.57</v>
      </c>
    </row>
    <row r="20" spans="1:20" x14ac:dyDescent="0.25">
      <c r="A20" t="s">
        <v>474</v>
      </c>
      <c r="B20" t="s">
        <v>5</v>
      </c>
      <c r="C20" s="82">
        <v>2490795003</v>
      </c>
      <c r="D20">
        <v>201512</v>
      </c>
      <c r="E20" s="1">
        <v>42327</v>
      </c>
      <c r="F20" s="1">
        <v>42359</v>
      </c>
      <c r="G20" t="s">
        <v>475</v>
      </c>
      <c r="H20" s="81">
        <v>4405</v>
      </c>
      <c r="I20" t="s">
        <v>6</v>
      </c>
      <c r="J20" s="3">
        <v>532.74</v>
      </c>
    </row>
    <row r="21" spans="1:20" x14ac:dyDescent="0.25">
      <c r="A21" t="s">
        <v>474</v>
      </c>
      <c r="B21" t="s">
        <v>5</v>
      </c>
      <c r="C21" s="82">
        <v>2490795003</v>
      </c>
      <c r="D21">
        <v>201601</v>
      </c>
      <c r="E21" s="1">
        <v>42359</v>
      </c>
      <c r="F21" s="1">
        <v>42389</v>
      </c>
      <c r="G21" t="s">
        <v>475</v>
      </c>
      <c r="H21" s="81">
        <v>4213</v>
      </c>
      <c r="I21" t="s">
        <v>6</v>
      </c>
      <c r="J21" s="3">
        <v>469.62</v>
      </c>
    </row>
    <row r="22" spans="1:20" x14ac:dyDescent="0.25">
      <c r="A22" t="s">
        <v>474</v>
      </c>
      <c r="B22" t="s">
        <v>5</v>
      </c>
      <c r="C22" s="82">
        <v>2490795003</v>
      </c>
      <c r="D22">
        <v>201602</v>
      </c>
      <c r="E22" s="1">
        <v>42389</v>
      </c>
      <c r="F22" s="1">
        <v>42419</v>
      </c>
      <c r="G22" t="s">
        <v>475</v>
      </c>
      <c r="H22" s="81">
        <v>5062</v>
      </c>
      <c r="I22" t="s">
        <v>6</v>
      </c>
      <c r="J22" s="3">
        <v>546.28</v>
      </c>
      <c r="T22"/>
    </row>
    <row r="23" spans="1:20" x14ac:dyDescent="0.25">
      <c r="A23" t="s">
        <v>474</v>
      </c>
      <c r="B23" t="s">
        <v>5</v>
      </c>
      <c r="C23" s="82">
        <v>2490795003</v>
      </c>
      <c r="D23">
        <v>201603</v>
      </c>
      <c r="E23" s="1">
        <v>42419</v>
      </c>
      <c r="F23" s="1">
        <v>42447</v>
      </c>
      <c r="G23" t="s">
        <v>475</v>
      </c>
      <c r="H23" s="81">
        <v>3218</v>
      </c>
      <c r="I23" t="s">
        <v>6</v>
      </c>
      <c r="J23" s="3">
        <v>362.41</v>
      </c>
      <c r="T23"/>
    </row>
    <row r="24" spans="1:20" x14ac:dyDescent="0.25">
      <c r="A24" t="s">
        <v>474</v>
      </c>
      <c r="B24" t="s">
        <v>5</v>
      </c>
      <c r="C24" s="82">
        <v>2490795003</v>
      </c>
      <c r="D24">
        <v>201604</v>
      </c>
      <c r="E24" s="1">
        <v>42447</v>
      </c>
      <c r="F24" s="1">
        <v>42479</v>
      </c>
      <c r="G24" t="s">
        <v>475</v>
      </c>
      <c r="H24" s="81">
        <v>1512</v>
      </c>
      <c r="I24" t="s">
        <v>6</v>
      </c>
      <c r="J24" s="3">
        <v>197.72</v>
      </c>
      <c r="T24"/>
    </row>
    <row r="25" spans="1:20" x14ac:dyDescent="0.25">
      <c r="A25" t="s">
        <v>474</v>
      </c>
      <c r="B25" t="s">
        <v>5</v>
      </c>
      <c r="C25" s="82">
        <v>2490795003</v>
      </c>
      <c r="D25">
        <v>201605</v>
      </c>
      <c r="E25" s="1">
        <v>42479</v>
      </c>
      <c r="F25" s="1">
        <v>42509</v>
      </c>
      <c r="G25" t="s">
        <v>475</v>
      </c>
      <c r="H25" s="81">
        <v>454</v>
      </c>
      <c r="I25" t="s">
        <v>6</v>
      </c>
      <c r="J25" s="3">
        <v>86.78</v>
      </c>
      <c r="T25"/>
    </row>
    <row r="26" spans="1:20" x14ac:dyDescent="0.25">
      <c r="A26" t="s">
        <v>474</v>
      </c>
      <c r="B26" t="s">
        <v>5</v>
      </c>
      <c r="C26" s="82">
        <v>2490795003</v>
      </c>
      <c r="D26">
        <v>201606</v>
      </c>
      <c r="E26" s="1">
        <v>42509</v>
      </c>
      <c r="F26" s="1">
        <v>42541</v>
      </c>
      <c r="G26" t="s">
        <v>475</v>
      </c>
      <c r="H26" s="81">
        <v>500</v>
      </c>
      <c r="I26" t="s">
        <v>6</v>
      </c>
      <c r="J26" s="3">
        <v>91.36</v>
      </c>
      <c r="T26"/>
    </row>
    <row r="27" spans="1:20" x14ac:dyDescent="0.25">
      <c r="A27" t="s">
        <v>474</v>
      </c>
      <c r="B27" t="s">
        <v>5</v>
      </c>
      <c r="C27" s="82" t="s">
        <v>485</v>
      </c>
      <c r="D27">
        <v>201507</v>
      </c>
      <c r="E27" s="1">
        <v>42186</v>
      </c>
      <c r="F27" s="1">
        <v>42217</v>
      </c>
      <c r="G27" t="s">
        <v>485</v>
      </c>
      <c r="H27" s="81">
        <v>254032</v>
      </c>
      <c r="I27" t="s">
        <v>6</v>
      </c>
      <c r="J27" s="3">
        <v>24937.83</v>
      </c>
      <c r="T27"/>
    </row>
    <row r="28" spans="1:20" x14ac:dyDescent="0.25">
      <c r="A28" t="s">
        <v>474</v>
      </c>
      <c r="B28" t="s">
        <v>5</v>
      </c>
      <c r="C28" s="82" t="s">
        <v>485</v>
      </c>
      <c r="D28">
        <v>201508</v>
      </c>
      <c r="E28" s="1">
        <v>42217</v>
      </c>
      <c r="F28" s="1">
        <v>42248</v>
      </c>
      <c r="G28" t="s">
        <v>485</v>
      </c>
      <c r="H28" s="81">
        <v>241793</v>
      </c>
      <c r="I28" t="s">
        <v>6</v>
      </c>
      <c r="J28" s="3">
        <v>23791.64</v>
      </c>
      <c r="T28"/>
    </row>
    <row r="29" spans="1:20" x14ac:dyDescent="0.25">
      <c r="A29" t="s">
        <v>474</v>
      </c>
      <c r="B29" t="s">
        <v>5</v>
      </c>
      <c r="C29" s="82" t="s">
        <v>485</v>
      </c>
      <c r="D29">
        <v>201509</v>
      </c>
      <c r="E29" s="1">
        <v>42248</v>
      </c>
      <c r="F29" s="1">
        <v>42278</v>
      </c>
      <c r="G29" t="s">
        <v>485</v>
      </c>
      <c r="H29" s="81">
        <v>306300</v>
      </c>
      <c r="I29" t="s">
        <v>6</v>
      </c>
      <c r="J29" s="3">
        <v>30540.79</v>
      </c>
      <c r="T29"/>
    </row>
    <row r="30" spans="1:20" x14ac:dyDescent="0.25">
      <c r="A30" t="s">
        <v>474</v>
      </c>
      <c r="B30" t="s">
        <v>5</v>
      </c>
      <c r="C30" s="82" t="s">
        <v>485</v>
      </c>
      <c r="D30">
        <v>201510</v>
      </c>
      <c r="E30" s="1">
        <v>42278</v>
      </c>
      <c r="F30" s="1">
        <v>42309</v>
      </c>
      <c r="G30" t="s">
        <v>485</v>
      </c>
      <c r="H30" s="81">
        <v>230321</v>
      </c>
      <c r="I30" t="s">
        <v>6</v>
      </c>
      <c r="J30" s="3">
        <v>22930.55</v>
      </c>
      <c r="T30"/>
    </row>
    <row r="31" spans="1:20" x14ac:dyDescent="0.25">
      <c r="A31" t="s">
        <v>474</v>
      </c>
      <c r="B31" t="s">
        <v>5</v>
      </c>
      <c r="C31" s="82" t="s">
        <v>485</v>
      </c>
      <c r="D31">
        <v>201511</v>
      </c>
      <c r="E31" s="1">
        <v>42309</v>
      </c>
      <c r="F31" s="1">
        <v>42339</v>
      </c>
      <c r="G31" t="s">
        <v>485</v>
      </c>
      <c r="H31" s="81">
        <v>210693</v>
      </c>
      <c r="I31" t="s">
        <v>6</v>
      </c>
      <c r="J31" s="3">
        <v>20470.91</v>
      </c>
      <c r="T31"/>
    </row>
    <row r="32" spans="1:20" x14ac:dyDescent="0.25">
      <c r="A32" t="s">
        <v>474</v>
      </c>
      <c r="B32" t="s">
        <v>5</v>
      </c>
      <c r="C32" s="82" t="s">
        <v>485</v>
      </c>
      <c r="D32">
        <v>201512</v>
      </c>
      <c r="E32" s="1">
        <v>42339</v>
      </c>
      <c r="F32" s="1">
        <v>42370</v>
      </c>
      <c r="G32" t="s">
        <v>485</v>
      </c>
      <c r="H32" s="81">
        <v>202297</v>
      </c>
      <c r="I32" t="s">
        <v>6</v>
      </c>
      <c r="J32" s="3">
        <v>17720.16</v>
      </c>
      <c r="T32"/>
    </row>
    <row r="33" spans="1:20" x14ac:dyDescent="0.25">
      <c r="A33" t="s">
        <v>474</v>
      </c>
      <c r="B33" t="s">
        <v>5</v>
      </c>
      <c r="C33" s="82" t="s">
        <v>485</v>
      </c>
      <c r="D33">
        <v>201601</v>
      </c>
      <c r="E33" s="1">
        <v>42370</v>
      </c>
      <c r="F33" s="1">
        <v>42401</v>
      </c>
      <c r="G33" t="s">
        <v>485</v>
      </c>
      <c r="H33" s="81">
        <v>207167</v>
      </c>
      <c r="I33" t="s">
        <v>6</v>
      </c>
      <c r="J33" s="3">
        <v>17707.189999999999</v>
      </c>
      <c r="T33"/>
    </row>
    <row r="34" spans="1:20" x14ac:dyDescent="0.25">
      <c r="A34" t="s">
        <v>474</v>
      </c>
      <c r="B34" t="s">
        <v>5</v>
      </c>
      <c r="C34" s="82" t="s">
        <v>485</v>
      </c>
      <c r="D34">
        <v>201602</v>
      </c>
      <c r="E34" s="1">
        <v>42401</v>
      </c>
      <c r="F34" s="1">
        <v>42430</v>
      </c>
      <c r="G34" t="s">
        <v>485</v>
      </c>
      <c r="H34" s="81">
        <v>192939</v>
      </c>
      <c r="I34" t="s">
        <v>6</v>
      </c>
      <c r="J34" s="3">
        <v>16870.03</v>
      </c>
      <c r="T34"/>
    </row>
    <row r="35" spans="1:20" x14ac:dyDescent="0.25">
      <c r="A35" t="s">
        <v>474</v>
      </c>
      <c r="B35" t="s">
        <v>5</v>
      </c>
      <c r="C35" s="82" t="s">
        <v>485</v>
      </c>
      <c r="D35">
        <v>201603</v>
      </c>
      <c r="E35" s="1">
        <v>42430</v>
      </c>
      <c r="F35" s="1">
        <v>42461</v>
      </c>
      <c r="G35" t="s">
        <v>485</v>
      </c>
      <c r="H35" s="81">
        <v>225440</v>
      </c>
      <c r="I35" t="s">
        <v>6</v>
      </c>
      <c r="J35" s="3">
        <v>19721.78</v>
      </c>
      <c r="T35"/>
    </row>
    <row r="36" spans="1:20" x14ac:dyDescent="0.25">
      <c r="A36" t="s">
        <v>474</v>
      </c>
      <c r="B36" t="s">
        <v>5</v>
      </c>
      <c r="C36" s="82" t="s">
        <v>485</v>
      </c>
      <c r="D36">
        <v>201604</v>
      </c>
      <c r="E36" s="1">
        <v>42461</v>
      </c>
      <c r="F36" s="1">
        <v>42491</v>
      </c>
      <c r="G36" t="s">
        <v>485</v>
      </c>
      <c r="H36" s="81">
        <v>222250</v>
      </c>
      <c r="I36" t="s">
        <v>6</v>
      </c>
      <c r="J36" s="3">
        <v>19741.8</v>
      </c>
      <c r="T36"/>
    </row>
    <row r="37" spans="1:20" x14ac:dyDescent="0.25">
      <c r="A37" t="s">
        <v>474</v>
      </c>
      <c r="B37" t="s">
        <v>5</v>
      </c>
      <c r="C37" s="82" t="s">
        <v>485</v>
      </c>
      <c r="D37">
        <v>201605</v>
      </c>
      <c r="E37" s="1">
        <v>42491</v>
      </c>
      <c r="F37" s="1">
        <v>42522</v>
      </c>
      <c r="G37" t="s">
        <v>485</v>
      </c>
      <c r="H37" s="81">
        <v>259885</v>
      </c>
      <c r="I37" t="s">
        <v>6</v>
      </c>
      <c r="J37" s="3">
        <v>23084.81</v>
      </c>
      <c r="T37"/>
    </row>
    <row r="38" spans="1:20" x14ac:dyDescent="0.25">
      <c r="A38" t="s">
        <v>474</v>
      </c>
      <c r="B38" t="s">
        <v>5</v>
      </c>
      <c r="C38" s="82" t="s">
        <v>485</v>
      </c>
      <c r="D38">
        <v>201606</v>
      </c>
      <c r="E38" s="1">
        <v>42522</v>
      </c>
      <c r="F38" s="1">
        <v>42552</v>
      </c>
      <c r="G38" t="s">
        <v>485</v>
      </c>
      <c r="H38" s="81">
        <v>308669</v>
      </c>
      <c r="I38" t="s">
        <v>6</v>
      </c>
      <c r="J38" s="3">
        <v>26961</v>
      </c>
      <c r="T38"/>
    </row>
    <row r="39" spans="1:20" x14ac:dyDescent="0.25">
      <c r="A39" t="s">
        <v>471</v>
      </c>
      <c r="B39" t="s">
        <v>5</v>
      </c>
      <c r="C39" s="82">
        <v>2490795002</v>
      </c>
      <c r="D39">
        <v>201507</v>
      </c>
      <c r="E39" s="1">
        <v>42174</v>
      </c>
      <c r="F39" s="1">
        <v>42205</v>
      </c>
      <c r="G39" t="s">
        <v>472</v>
      </c>
      <c r="H39" s="81">
        <v>2649</v>
      </c>
      <c r="I39" t="s">
        <v>6</v>
      </c>
      <c r="J39" s="3">
        <v>320.92</v>
      </c>
      <c r="T39"/>
    </row>
    <row r="40" spans="1:20" x14ac:dyDescent="0.25">
      <c r="A40" t="s">
        <v>471</v>
      </c>
      <c r="B40" t="s">
        <v>5</v>
      </c>
      <c r="C40" s="82">
        <v>2490795002</v>
      </c>
      <c r="D40">
        <v>201508</v>
      </c>
      <c r="E40" s="1">
        <v>42205</v>
      </c>
      <c r="F40" s="1">
        <v>42236</v>
      </c>
      <c r="G40" t="s">
        <v>472</v>
      </c>
      <c r="H40" s="81">
        <v>2959</v>
      </c>
      <c r="I40" t="s">
        <v>6</v>
      </c>
      <c r="J40" s="3">
        <v>355.48</v>
      </c>
      <c r="T40"/>
    </row>
    <row r="41" spans="1:20" x14ac:dyDescent="0.25">
      <c r="A41" t="s">
        <v>471</v>
      </c>
      <c r="B41" t="s">
        <v>5</v>
      </c>
      <c r="C41" s="82">
        <v>2490795002</v>
      </c>
      <c r="D41">
        <v>201509</v>
      </c>
      <c r="E41" s="1">
        <v>42236</v>
      </c>
      <c r="F41" s="1">
        <v>42268</v>
      </c>
      <c r="G41" t="s">
        <v>472</v>
      </c>
      <c r="H41" s="81">
        <v>2276</v>
      </c>
      <c r="I41" t="s">
        <v>6</v>
      </c>
      <c r="J41" s="3">
        <v>279.33</v>
      </c>
      <c r="T41"/>
    </row>
    <row r="42" spans="1:20" x14ac:dyDescent="0.25">
      <c r="A42" t="s">
        <v>471</v>
      </c>
      <c r="B42" t="s">
        <v>5</v>
      </c>
      <c r="C42" s="82">
        <v>2490795002</v>
      </c>
      <c r="D42">
        <v>201510</v>
      </c>
      <c r="E42" s="1">
        <v>42268</v>
      </c>
      <c r="F42" s="1">
        <v>42297</v>
      </c>
      <c r="G42" t="s">
        <v>472</v>
      </c>
      <c r="H42" s="81">
        <v>1910</v>
      </c>
      <c r="I42" t="s">
        <v>6</v>
      </c>
      <c r="J42" s="3">
        <v>238.5</v>
      </c>
    </row>
    <row r="43" spans="1:20" x14ac:dyDescent="0.25">
      <c r="A43" t="s">
        <v>471</v>
      </c>
      <c r="B43" t="s">
        <v>5</v>
      </c>
      <c r="C43" s="82">
        <v>2490795002</v>
      </c>
      <c r="D43">
        <v>201511</v>
      </c>
      <c r="E43" s="1">
        <v>42297</v>
      </c>
      <c r="F43" s="1">
        <v>42327</v>
      </c>
      <c r="G43" t="s">
        <v>472</v>
      </c>
      <c r="H43" s="81">
        <v>2282</v>
      </c>
      <c r="I43" t="s">
        <v>6</v>
      </c>
      <c r="J43" s="3">
        <v>283.56</v>
      </c>
    </row>
    <row r="44" spans="1:20" x14ac:dyDescent="0.25">
      <c r="A44" t="s">
        <v>471</v>
      </c>
      <c r="B44" t="s">
        <v>5</v>
      </c>
      <c r="C44" s="82">
        <v>2490795002</v>
      </c>
      <c r="D44">
        <v>201512</v>
      </c>
      <c r="E44" s="1">
        <v>42327</v>
      </c>
      <c r="F44" s="1">
        <v>42359</v>
      </c>
      <c r="G44" t="s">
        <v>472</v>
      </c>
      <c r="H44" s="81">
        <v>3631</v>
      </c>
      <c r="I44" t="s">
        <v>6</v>
      </c>
      <c r="J44" s="3">
        <v>430.44</v>
      </c>
    </row>
    <row r="45" spans="1:20" x14ac:dyDescent="0.25">
      <c r="A45" t="s">
        <v>471</v>
      </c>
      <c r="B45" t="s">
        <v>5</v>
      </c>
      <c r="C45" s="82">
        <v>2490795002</v>
      </c>
      <c r="D45">
        <v>201601</v>
      </c>
      <c r="E45" s="1">
        <v>42359</v>
      </c>
      <c r="F45" s="1">
        <v>42389</v>
      </c>
      <c r="G45" t="s">
        <v>472</v>
      </c>
      <c r="H45" s="81">
        <v>3922</v>
      </c>
      <c r="I45" t="s">
        <v>6</v>
      </c>
      <c r="J45" s="3">
        <v>423.06</v>
      </c>
    </row>
    <row r="46" spans="1:20" x14ac:dyDescent="0.25">
      <c r="A46" t="s">
        <v>471</v>
      </c>
      <c r="B46" t="s">
        <v>5</v>
      </c>
      <c r="C46" s="82">
        <v>2490795002</v>
      </c>
      <c r="D46">
        <v>201602</v>
      </c>
      <c r="E46" s="1">
        <v>42389</v>
      </c>
      <c r="F46" s="1">
        <v>42419</v>
      </c>
      <c r="G46" t="s">
        <v>472</v>
      </c>
      <c r="H46" s="81">
        <v>5687</v>
      </c>
      <c r="I46" t="s">
        <v>6</v>
      </c>
      <c r="J46" s="3">
        <v>592.61</v>
      </c>
    </row>
    <row r="47" spans="1:20" x14ac:dyDescent="0.25">
      <c r="A47" t="s">
        <v>471</v>
      </c>
      <c r="B47" t="s">
        <v>5</v>
      </c>
      <c r="C47" s="82">
        <v>2490795002</v>
      </c>
      <c r="D47">
        <v>201603</v>
      </c>
      <c r="E47" s="1">
        <v>42419</v>
      </c>
      <c r="F47" s="1">
        <v>42447</v>
      </c>
      <c r="G47" t="s">
        <v>472</v>
      </c>
      <c r="H47" s="81">
        <v>2595</v>
      </c>
      <c r="I47" t="s">
        <v>6</v>
      </c>
      <c r="J47" s="3">
        <v>284.27999999999997</v>
      </c>
    </row>
    <row r="48" spans="1:20" x14ac:dyDescent="0.25">
      <c r="A48" t="s">
        <v>471</v>
      </c>
      <c r="B48" t="s">
        <v>5</v>
      </c>
      <c r="C48" s="82">
        <v>2490795002</v>
      </c>
      <c r="D48">
        <v>201604</v>
      </c>
      <c r="E48" s="1">
        <v>42447</v>
      </c>
      <c r="F48" s="1">
        <v>42479</v>
      </c>
      <c r="G48" t="s">
        <v>472</v>
      </c>
      <c r="H48" s="81">
        <v>2156</v>
      </c>
      <c r="I48" t="s">
        <v>6</v>
      </c>
      <c r="J48" s="3">
        <v>244.76</v>
      </c>
    </row>
    <row r="49" spans="1:10" x14ac:dyDescent="0.25">
      <c r="A49" t="s">
        <v>471</v>
      </c>
      <c r="B49" t="s">
        <v>5</v>
      </c>
      <c r="C49" s="82">
        <v>2490795002</v>
      </c>
      <c r="D49">
        <v>201605</v>
      </c>
      <c r="E49" s="1">
        <v>42479</v>
      </c>
      <c r="F49" s="1">
        <v>42509</v>
      </c>
      <c r="G49" t="s">
        <v>472</v>
      </c>
      <c r="H49" s="81">
        <v>1335</v>
      </c>
      <c r="I49" t="s">
        <v>6</v>
      </c>
      <c r="J49" s="3">
        <v>158.63</v>
      </c>
    </row>
    <row r="50" spans="1:10" x14ac:dyDescent="0.25">
      <c r="A50" t="s">
        <v>471</v>
      </c>
      <c r="B50" t="s">
        <v>5</v>
      </c>
      <c r="C50" s="82">
        <v>2490795002</v>
      </c>
      <c r="D50">
        <v>201606</v>
      </c>
      <c r="E50" s="1">
        <v>42509</v>
      </c>
      <c r="F50" s="1">
        <v>42541</v>
      </c>
      <c r="G50" t="s">
        <v>472</v>
      </c>
      <c r="H50" s="81">
        <v>2079</v>
      </c>
      <c r="I50" t="s">
        <v>6</v>
      </c>
      <c r="J50" s="3">
        <v>232.81</v>
      </c>
    </row>
    <row r="51" spans="1:10" x14ac:dyDescent="0.25">
      <c r="A51" t="s">
        <v>471</v>
      </c>
      <c r="B51" t="s">
        <v>5</v>
      </c>
      <c r="C51" s="82" t="s">
        <v>479</v>
      </c>
      <c r="D51">
        <v>201507</v>
      </c>
      <c r="E51" s="1">
        <v>42186</v>
      </c>
      <c r="F51" s="1">
        <v>42217</v>
      </c>
      <c r="G51" t="s">
        <v>479</v>
      </c>
      <c r="H51" s="81">
        <v>333417</v>
      </c>
      <c r="I51" t="s">
        <v>6</v>
      </c>
      <c r="J51" s="3">
        <v>32730.91</v>
      </c>
    </row>
    <row r="52" spans="1:10" x14ac:dyDescent="0.25">
      <c r="A52" t="s">
        <v>471</v>
      </c>
      <c r="B52" t="s">
        <v>5</v>
      </c>
      <c r="C52" s="82" t="s">
        <v>479</v>
      </c>
      <c r="D52">
        <v>201508</v>
      </c>
      <c r="E52" s="1">
        <v>42217</v>
      </c>
      <c r="F52" s="1">
        <v>42248</v>
      </c>
      <c r="G52" t="s">
        <v>479</v>
      </c>
      <c r="H52" s="81">
        <v>317353</v>
      </c>
      <c r="I52" t="s">
        <v>6</v>
      </c>
      <c r="J52" s="3">
        <v>31226.5</v>
      </c>
    </row>
    <row r="53" spans="1:10" x14ac:dyDescent="0.25">
      <c r="A53" t="s">
        <v>471</v>
      </c>
      <c r="B53" t="s">
        <v>5</v>
      </c>
      <c r="C53" s="82" t="s">
        <v>479</v>
      </c>
      <c r="D53">
        <v>201509</v>
      </c>
      <c r="E53" s="1">
        <v>42248</v>
      </c>
      <c r="F53" s="1">
        <v>42278</v>
      </c>
      <c r="G53" t="s">
        <v>479</v>
      </c>
      <c r="H53" s="81">
        <v>326459</v>
      </c>
      <c r="I53" t="s">
        <v>6</v>
      </c>
      <c r="J53" s="3">
        <v>32550.82</v>
      </c>
    </row>
    <row r="54" spans="1:10" x14ac:dyDescent="0.25">
      <c r="A54" t="s">
        <v>471</v>
      </c>
      <c r="B54" t="s">
        <v>5</v>
      </c>
      <c r="C54" s="82" t="s">
        <v>479</v>
      </c>
      <c r="D54">
        <v>201510</v>
      </c>
      <c r="E54" s="1">
        <v>42278</v>
      </c>
      <c r="F54" s="1">
        <v>42309</v>
      </c>
      <c r="G54" t="s">
        <v>479</v>
      </c>
      <c r="H54" s="81">
        <v>270615</v>
      </c>
      <c r="I54" t="s">
        <v>6</v>
      </c>
      <c r="J54" s="3">
        <v>26942.19</v>
      </c>
    </row>
    <row r="55" spans="1:10" x14ac:dyDescent="0.25">
      <c r="A55" t="s">
        <v>471</v>
      </c>
      <c r="B55" t="s">
        <v>5</v>
      </c>
      <c r="C55" s="82" t="s">
        <v>479</v>
      </c>
      <c r="D55">
        <v>201511</v>
      </c>
      <c r="E55" s="1">
        <v>42309</v>
      </c>
      <c r="F55" s="1">
        <v>42339</v>
      </c>
      <c r="G55" t="s">
        <v>479</v>
      </c>
      <c r="H55" s="81">
        <v>258625</v>
      </c>
      <c r="I55" t="s">
        <v>6</v>
      </c>
      <c r="J55" s="3">
        <v>25127.98</v>
      </c>
    </row>
    <row r="56" spans="1:10" x14ac:dyDescent="0.25">
      <c r="A56" t="s">
        <v>471</v>
      </c>
      <c r="B56" t="s">
        <v>5</v>
      </c>
      <c r="C56" s="82" t="s">
        <v>479</v>
      </c>
      <c r="D56">
        <v>201512</v>
      </c>
      <c r="E56" s="1">
        <v>42339</v>
      </c>
      <c r="F56" s="1">
        <v>42370</v>
      </c>
      <c r="G56" t="s">
        <v>479</v>
      </c>
      <c r="H56" s="81">
        <v>267890</v>
      </c>
      <c r="I56" t="s">
        <v>6</v>
      </c>
      <c r="J56" s="3">
        <v>23465.77</v>
      </c>
    </row>
    <row r="57" spans="1:10" x14ac:dyDescent="0.25">
      <c r="A57" t="s">
        <v>471</v>
      </c>
      <c r="B57" t="s">
        <v>5</v>
      </c>
      <c r="C57" s="82" t="s">
        <v>479</v>
      </c>
      <c r="D57">
        <v>201601</v>
      </c>
      <c r="E57" s="1">
        <v>42370</v>
      </c>
      <c r="F57" s="1">
        <v>42401</v>
      </c>
      <c r="G57" t="s">
        <v>479</v>
      </c>
      <c r="H57" s="81">
        <v>257680</v>
      </c>
      <c r="I57" t="s">
        <v>6</v>
      </c>
      <c r="J57" s="3">
        <v>22024.69</v>
      </c>
    </row>
    <row r="58" spans="1:10" x14ac:dyDescent="0.25">
      <c r="A58" t="s">
        <v>471</v>
      </c>
      <c r="B58" t="s">
        <v>5</v>
      </c>
      <c r="C58" s="82" t="s">
        <v>479</v>
      </c>
      <c r="D58">
        <v>201602</v>
      </c>
      <c r="E58" s="1">
        <v>42401</v>
      </c>
      <c r="F58" s="1">
        <v>42430</v>
      </c>
      <c r="G58" t="s">
        <v>479</v>
      </c>
      <c r="H58" s="81">
        <v>255822</v>
      </c>
      <c r="I58" t="s">
        <v>6</v>
      </c>
      <c r="J58" s="3">
        <v>22368.34</v>
      </c>
    </row>
    <row r="59" spans="1:10" x14ac:dyDescent="0.25">
      <c r="A59" t="s">
        <v>471</v>
      </c>
      <c r="B59" t="s">
        <v>5</v>
      </c>
      <c r="C59" s="82" t="s">
        <v>479</v>
      </c>
      <c r="D59">
        <v>201603</v>
      </c>
      <c r="E59" s="1">
        <v>42430</v>
      </c>
      <c r="F59" s="1">
        <v>42461</v>
      </c>
      <c r="G59" t="s">
        <v>479</v>
      </c>
      <c r="H59" s="81">
        <v>286594</v>
      </c>
      <c r="I59" t="s">
        <v>6</v>
      </c>
      <c r="J59" s="3">
        <v>25071.61</v>
      </c>
    </row>
    <row r="60" spans="1:10" x14ac:dyDescent="0.25">
      <c r="A60" t="s">
        <v>471</v>
      </c>
      <c r="B60" t="s">
        <v>5</v>
      </c>
      <c r="C60" s="82" t="s">
        <v>479</v>
      </c>
      <c r="D60">
        <v>201604</v>
      </c>
      <c r="E60" s="1">
        <v>42461</v>
      </c>
      <c r="F60" s="1">
        <v>42491</v>
      </c>
      <c r="G60" t="s">
        <v>479</v>
      </c>
      <c r="H60" s="81">
        <v>279720</v>
      </c>
      <c r="I60" t="s">
        <v>6</v>
      </c>
      <c r="J60" s="3">
        <v>24846.69</v>
      </c>
    </row>
    <row r="61" spans="1:10" x14ac:dyDescent="0.25">
      <c r="A61" t="s">
        <v>471</v>
      </c>
      <c r="B61" t="s">
        <v>5</v>
      </c>
      <c r="C61" s="82" t="s">
        <v>479</v>
      </c>
      <c r="D61">
        <v>201605</v>
      </c>
      <c r="E61" s="1">
        <v>42491</v>
      </c>
      <c r="F61" s="1">
        <v>42522</v>
      </c>
      <c r="G61" t="s">
        <v>479</v>
      </c>
      <c r="H61" s="81">
        <v>300939</v>
      </c>
      <c r="I61" t="s">
        <v>6</v>
      </c>
      <c r="J61" s="3">
        <v>26731.51</v>
      </c>
    </row>
    <row r="62" spans="1:10" x14ac:dyDescent="0.25">
      <c r="A62" t="s">
        <v>471</v>
      </c>
      <c r="B62" t="s">
        <v>5</v>
      </c>
      <c r="C62" s="82" t="s">
        <v>479</v>
      </c>
      <c r="D62">
        <v>201606</v>
      </c>
      <c r="E62" s="1">
        <v>42522</v>
      </c>
      <c r="F62" s="1">
        <v>42552</v>
      </c>
      <c r="G62" t="s">
        <v>479</v>
      </c>
      <c r="H62" s="81">
        <v>338233</v>
      </c>
      <c r="I62" t="s">
        <v>6</v>
      </c>
      <c r="J62" s="3">
        <v>29543.29</v>
      </c>
    </row>
    <row r="63" spans="1:10" x14ac:dyDescent="0.25">
      <c r="A63" t="s">
        <v>469</v>
      </c>
      <c r="B63" t="s">
        <v>5</v>
      </c>
      <c r="C63" s="82">
        <v>2490795000</v>
      </c>
      <c r="D63">
        <v>201507</v>
      </c>
      <c r="E63" s="1">
        <v>42174</v>
      </c>
      <c r="F63" s="1">
        <v>42205</v>
      </c>
      <c r="G63" t="s">
        <v>470</v>
      </c>
      <c r="H63" s="81">
        <v>2117</v>
      </c>
      <c r="I63" t="s">
        <v>6</v>
      </c>
      <c r="J63" s="3">
        <v>261.58</v>
      </c>
    </row>
    <row r="64" spans="1:10" x14ac:dyDescent="0.25">
      <c r="A64" t="s">
        <v>469</v>
      </c>
      <c r="B64" t="s">
        <v>5</v>
      </c>
      <c r="C64" s="82">
        <v>2490795000</v>
      </c>
      <c r="D64">
        <v>201508</v>
      </c>
      <c r="E64" s="1">
        <v>42205</v>
      </c>
      <c r="F64" s="1">
        <v>42236</v>
      </c>
      <c r="G64" t="s">
        <v>470</v>
      </c>
      <c r="H64" s="81">
        <v>2067</v>
      </c>
      <c r="I64" t="s">
        <v>6</v>
      </c>
      <c r="J64" s="3">
        <v>256.01</v>
      </c>
    </row>
    <row r="65" spans="1:10" x14ac:dyDescent="0.25">
      <c r="A65" t="s">
        <v>469</v>
      </c>
      <c r="B65" t="s">
        <v>5</v>
      </c>
      <c r="C65" s="82">
        <v>2490795000</v>
      </c>
      <c r="D65">
        <v>201509</v>
      </c>
      <c r="E65" s="1">
        <v>42236</v>
      </c>
      <c r="F65" s="1">
        <v>42265</v>
      </c>
      <c r="G65" t="s">
        <v>470</v>
      </c>
      <c r="H65" s="81">
        <v>1656</v>
      </c>
      <c r="I65" t="s">
        <v>6</v>
      </c>
      <c r="J65" s="3">
        <v>210.18</v>
      </c>
    </row>
    <row r="66" spans="1:10" x14ac:dyDescent="0.25">
      <c r="A66" t="s">
        <v>469</v>
      </c>
      <c r="B66" t="s">
        <v>5</v>
      </c>
      <c r="C66" s="82">
        <v>2490795000</v>
      </c>
      <c r="D66">
        <v>201510</v>
      </c>
      <c r="E66" s="1">
        <v>42265</v>
      </c>
      <c r="F66" s="1">
        <v>42297</v>
      </c>
      <c r="G66" t="s">
        <v>470</v>
      </c>
      <c r="H66" s="81">
        <v>557</v>
      </c>
      <c r="I66" t="s">
        <v>6</v>
      </c>
      <c r="J66" s="3">
        <v>87.62</v>
      </c>
    </row>
    <row r="67" spans="1:10" x14ac:dyDescent="0.25">
      <c r="A67" t="s">
        <v>469</v>
      </c>
      <c r="B67" t="s">
        <v>5</v>
      </c>
      <c r="C67" s="82">
        <v>2490795000</v>
      </c>
      <c r="D67">
        <v>201511</v>
      </c>
      <c r="E67" s="1">
        <v>42297</v>
      </c>
      <c r="F67" s="1">
        <v>42327</v>
      </c>
      <c r="G67" t="s">
        <v>470</v>
      </c>
      <c r="H67" s="81">
        <v>1523</v>
      </c>
      <c r="I67" t="s">
        <v>6</v>
      </c>
      <c r="J67" s="3">
        <v>196.66</v>
      </c>
    </row>
    <row r="68" spans="1:10" x14ac:dyDescent="0.25">
      <c r="A68" t="s">
        <v>469</v>
      </c>
      <c r="B68" t="s">
        <v>5</v>
      </c>
      <c r="C68" s="82">
        <v>2490795000</v>
      </c>
      <c r="D68">
        <v>201512</v>
      </c>
      <c r="E68" s="1">
        <v>42327</v>
      </c>
      <c r="F68" s="1">
        <v>42359</v>
      </c>
      <c r="G68" t="s">
        <v>470</v>
      </c>
      <c r="H68" s="81">
        <v>3333</v>
      </c>
      <c r="I68" t="s">
        <v>6</v>
      </c>
      <c r="J68" s="3">
        <v>200.54</v>
      </c>
    </row>
    <row r="69" spans="1:10" x14ac:dyDescent="0.25">
      <c r="A69" t="s">
        <v>469</v>
      </c>
      <c r="B69" t="s">
        <v>5</v>
      </c>
      <c r="C69" s="82">
        <v>2490795000</v>
      </c>
      <c r="D69">
        <v>201601</v>
      </c>
      <c r="E69" s="1">
        <v>42359</v>
      </c>
      <c r="F69" s="1">
        <v>42389</v>
      </c>
      <c r="G69" t="s">
        <v>470</v>
      </c>
      <c r="H69" s="81">
        <v>4044</v>
      </c>
      <c r="I69" t="s">
        <v>6</v>
      </c>
      <c r="J69" s="3">
        <v>471.39</v>
      </c>
    </row>
    <row r="70" spans="1:10" x14ac:dyDescent="0.25">
      <c r="A70" t="s">
        <v>469</v>
      </c>
      <c r="B70" t="s">
        <v>5</v>
      </c>
      <c r="C70" s="82">
        <v>2490795000</v>
      </c>
      <c r="D70">
        <v>201602</v>
      </c>
      <c r="E70" s="1">
        <v>42389</v>
      </c>
      <c r="F70" s="1">
        <v>42419</v>
      </c>
      <c r="G70" t="s">
        <v>470</v>
      </c>
      <c r="H70" s="81">
        <v>5436</v>
      </c>
      <c r="I70" t="s">
        <v>6</v>
      </c>
      <c r="J70" s="3">
        <v>567.58000000000004</v>
      </c>
    </row>
    <row r="71" spans="1:10" x14ac:dyDescent="0.25">
      <c r="A71" t="s">
        <v>469</v>
      </c>
      <c r="B71" t="s">
        <v>5</v>
      </c>
      <c r="C71" s="82">
        <v>2490795000</v>
      </c>
      <c r="D71">
        <v>201603</v>
      </c>
      <c r="E71" s="1">
        <v>42419</v>
      </c>
      <c r="F71" s="1">
        <v>42447</v>
      </c>
      <c r="G71" t="s">
        <v>470</v>
      </c>
      <c r="H71" s="81">
        <v>2630</v>
      </c>
      <c r="I71" t="s">
        <v>6</v>
      </c>
      <c r="J71" s="3">
        <v>287.76</v>
      </c>
    </row>
    <row r="72" spans="1:10" x14ac:dyDescent="0.25">
      <c r="A72" t="s">
        <v>469</v>
      </c>
      <c r="B72" t="s">
        <v>5</v>
      </c>
      <c r="C72" s="82">
        <v>2490795000</v>
      </c>
      <c r="D72">
        <v>201604</v>
      </c>
      <c r="E72" s="1">
        <v>42447</v>
      </c>
      <c r="F72" s="1">
        <v>42479</v>
      </c>
      <c r="G72" t="s">
        <v>470</v>
      </c>
      <c r="H72" s="81">
        <v>2297</v>
      </c>
      <c r="I72" t="s">
        <v>6</v>
      </c>
      <c r="J72" s="3">
        <v>258.88</v>
      </c>
    </row>
    <row r="73" spans="1:10" x14ac:dyDescent="0.25">
      <c r="A73" t="s">
        <v>469</v>
      </c>
      <c r="B73" t="s">
        <v>5</v>
      </c>
      <c r="C73" s="82">
        <v>2490795000</v>
      </c>
      <c r="D73">
        <v>201605</v>
      </c>
      <c r="E73" s="1">
        <v>42479</v>
      </c>
      <c r="F73" s="1">
        <v>42509</v>
      </c>
      <c r="G73" t="s">
        <v>470</v>
      </c>
      <c r="H73" s="81">
        <v>1210</v>
      </c>
      <c r="I73" t="s">
        <v>6</v>
      </c>
      <c r="J73" s="3">
        <v>146.16</v>
      </c>
    </row>
    <row r="74" spans="1:10" x14ac:dyDescent="0.25">
      <c r="A74" t="s">
        <v>469</v>
      </c>
      <c r="B74" t="s">
        <v>5</v>
      </c>
      <c r="C74" s="82">
        <v>2490795000</v>
      </c>
      <c r="D74">
        <v>201606</v>
      </c>
      <c r="E74" s="1">
        <v>42509</v>
      </c>
      <c r="F74" s="1">
        <v>42541</v>
      </c>
      <c r="G74" t="s">
        <v>470</v>
      </c>
      <c r="H74" s="81">
        <v>702</v>
      </c>
      <c r="I74" t="s">
        <v>6</v>
      </c>
      <c r="J74" s="3">
        <v>95.5</v>
      </c>
    </row>
    <row r="75" spans="1:10" x14ac:dyDescent="0.25">
      <c r="A75" t="s">
        <v>469</v>
      </c>
      <c r="B75" t="s">
        <v>5</v>
      </c>
      <c r="C75" s="82" t="s">
        <v>478</v>
      </c>
      <c r="D75">
        <v>201507</v>
      </c>
      <c r="E75" s="1">
        <v>42186</v>
      </c>
      <c r="F75" s="1">
        <v>42217</v>
      </c>
      <c r="G75" t="s">
        <v>478</v>
      </c>
      <c r="H75" s="81">
        <v>222278</v>
      </c>
      <c r="I75" t="s">
        <v>6</v>
      </c>
      <c r="J75" s="3">
        <v>21820.6</v>
      </c>
    </row>
    <row r="76" spans="1:10" x14ac:dyDescent="0.25">
      <c r="A76" t="s">
        <v>469</v>
      </c>
      <c r="B76" t="s">
        <v>5</v>
      </c>
      <c r="C76" s="82" t="s">
        <v>478</v>
      </c>
      <c r="D76">
        <v>201508</v>
      </c>
      <c r="E76" s="1">
        <v>42217</v>
      </c>
      <c r="F76" s="1">
        <v>42248</v>
      </c>
      <c r="G76" t="s">
        <v>478</v>
      </c>
      <c r="H76" s="81">
        <v>211569</v>
      </c>
      <c r="I76" t="s">
        <v>6</v>
      </c>
      <c r="J76" s="3">
        <v>20817.7</v>
      </c>
    </row>
    <row r="77" spans="1:10" x14ac:dyDescent="0.25">
      <c r="A77" t="s">
        <v>469</v>
      </c>
      <c r="B77" t="s">
        <v>5</v>
      </c>
      <c r="C77" s="82" t="s">
        <v>478</v>
      </c>
      <c r="D77">
        <v>201509</v>
      </c>
      <c r="E77" s="1">
        <v>42248</v>
      </c>
      <c r="F77" s="1">
        <v>42278</v>
      </c>
      <c r="G77" t="s">
        <v>478</v>
      </c>
      <c r="H77" s="81">
        <v>247505</v>
      </c>
      <c r="I77" t="s">
        <v>6</v>
      </c>
      <c r="J77" s="3">
        <v>24678.41</v>
      </c>
    </row>
    <row r="78" spans="1:10" x14ac:dyDescent="0.25">
      <c r="A78" t="s">
        <v>469</v>
      </c>
      <c r="B78" t="s">
        <v>5</v>
      </c>
      <c r="C78" s="82" t="s">
        <v>478</v>
      </c>
      <c r="D78">
        <v>201510</v>
      </c>
      <c r="E78" s="1">
        <v>42278</v>
      </c>
      <c r="F78" s="1">
        <v>42309</v>
      </c>
      <c r="G78" t="s">
        <v>478</v>
      </c>
      <c r="H78" s="81">
        <v>199260</v>
      </c>
      <c r="I78" t="s">
        <v>6</v>
      </c>
      <c r="J78" s="3">
        <v>19838.150000000001</v>
      </c>
    </row>
    <row r="79" spans="1:10" x14ac:dyDescent="0.25">
      <c r="A79" t="s">
        <v>469</v>
      </c>
      <c r="B79" t="s">
        <v>5</v>
      </c>
      <c r="C79" s="82" t="s">
        <v>478</v>
      </c>
      <c r="D79">
        <v>201511</v>
      </c>
      <c r="E79" s="1">
        <v>42309</v>
      </c>
      <c r="F79" s="1">
        <v>42339</v>
      </c>
      <c r="G79" t="s">
        <v>478</v>
      </c>
      <c r="H79" s="81">
        <v>176514</v>
      </c>
      <c r="I79" t="s">
        <v>6</v>
      </c>
      <c r="J79" s="3">
        <v>17150.080000000002</v>
      </c>
    </row>
    <row r="80" spans="1:10" x14ac:dyDescent="0.25">
      <c r="A80" t="s">
        <v>469</v>
      </c>
      <c r="B80" t="s">
        <v>5</v>
      </c>
      <c r="C80" s="82" t="s">
        <v>478</v>
      </c>
      <c r="D80">
        <v>201512</v>
      </c>
      <c r="E80" s="1">
        <v>42339</v>
      </c>
      <c r="F80" s="1">
        <v>42370</v>
      </c>
      <c r="G80" t="s">
        <v>478</v>
      </c>
      <c r="H80" s="81">
        <v>164742</v>
      </c>
      <c r="I80" t="s">
        <v>6</v>
      </c>
      <c r="J80" s="3">
        <v>14430.54</v>
      </c>
    </row>
    <row r="81" spans="1:10" x14ac:dyDescent="0.25">
      <c r="A81" t="s">
        <v>469</v>
      </c>
      <c r="B81" t="s">
        <v>5</v>
      </c>
      <c r="C81" s="82" t="s">
        <v>478</v>
      </c>
      <c r="D81">
        <v>201601</v>
      </c>
      <c r="E81" s="1">
        <v>42370</v>
      </c>
      <c r="F81" s="1">
        <v>42401</v>
      </c>
      <c r="G81" t="s">
        <v>478</v>
      </c>
      <c r="H81" s="81">
        <v>168312</v>
      </c>
      <c r="I81" t="s">
        <v>6</v>
      </c>
      <c r="J81" s="3">
        <v>14386.14</v>
      </c>
    </row>
    <row r="82" spans="1:10" x14ac:dyDescent="0.25">
      <c r="A82" t="s">
        <v>469</v>
      </c>
      <c r="B82" t="s">
        <v>5</v>
      </c>
      <c r="C82" s="82" t="s">
        <v>478</v>
      </c>
      <c r="D82">
        <v>201602</v>
      </c>
      <c r="E82" s="1">
        <v>42401</v>
      </c>
      <c r="F82" s="1">
        <v>42430</v>
      </c>
      <c r="G82" t="s">
        <v>478</v>
      </c>
      <c r="H82" s="81">
        <v>167732</v>
      </c>
      <c r="I82" t="s">
        <v>6</v>
      </c>
      <c r="J82" s="3">
        <v>14666</v>
      </c>
    </row>
    <row r="83" spans="1:10" x14ac:dyDescent="0.25">
      <c r="A83" t="s">
        <v>469</v>
      </c>
      <c r="B83" t="s">
        <v>5</v>
      </c>
      <c r="C83" s="82" t="s">
        <v>478</v>
      </c>
      <c r="D83">
        <v>201603</v>
      </c>
      <c r="E83" s="1">
        <v>42430</v>
      </c>
      <c r="F83" s="1">
        <v>42461</v>
      </c>
      <c r="G83" t="s">
        <v>478</v>
      </c>
      <c r="H83" s="81">
        <v>184010</v>
      </c>
      <c r="I83" t="s">
        <v>6</v>
      </c>
      <c r="J83" s="3">
        <v>16097.43</v>
      </c>
    </row>
    <row r="84" spans="1:10" x14ac:dyDescent="0.25">
      <c r="A84" t="s">
        <v>469</v>
      </c>
      <c r="B84" t="s">
        <v>5</v>
      </c>
      <c r="C84" s="82" t="s">
        <v>478</v>
      </c>
      <c r="D84">
        <v>201604</v>
      </c>
      <c r="E84" s="1">
        <v>42461</v>
      </c>
      <c r="F84" s="1">
        <v>42491</v>
      </c>
      <c r="G84" t="s">
        <v>478</v>
      </c>
      <c r="H84" s="81">
        <v>187548</v>
      </c>
      <c r="I84" t="s">
        <v>6</v>
      </c>
      <c r="J84" s="3">
        <v>16659.330000000002</v>
      </c>
    </row>
    <row r="85" spans="1:10" x14ac:dyDescent="0.25">
      <c r="A85" t="s">
        <v>469</v>
      </c>
      <c r="B85" t="s">
        <v>5</v>
      </c>
      <c r="C85" s="82" t="s">
        <v>478</v>
      </c>
      <c r="D85">
        <v>201605</v>
      </c>
      <c r="E85" s="1">
        <v>42491</v>
      </c>
      <c r="F85" s="1">
        <v>42522</v>
      </c>
      <c r="G85" t="s">
        <v>478</v>
      </c>
      <c r="H85" s="81">
        <v>209130</v>
      </c>
      <c r="I85" t="s">
        <v>6</v>
      </c>
      <c r="J85" s="3">
        <v>18576.39</v>
      </c>
    </row>
    <row r="86" spans="1:10" x14ac:dyDescent="0.25">
      <c r="A86" t="s">
        <v>469</v>
      </c>
      <c r="B86" t="s">
        <v>5</v>
      </c>
      <c r="C86" s="82" t="s">
        <v>478</v>
      </c>
      <c r="D86">
        <v>201606</v>
      </c>
      <c r="E86" s="1">
        <v>42522</v>
      </c>
      <c r="F86" s="1">
        <v>42552</v>
      </c>
      <c r="G86" t="s">
        <v>478</v>
      </c>
      <c r="H86" s="81">
        <v>238435</v>
      </c>
      <c r="I86" t="s">
        <v>6</v>
      </c>
      <c r="J86" s="3">
        <v>20826.34</v>
      </c>
    </row>
    <row r="87" spans="1:10" x14ac:dyDescent="0.25">
      <c r="A87" t="s">
        <v>480</v>
      </c>
      <c r="B87" t="s">
        <v>5</v>
      </c>
      <c r="C87" s="82">
        <v>1556215004</v>
      </c>
      <c r="D87">
        <v>201507</v>
      </c>
      <c r="E87" s="1">
        <v>42174</v>
      </c>
      <c r="F87" s="1">
        <v>42205</v>
      </c>
      <c r="G87" t="s">
        <v>482</v>
      </c>
      <c r="H87" s="81">
        <v>1869</v>
      </c>
      <c r="I87" t="s">
        <v>6</v>
      </c>
      <c r="J87" s="3">
        <v>249.92</v>
      </c>
    </row>
    <row r="88" spans="1:10" x14ac:dyDescent="0.25">
      <c r="A88" t="s">
        <v>480</v>
      </c>
      <c r="B88" t="s">
        <v>5</v>
      </c>
      <c r="C88" s="82">
        <v>1556215004</v>
      </c>
      <c r="D88">
        <v>201508</v>
      </c>
      <c r="E88" s="1">
        <v>42205</v>
      </c>
      <c r="F88" s="1">
        <v>42236</v>
      </c>
      <c r="G88" t="s">
        <v>482</v>
      </c>
      <c r="H88" s="81">
        <v>2386</v>
      </c>
      <c r="I88" t="s">
        <v>6</v>
      </c>
      <c r="J88" s="3">
        <v>307.58</v>
      </c>
    </row>
    <row r="89" spans="1:10" x14ac:dyDescent="0.25">
      <c r="A89" t="s">
        <v>480</v>
      </c>
      <c r="B89" t="s">
        <v>5</v>
      </c>
      <c r="C89" s="82">
        <v>1556215004</v>
      </c>
      <c r="D89">
        <v>201509</v>
      </c>
      <c r="E89" s="1">
        <v>42236</v>
      </c>
      <c r="F89" s="1">
        <v>42265</v>
      </c>
      <c r="G89" t="s">
        <v>482</v>
      </c>
      <c r="H89" s="81">
        <v>2150</v>
      </c>
      <c r="I89" t="s">
        <v>6</v>
      </c>
      <c r="J89" s="3">
        <v>281.83</v>
      </c>
    </row>
    <row r="90" spans="1:10" x14ac:dyDescent="0.25">
      <c r="A90" t="s">
        <v>480</v>
      </c>
      <c r="B90" t="s">
        <v>5</v>
      </c>
      <c r="C90" s="82">
        <v>1556215004</v>
      </c>
      <c r="D90">
        <v>201510</v>
      </c>
      <c r="E90" s="1">
        <v>42265</v>
      </c>
      <c r="F90" s="1">
        <v>42297</v>
      </c>
      <c r="G90" t="s">
        <v>482</v>
      </c>
      <c r="H90" s="81">
        <v>1678</v>
      </c>
      <c r="I90" t="s">
        <v>6</v>
      </c>
      <c r="J90" s="3">
        <v>228.63</v>
      </c>
    </row>
    <row r="91" spans="1:10" x14ac:dyDescent="0.25">
      <c r="A91" t="s">
        <v>480</v>
      </c>
      <c r="B91" t="s">
        <v>5</v>
      </c>
      <c r="C91" s="82">
        <v>1556215004</v>
      </c>
      <c r="D91">
        <v>201511</v>
      </c>
      <c r="E91" s="1">
        <v>42297</v>
      </c>
      <c r="F91" s="1">
        <v>42327</v>
      </c>
      <c r="G91" t="s">
        <v>482</v>
      </c>
      <c r="H91" s="81">
        <v>1737</v>
      </c>
      <c r="I91" t="s">
        <v>6</v>
      </c>
      <c r="J91" s="3">
        <v>238.64</v>
      </c>
    </row>
    <row r="92" spans="1:10" x14ac:dyDescent="0.25">
      <c r="A92" t="s">
        <v>480</v>
      </c>
      <c r="B92" t="s">
        <v>5</v>
      </c>
      <c r="C92" s="82">
        <v>1556215004</v>
      </c>
      <c r="D92">
        <v>201512</v>
      </c>
      <c r="E92" s="1">
        <v>42327</v>
      </c>
      <c r="F92" s="1">
        <v>42359</v>
      </c>
      <c r="G92" t="s">
        <v>482</v>
      </c>
      <c r="H92" s="81">
        <v>1967</v>
      </c>
      <c r="I92" t="s">
        <v>6</v>
      </c>
      <c r="J92" s="3">
        <v>260.86</v>
      </c>
    </row>
    <row r="93" spans="1:10" x14ac:dyDescent="0.25">
      <c r="A93" t="s">
        <v>480</v>
      </c>
      <c r="B93" t="s">
        <v>5</v>
      </c>
      <c r="C93" s="82">
        <v>1556215004</v>
      </c>
      <c r="D93">
        <v>201601</v>
      </c>
      <c r="E93" s="1">
        <v>42359</v>
      </c>
      <c r="F93" s="1">
        <v>42389</v>
      </c>
      <c r="G93" t="s">
        <v>482</v>
      </c>
      <c r="H93" s="81">
        <v>1590</v>
      </c>
      <c r="I93" t="s">
        <v>6</v>
      </c>
      <c r="J93" s="3">
        <v>203.97</v>
      </c>
    </row>
    <row r="94" spans="1:10" x14ac:dyDescent="0.25">
      <c r="A94" t="s">
        <v>480</v>
      </c>
      <c r="B94" t="s">
        <v>5</v>
      </c>
      <c r="C94" s="82">
        <v>1556215004</v>
      </c>
      <c r="D94">
        <v>201602</v>
      </c>
      <c r="E94" s="1">
        <v>42389</v>
      </c>
      <c r="F94" s="1">
        <v>42419</v>
      </c>
      <c r="G94" t="s">
        <v>482</v>
      </c>
      <c r="H94" s="81">
        <v>1957</v>
      </c>
      <c r="I94" t="s">
        <v>6</v>
      </c>
      <c r="J94" s="3">
        <v>236.65</v>
      </c>
    </row>
    <row r="95" spans="1:10" x14ac:dyDescent="0.25">
      <c r="A95" t="s">
        <v>480</v>
      </c>
      <c r="B95" t="s">
        <v>5</v>
      </c>
      <c r="C95" s="82">
        <v>1556215004</v>
      </c>
      <c r="D95">
        <v>201603</v>
      </c>
      <c r="E95" s="1">
        <v>42419</v>
      </c>
      <c r="F95" s="1">
        <v>42447</v>
      </c>
      <c r="G95" t="s">
        <v>482</v>
      </c>
      <c r="H95" s="81">
        <v>1830</v>
      </c>
      <c r="I95" t="s">
        <v>6</v>
      </c>
      <c r="J95" s="3">
        <v>223.99</v>
      </c>
    </row>
    <row r="96" spans="1:10" x14ac:dyDescent="0.25">
      <c r="A96" t="s">
        <v>480</v>
      </c>
      <c r="B96" t="s">
        <v>5</v>
      </c>
      <c r="C96" s="82">
        <v>1556215004</v>
      </c>
      <c r="D96">
        <v>201604</v>
      </c>
      <c r="E96" s="1">
        <v>42447</v>
      </c>
      <c r="F96" s="1">
        <v>42479</v>
      </c>
      <c r="G96" t="s">
        <v>482</v>
      </c>
      <c r="H96" s="81">
        <v>1563</v>
      </c>
      <c r="I96" t="s">
        <v>6</v>
      </c>
      <c r="J96" s="3">
        <v>200.72</v>
      </c>
    </row>
    <row r="97" spans="1:10" x14ac:dyDescent="0.25">
      <c r="A97" t="s">
        <v>480</v>
      </c>
      <c r="B97" t="s">
        <v>5</v>
      </c>
      <c r="C97" s="82">
        <v>1556215004</v>
      </c>
      <c r="D97">
        <v>201605</v>
      </c>
      <c r="E97" s="1">
        <v>42479</v>
      </c>
      <c r="F97" s="1">
        <v>42509</v>
      </c>
      <c r="G97" t="s">
        <v>482</v>
      </c>
      <c r="H97" s="81">
        <v>1160</v>
      </c>
      <c r="I97" t="s">
        <v>6</v>
      </c>
      <c r="J97" s="3">
        <v>157.18</v>
      </c>
    </row>
    <row r="98" spans="1:10" ht="15.75" thickBot="1" x14ac:dyDescent="0.3">
      <c r="A98" t="s">
        <v>480</v>
      </c>
      <c r="B98" t="s">
        <v>5</v>
      </c>
      <c r="C98" s="82">
        <v>1556215004</v>
      </c>
      <c r="D98">
        <v>201606</v>
      </c>
      <c r="E98" s="1">
        <v>42509</v>
      </c>
      <c r="F98" s="1">
        <v>42541</v>
      </c>
      <c r="G98" t="s">
        <v>482</v>
      </c>
      <c r="H98" s="81">
        <v>1006</v>
      </c>
      <c r="I98" t="s">
        <v>6</v>
      </c>
      <c r="J98" s="3">
        <v>141.82</v>
      </c>
    </row>
    <row r="99" spans="1:10" ht="15.75" thickBot="1" x14ac:dyDescent="0.3">
      <c r="H99" s="5">
        <f>SUM(H3:H98)</f>
        <v>11276956</v>
      </c>
      <c r="I99" t="s">
        <v>6</v>
      </c>
      <c r="J99" s="21">
        <f>SUM(J3:J98)</f>
        <v>1046640.7099999997</v>
      </c>
    </row>
    <row r="100" spans="1:10" ht="15.75" thickBot="1" x14ac:dyDescent="0.3">
      <c r="G100" s="20" t="s">
        <v>612</v>
      </c>
      <c r="H100" s="91">
        <v>-688168</v>
      </c>
      <c r="I100" t="s">
        <v>6</v>
      </c>
      <c r="J100" s="6">
        <v>-63742.79</v>
      </c>
    </row>
    <row r="101" spans="1:10" ht="15.75" thickBot="1" x14ac:dyDescent="0.3">
      <c r="H101" s="5">
        <f>SUM(H99:H100)</f>
        <v>10588788</v>
      </c>
      <c r="I101" t="s">
        <v>6</v>
      </c>
      <c r="J101" s="21">
        <f>SUM(J99:J100)</f>
        <v>982897.91999999969</v>
      </c>
    </row>
    <row r="102" spans="1:10" ht="15.75" thickBot="1" x14ac:dyDescent="0.3">
      <c r="H102" s="5">
        <f>10588788*3412/1000000</f>
        <v>36128.944656</v>
      </c>
      <c r="I102" t="s">
        <v>12</v>
      </c>
    </row>
    <row r="104" spans="1:10" x14ac:dyDescent="0.25">
      <c r="A104" t="s">
        <v>483</v>
      </c>
      <c r="B104" t="s">
        <v>49</v>
      </c>
      <c r="C104" s="82">
        <v>3206230207</v>
      </c>
      <c r="D104">
        <v>201507</v>
      </c>
      <c r="E104" s="1">
        <v>42186</v>
      </c>
      <c r="F104" s="1">
        <v>42216</v>
      </c>
      <c r="G104" t="s">
        <v>484</v>
      </c>
      <c r="H104" s="81">
        <v>270</v>
      </c>
      <c r="I104" t="s">
        <v>27</v>
      </c>
      <c r="J104" s="3">
        <v>1201.1500000000001</v>
      </c>
    </row>
    <row r="105" spans="1:10" x14ac:dyDescent="0.25">
      <c r="A105" t="s">
        <v>483</v>
      </c>
      <c r="B105" t="s">
        <v>49</v>
      </c>
      <c r="C105" s="82">
        <v>3206230207</v>
      </c>
      <c r="D105">
        <v>201508</v>
      </c>
      <c r="E105" s="1">
        <v>42217</v>
      </c>
      <c r="F105" s="1">
        <v>42247</v>
      </c>
      <c r="G105" t="s">
        <v>484</v>
      </c>
      <c r="H105" s="81">
        <v>367</v>
      </c>
      <c r="I105" t="s">
        <v>27</v>
      </c>
      <c r="J105" s="3">
        <v>2134.62</v>
      </c>
    </row>
    <row r="106" spans="1:10" x14ac:dyDescent="0.25">
      <c r="A106" t="s">
        <v>483</v>
      </c>
      <c r="B106" t="s">
        <v>49</v>
      </c>
      <c r="C106" s="82">
        <v>3206230207</v>
      </c>
      <c r="D106">
        <v>201509</v>
      </c>
      <c r="E106" s="1">
        <v>42248</v>
      </c>
      <c r="F106" s="1">
        <v>42277</v>
      </c>
      <c r="G106" t="s">
        <v>484</v>
      </c>
      <c r="H106" s="81">
        <v>311</v>
      </c>
      <c r="I106" t="s">
        <v>27</v>
      </c>
      <c r="J106" s="3">
        <v>1810.98</v>
      </c>
    </row>
    <row r="107" spans="1:10" x14ac:dyDescent="0.25">
      <c r="A107" t="s">
        <v>483</v>
      </c>
      <c r="B107" t="s">
        <v>49</v>
      </c>
      <c r="C107" s="82">
        <v>3206230207</v>
      </c>
      <c r="D107">
        <v>201510</v>
      </c>
      <c r="E107" s="1">
        <v>42278</v>
      </c>
      <c r="F107" s="1">
        <v>42308</v>
      </c>
      <c r="G107" t="s">
        <v>484</v>
      </c>
      <c r="H107" s="81">
        <v>621</v>
      </c>
      <c r="I107" t="s">
        <v>27</v>
      </c>
      <c r="J107" s="3">
        <v>3705.9</v>
      </c>
    </row>
    <row r="108" spans="1:10" x14ac:dyDescent="0.25">
      <c r="A108" t="s">
        <v>483</v>
      </c>
      <c r="B108" t="s">
        <v>49</v>
      </c>
      <c r="C108" s="82">
        <v>3206230207</v>
      </c>
      <c r="D108">
        <v>201511</v>
      </c>
      <c r="E108" s="1">
        <v>42309</v>
      </c>
      <c r="F108" s="1">
        <v>42338</v>
      </c>
      <c r="G108" t="s">
        <v>484</v>
      </c>
      <c r="H108" s="81">
        <v>740</v>
      </c>
      <c r="I108" t="s">
        <v>27</v>
      </c>
      <c r="J108" s="3">
        <v>4355.29</v>
      </c>
    </row>
    <row r="109" spans="1:10" x14ac:dyDescent="0.25">
      <c r="A109" t="s">
        <v>483</v>
      </c>
      <c r="B109" t="s">
        <v>49</v>
      </c>
      <c r="C109" s="82">
        <v>3206230207</v>
      </c>
      <c r="D109">
        <v>201512</v>
      </c>
      <c r="E109" s="1">
        <v>42339</v>
      </c>
      <c r="F109" s="1">
        <v>42369</v>
      </c>
      <c r="G109" t="s">
        <v>484</v>
      </c>
      <c r="H109" s="81">
        <v>811</v>
      </c>
      <c r="I109" t="s">
        <v>27</v>
      </c>
      <c r="J109" s="3">
        <v>4747.96</v>
      </c>
    </row>
    <row r="110" spans="1:10" x14ac:dyDescent="0.25">
      <c r="A110" t="s">
        <v>483</v>
      </c>
      <c r="B110" t="s">
        <v>49</v>
      </c>
      <c r="C110" s="82">
        <v>3206230207</v>
      </c>
      <c r="D110">
        <v>201601</v>
      </c>
      <c r="E110" s="1">
        <v>42370</v>
      </c>
      <c r="F110" s="1">
        <v>42400</v>
      </c>
      <c r="G110" t="s">
        <v>484</v>
      </c>
      <c r="H110" s="81">
        <v>944</v>
      </c>
      <c r="I110" t="s">
        <v>27</v>
      </c>
      <c r="J110" s="3">
        <v>5466.3</v>
      </c>
    </row>
    <row r="111" spans="1:10" x14ac:dyDescent="0.25">
      <c r="A111" t="s">
        <v>483</v>
      </c>
      <c r="B111" t="s">
        <v>49</v>
      </c>
      <c r="C111" s="82">
        <v>3206230207</v>
      </c>
      <c r="D111">
        <v>201602</v>
      </c>
      <c r="E111" s="1">
        <v>42401</v>
      </c>
      <c r="F111" s="1">
        <v>42429</v>
      </c>
      <c r="G111" t="s">
        <v>484</v>
      </c>
      <c r="H111" s="81">
        <v>769</v>
      </c>
      <c r="I111" t="s">
        <v>27</v>
      </c>
      <c r="J111" s="3">
        <v>4623.2</v>
      </c>
    </row>
    <row r="112" spans="1:10" x14ac:dyDescent="0.25">
      <c r="A112" t="s">
        <v>483</v>
      </c>
      <c r="B112" t="s">
        <v>49</v>
      </c>
      <c r="C112" s="82">
        <v>3206230207</v>
      </c>
      <c r="D112">
        <v>201603</v>
      </c>
      <c r="E112" s="1">
        <v>42430</v>
      </c>
      <c r="F112" s="1">
        <v>42460</v>
      </c>
      <c r="G112" t="s">
        <v>484</v>
      </c>
      <c r="H112" s="81">
        <v>481</v>
      </c>
      <c r="I112" t="s">
        <v>27</v>
      </c>
      <c r="J112" s="3">
        <v>2785.29</v>
      </c>
    </row>
    <row r="113" spans="1:10" x14ac:dyDescent="0.25">
      <c r="A113" t="s">
        <v>483</v>
      </c>
      <c r="B113" t="s">
        <v>49</v>
      </c>
      <c r="C113" s="82">
        <v>3206230207</v>
      </c>
      <c r="D113">
        <v>201604</v>
      </c>
      <c r="E113" s="1">
        <v>42461</v>
      </c>
      <c r="F113" s="1">
        <v>42490</v>
      </c>
      <c r="G113" t="s">
        <v>484</v>
      </c>
      <c r="H113" s="81">
        <v>487</v>
      </c>
      <c r="I113" t="s">
        <v>27</v>
      </c>
      <c r="J113" s="3">
        <v>2797.71</v>
      </c>
    </row>
    <row r="114" spans="1:10" x14ac:dyDescent="0.25">
      <c r="A114" t="s">
        <v>483</v>
      </c>
      <c r="B114" t="s">
        <v>49</v>
      </c>
      <c r="C114" s="82">
        <v>3206230207</v>
      </c>
      <c r="D114">
        <v>201605</v>
      </c>
      <c r="E114" s="1">
        <v>42491</v>
      </c>
      <c r="F114" s="1">
        <v>42521</v>
      </c>
      <c r="G114" t="s">
        <v>484</v>
      </c>
      <c r="H114" s="81">
        <v>437</v>
      </c>
      <c r="I114" t="s">
        <v>27</v>
      </c>
      <c r="J114" s="3">
        <v>2643.49</v>
      </c>
    </row>
    <row r="115" spans="1:10" x14ac:dyDescent="0.25">
      <c r="A115" t="s">
        <v>483</v>
      </c>
      <c r="B115" t="s">
        <v>49</v>
      </c>
      <c r="C115" s="82">
        <v>3206230207</v>
      </c>
      <c r="D115">
        <v>201606</v>
      </c>
      <c r="E115" s="1">
        <v>42523</v>
      </c>
      <c r="F115" s="1">
        <v>42551</v>
      </c>
      <c r="G115" t="s">
        <v>484</v>
      </c>
      <c r="H115" s="81">
        <v>340</v>
      </c>
      <c r="I115" t="s">
        <v>27</v>
      </c>
      <c r="J115" s="3">
        <v>1948.9</v>
      </c>
    </row>
    <row r="116" spans="1:10" x14ac:dyDescent="0.25">
      <c r="A116" t="s">
        <v>474</v>
      </c>
      <c r="B116" t="s">
        <v>49</v>
      </c>
      <c r="C116" s="82">
        <v>3206559506</v>
      </c>
      <c r="D116">
        <v>201507</v>
      </c>
      <c r="E116" s="1">
        <v>42186</v>
      </c>
      <c r="F116" s="1">
        <v>42216</v>
      </c>
      <c r="G116" t="s">
        <v>477</v>
      </c>
      <c r="H116" s="81">
        <v>53</v>
      </c>
      <c r="I116" t="s">
        <v>27</v>
      </c>
      <c r="J116" s="3">
        <v>202.33</v>
      </c>
    </row>
    <row r="117" spans="1:10" x14ac:dyDescent="0.25">
      <c r="A117" t="s">
        <v>474</v>
      </c>
      <c r="B117" t="s">
        <v>49</v>
      </c>
      <c r="C117" s="82">
        <v>3206559506</v>
      </c>
      <c r="D117">
        <v>201508</v>
      </c>
      <c r="E117" s="1">
        <v>42217</v>
      </c>
      <c r="F117" s="1">
        <v>42247</v>
      </c>
      <c r="G117" t="s">
        <v>477</v>
      </c>
      <c r="H117" s="81">
        <v>54</v>
      </c>
      <c r="I117" t="s">
        <v>27</v>
      </c>
      <c r="J117" s="3">
        <v>368.97</v>
      </c>
    </row>
    <row r="118" spans="1:10" x14ac:dyDescent="0.25">
      <c r="A118" t="s">
        <v>474</v>
      </c>
      <c r="B118" t="s">
        <v>49</v>
      </c>
      <c r="C118" s="82">
        <v>3206559506</v>
      </c>
      <c r="D118">
        <v>201509</v>
      </c>
      <c r="E118" s="1">
        <v>42248</v>
      </c>
      <c r="F118" s="1">
        <v>42277</v>
      </c>
      <c r="G118" t="s">
        <v>477</v>
      </c>
      <c r="H118" s="81">
        <v>28</v>
      </c>
      <c r="I118" t="s">
        <v>27</v>
      </c>
      <c r="J118" s="3">
        <v>205.99</v>
      </c>
    </row>
    <row r="119" spans="1:10" x14ac:dyDescent="0.25">
      <c r="A119" t="s">
        <v>474</v>
      </c>
      <c r="B119" t="s">
        <v>49</v>
      </c>
      <c r="C119" s="82">
        <v>3206559506</v>
      </c>
      <c r="D119">
        <v>201510</v>
      </c>
      <c r="E119" s="1">
        <v>42278</v>
      </c>
      <c r="F119" s="1">
        <v>42308</v>
      </c>
      <c r="G119" t="s">
        <v>477</v>
      </c>
      <c r="H119" s="81">
        <v>265</v>
      </c>
      <c r="I119" t="s">
        <v>27</v>
      </c>
      <c r="J119" s="3">
        <v>1638.54</v>
      </c>
    </row>
    <row r="120" spans="1:10" x14ac:dyDescent="0.25">
      <c r="A120" t="s">
        <v>474</v>
      </c>
      <c r="B120" t="s">
        <v>49</v>
      </c>
      <c r="C120" s="82">
        <v>3206559506</v>
      </c>
      <c r="D120">
        <v>201511</v>
      </c>
      <c r="E120" s="1">
        <v>42309</v>
      </c>
      <c r="F120" s="1">
        <v>42338</v>
      </c>
      <c r="G120" t="s">
        <v>477</v>
      </c>
      <c r="H120" s="81">
        <v>483</v>
      </c>
      <c r="I120" t="s">
        <v>27</v>
      </c>
      <c r="J120" s="3">
        <v>2875.3</v>
      </c>
    </row>
    <row r="121" spans="1:10" x14ac:dyDescent="0.25">
      <c r="A121" t="s">
        <v>474</v>
      </c>
      <c r="B121" t="s">
        <v>49</v>
      </c>
      <c r="C121" s="82">
        <v>3206559506</v>
      </c>
      <c r="D121">
        <v>201512</v>
      </c>
      <c r="E121" s="1">
        <v>42339</v>
      </c>
      <c r="F121" s="1">
        <v>42369</v>
      </c>
      <c r="G121" t="s">
        <v>477</v>
      </c>
      <c r="H121" s="81">
        <v>564</v>
      </c>
      <c r="I121" t="s">
        <v>27</v>
      </c>
      <c r="J121" s="3">
        <v>3329.88</v>
      </c>
    </row>
    <row r="122" spans="1:10" x14ac:dyDescent="0.25">
      <c r="A122" t="s">
        <v>474</v>
      </c>
      <c r="B122" t="s">
        <v>49</v>
      </c>
      <c r="C122" s="82">
        <v>3206559506</v>
      </c>
      <c r="D122">
        <v>201601</v>
      </c>
      <c r="E122" s="1">
        <v>42370</v>
      </c>
      <c r="F122" s="1">
        <v>42400</v>
      </c>
      <c r="G122" t="s">
        <v>477</v>
      </c>
      <c r="H122" s="81">
        <v>887</v>
      </c>
      <c r="I122" t="s">
        <v>27</v>
      </c>
      <c r="J122" s="3">
        <v>5143.43</v>
      </c>
    </row>
    <row r="123" spans="1:10" x14ac:dyDescent="0.25">
      <c r="A123" t="s">
        <v>474</v>
      </c>
      <c r="B123" t="s">
        <v>49</v>
      </c>
      <c r="C123" s="82">
        <v>3206559506</v>
      </c>
      <c r="D123">
        <v>201602</v>
      </c>
      <c r="E123" s="1">
        <v>42401</v>
      </c>
      <c r="F123" s="1">
        <v>42429</v>
      </c>
      <c r="G123" t="s">
        <v>477</v>
      </c>
      <c r="H123" s="81">
        <v>763</v>
      </c>
      <c r="I123" t="s">
        <v>27</v>
      </c>
      <c r="J123" s="3">
        <v>4585.21</v>
      </c>
    </row>
    <row r="124" spans="1:10" x14ac:dyDescent="0.25">
      <c r="A124" t="s">
        <v>474</v>
      </c>
      <c r="B124" t="s">
        <v>49</v>
      </c>
      <c r="C124" s="82">
        <v>3206559506</v>
      </c>
      <c r="D124">
        <v>201603</v>
      </c>
      <c r="E124" s="1">
        <v>42430</v>
      </c>
      <c r="F124" s="1">
        <v>42460</v>
      </c>
      <c r="G124" t="s">
        <v>477</v>
      </c>
      <c r="H124" s="81">
        <v>389</v>
      </c>
      <c r="I124" t="s">
        <v>27</v>
      </c>
      <c r="J124" s="3">
        <v>2271.13</v>
      </c>
    </row>
    <row r="125" spans="1:10" x14ac:dyDescent="0.25">
      <c r="A125" t="s">
        <v>474</v>
      </c>
      <c r="B125" t="s">
        <v>49</v>
      </c>
      <c r="C125" s="82">
        <v>3206559506</v>
      </c>
      <c r="D125">
        <v>201604</v>
      </c>
      <c r="E125" s="1">
        <v>42461</v>
      </c>
      <c r="F125" s="1">
        <v>42490</v>
      </c>
      <c r="G125" t="s">
        <v>477</v>
      </c>
      <c r="H125" s="81">
        <v>389</v>
      </c>
      <c r="I125" t="s">
        <v>27</v>
      </c>
      <c r="J125" s="3">
        <v>2251.89</v>
      </c>
    </row>
    <row r="126" spans="1:10" x14ac:dyDescent="0.25">
      <c r="A126" t="s">
        <v>474</v>
      </c>
      <c r="B126" t="s">
        <v>49</v>
      </c>
      <c r="C126" s="82">
        <v>3206559506</v>
      </c>
      <c r="D126">
        <v>201605</v>
      </c>
      <c r="E126" s="1">
        <v>42491</v>
      </c>
      <c r="F126" s="1">
        <v>42521</v>
      </c>
      <c r="G126" t="s">
        <v>477</v>
      </c>
      <c r="H126" s="81">
        <v>306</v>
      </c>
      <c r="I126" t="s">
        <v>27</v>
      </c>
      <c r="J126" s="3">
        <v>1901.02</v>
      </c>
    </row>
    <row r="127" spans="1:10" x14ac:dyDescent="0.25">
      <c r="A127" t="s">
        <v>474</v>
      </c>
      <c r="B127" t="s">
        <v>49</v>
      </c>
      <c r="C127" s="82">
        <v>3206559506</v>
      </c>
      <c r="D127">
        <v>201606</v>
      </c>
      <c r="E127" s="1">
        <v>42522</v>
      </c>
      <c r="F127" s="1">
        <v>42551</v>
      </c>
      <c r="G127" t="s">
        <v>477</v>
      </c>
      <c r="H127" s="81">
        <v>235</v>
      </c>
      <c r="I127" t="s">
        <v>27</v>
      </c>
      <c r="J127" s="3">
        <v>1379.57</v>
      </c>
    </row>
    <row r="128" spans="1:10" x14ac:dyDescent="0.25">
      <c r="A128" t="s">
        <v>471</v>
      </c>
      <c r="B128" t="s">
        <v>49</v>
      </c>
      <c r="C128" s="82">
        <v>3206508503</v>
      </c>
      <c r="D128">
        <v>201507</v>
      </c>
      <c r="E128" s="1">
        <v>42186</v>
      </c>
      <c r="F128" s="1">
        <v>42216</v>
      </c>
      <c r="G128" t="s">
        <v>476</v>
      </c>
      <c r="H128" s="81">
        <v>168</v>
      </c>
      <c r="I128" t="s">
        <v>27</v>
      </c>
      <c r="J128" s="3">
        <v>637.74</v>
      </c>
    </row>
    <row r="129" spans="1:10" x14ac:dyDescent="0.25">
      <c r="A129" t="s">
        <v>471</v>
      </c>
      <c r="B129" t="s">
        <v>49</v>
      </c>
      <c r="C129" s="82">
        <v>3206508503</v>
      </c>
      <c r="D129">
        <v>201508</v>
      </c>
      <c r="E129" s="1">
        <v>42217</v>
      </c>
      <c r="F129" s="1">
        <v>42247</v>
      </c>
      <c r="G129" t="s">
        <v>476</v>
      </c>
      <c r="H129" s="81">
        <v>216</v>
      </c>
      <c r="I129" t="s">
        <v>27</v>
      </c>
      <c r="J129" s="3">
        <v>1293.8599999999999</v>
      </c>
    </row>
    <row r="130" spans="1:10" x14ac:dyDescent="0.25">
      <c r="A130" t="s">
        <v>471</v>
      </c>
      <c r="B130" t="s">
        <v>49</v>
      </c>
      <c r="C130" s="82">
        <v>3206508503</v>
      </c>
      <c r="D130">
        <v>201509</v>
      </c>
      <c r="E130" s="1">
        <v>42248</v>
      </c>
      <c r="F130" s="1">
        <v>42277</v>
      </c>
      <c r="G130" t="s">
        <v>476</v>
      </c>
      <c r="H130" s="81">
        <v>256</v>
      </c>
      <c r="I130" t="s">
        <v>27</v>
      </c>
      <c r="J130" s="3">
        <v>1510.49</v>
      </c>
    </row>
    <row r="131" spans="1:10" x14ac:dyDescent="0.25">
      <c r="A131" t="s">
        <v>471</v>
      </c>
      <c r="B131" t="s">
        <v>49</v>
      </c>
      <c r="C131" s="82">
        <v>3206508503</v>
      </c>
      <c r="D131">
        <v>201510</v>
      </c>
      <c r="E131" s="1">
        <v>42278</v>
      </c>
      <c r="F131" s="1">
        <v>42308</v>
      </c>
      <c r="G131" t="s">
        <v>476</v>
      </c>
      <c r="H131" s="81">
        <v>578</v>
      </c>
      <c r="I131" t="s">
        <v>27</v>
      </c>
      <c r="J131" s="3">
        <v>3456.46</v>
      </c>
    </row>
    <row r="132" spans="1:10" x14ac:dyDescent="0.25">
      <c r="A132" t="s">
        <v>471</v>
      </c>
      <c r="B132" t="s">
        <v>49</v>
      </c>
      <c r="C132" s="82">
        <v>3206508503</v>
      </c>
      <c r="D132">
        <v>201511</v>
      </c>
      <c r="E132" s="1">
        <v>42309</v>
      </c>
      <c r="F132" s="1">
        <v>42338</v>
      </c>
      <c r="G132" t="s">
        <v>476</v>
      </c>
      <c r="H132" s="81">
        <v>951</v>
      </c>
      <c r="I132" t="s">
        <v>27</v>
      </c>
      <c r="J132" s="3">
        <v>5567.1</v>
      </c>
    </row>
    <row r="133" spans="1:10" x14ac:dyDescent="0.25">
      <c r="A133" t="s">
        <v>471</v>
      </c>
      <c r="B133" t="s">
        <v>49</v>
      </c>
      <c r="C133" s="82">
        <v>3206508503</v>
      </c>
      <c r="D133">
        <v>201512</v>
      </c>
      <c r="E133" s="1">
        <v>42339</v>
      </c>
      <c r="F133" s="1">
        <v>42369</v>
      </c>
      <c r="G133" t="s">
        <v>476</v>
      </c>
      <c r="H133" s="81">
        <v>1139</v>
      </c>
      <c r="I133" t="s">
        <v>27</v>
      </c>
      <c r="J133" s="3">
        <v>6630.44</v>
      </c>
    </row>
    <row r="134" spans="1:10" x14ac:dyDescent="0.25">
      <c r="A134" t="s">
        <v>471</v>
      </c>
      <c r="B134" t="s">
        <v>49</v>
      </c>
      <c r="C134" s="82">
        <v>3206508503</v>
      </c>
      <c r="D134">
        <v>201601</v>
      </c>
      <c r="E134" s="1">
        <v>42370</v>
      </c>
      <c r="F134" s="1">
        <v>42400</v>
      </c>
      <c r="G134" t="s">
        <v>476</v>
      </c>
      <c r="H134" s="81">
        <v>1906</v>
      </c>
      <c r="I134" t="s">
        <v>27</v>
      </c>
      <c r="J134" s="3">
        <v>10937.16</v>
      </c>
    </row>
    <row r="135" spans="1:10" x14ac:dyDescent="0.25">
      <c r="A135" t="s">
        <v>471</v>
      </c>
      <c r="B135" t="s">
        <v>49</v>
      </c>
      <c r="C135" s="82">
        <v>3206508503</v>
      </c>
      <c r="D135">
        <v>201602</v>
      </c>
      <c r="E135" s="1">
        <v>42401</v>
      </c>
      <c r="F135" s="1">
        <v>42429</v>
      </c>
      <c r="G135" t="s">
        <v>476</v>
      </c>
      <c r="H135" s="81">
        <v>1654</v>
      </c>
      <c r="I135" t="s">
        <v>27</v>
      </c>
      <c r="J135" s="3">
        <v>9826.16</v>
      </c>
    </row>
    <row r="136" spans="1:10" x14ac:dyDescent="0.25">
      <c r="A136" t="s">
        <v>471</v>
      </c>
      <c r="B136" t="s">
        <v>49</v>
      </c>
      <c r="C136" s="82">
        <v>3206508503</v>
      </c>
      <c r="D136">
        <v>201603</v>
      </c>
      <c r="E136" s="1">
        <v>42430</v>
      </c>
      <c r="F136" s="1">
        <v>42460</v>
      </c>
      <c r="G136" t="s">
        <v>476</v>
      </c>
      <c r="H136" s="81">
        <v>749</v>
      </c>
      <c r="I136" t="s">
        <v>27</v>
      </c>
      <c r="J136" s="3">
        <v>4282.0200000000004</v>
      </c>
    </row>
    <row r="137" spans="1:10" x14ac:dyDescent="0.25">
      <c r="A137" t="s">
        <v>471</v>
      </c>
      <c r="B137" t="s">
        <v>49</v>
      </c>
      <c r="C137" s="82">
        <v>3206508503</v>
      </c>
      <c r="D137">
        <v>201604</v>
      </c>
      <c r="E137" s="1">
        <v>42461</v>
      </c>
      <c r="F137" s="1">
        <v>42490</v>
      </c>
      <c r="G137" t="s">
        <v>476</v>
      </c>
      <c r="H137" s="81">
        <v>785</v>
      </c>
      <c r="I137" t="s">
        <v>27</v>
      </c>
      <c r="J137" s="3">
        <v>4448.7700000000004</v>
      </c>
    </row>
    <row r="138" spans="1:10" x14ac:dyDescent="0.25">
      <c r="A138" t="s">
        <v>471</v>
      </c>
      <c r="B138" t="s">
        <v>49</v>
      </c>
      <c r="C138" s="82">
        <v>3206508503</v>
      </c>
      <c r="D138">
        <v>201605</v>
      </c>
      <c r="E138" s="1">
        <v>42491</v>
      </c>
      <c r="F138" s="1">
        <v>42521</v>
      </c>
      <c r="G138" t="s">
        <v>476</v>
      </c>
      <c r="H138" s="81">
        <v>534</v>
      </c>
      <c r="I138" t="s">
        <v>27</v>
      </c>
      <c r="J138" s="3">
        <v>3207.9</v>
      </c>
    </row>
    <row r="139" spans="1:10" x14ac:dyDescent="0.25">
      <c r="A139" t="s">
        <v>471</v>
      </c>
      <c r="B139" t="s">
        <v>49</v>
      </c>
      <c r="C139" s="82">
        <v>3206508503</v>
      </c>
      <c r="D139">
        <v>201606</v>
      </c>
      <c r="E139" s="1">
        <v>42522</v>
      </c>
      <c r="F139" s="1">
        <v>42551</v>
      </c>
      <c r="G139" t="s">
        <v>476</v>
      </c>
      <c r="H139" s="81">
        <v>0</v>
      </c>
      <c r="I139" t="s">
        <v>27</v>
      </c>
      <c r="J139" s="3">
        <v>2279.34</v>
      </c>
    </row>
    <row r="140" spans="1:10" x14ac:dyDescent="0.25">
      <c r="A140" t="s">
        <v>469</v>
      </c>
      <c r="B140" t="s">
        <v>49</v>
      </c>
      <c r="C140" s="82">
        <v>3206507406</v>
      </c>
      <c r="D140">
        <v>201507</v>
      </c>
      <c r="E140" s="1">
        <v>42186</v>
      </c>
      <c r="F140" s="1">
        <v>42216</v>
      </c>
      <c r="G140" t="s">
        <v>473</v>
      </c>
      <c r="H140" s="81">
        <v>372</v>
      </c>
      <c r="I140" t="s">
        <v>27</v>
      </c>
      <c r="J140" s="3">
        <v>1881.48</v>
      </c>
    </row>
    <row r="141" spans="1:10" x14ac:dyDescent="0.25">
      <c r="A141" t="s">
        <v>469</v>
      </c>
      <c r="B141" t="s">
        <v>49</v>
      </c>
      <c r="C141" s="82">
        <v>3206507406</v>
      </c>
      <c r="D141">
        <v>201508</v>
      </c>
      <c r="E141" s="1">
        <v>42217</v>
      </c>
      <c r="F141" s="1">
        <v>42247</v>
      </c>
      <c r="G141" t="s">
        <v>473</v>
      </c>
      <c r="H141" s="81">
        <v>402</v>
      </c>
      <c r="I141" t="s">
        <v>27</v>
      </c>
      <c r="J141" s="3">
        <v>2327.5300000000002</v>
      </c>
    </row>
    <row r="142" spans="1:10" x14ac:dyDescent="0.25">
      <c r="A142" t="s">
        <v>469</v>
      </c>
      <c r="B142" t="s">
        <v>49</v>
      </c>
      <c r="C142" s="82">
        <v>3206507406</v>
      </c>
      <c r="D142">
        <v>201509</v>
      </c>
      <c r="E142" s="1">
        <v>42248</v>
      </c>
      <c r="F142" s="1">
        <v>42277</v>
      </c>
      <c r="G142" t="s">
        <v>473</v>
      </c>
      <c r="H142" s="81">
        <v>341</v>
      </c>
      <c r="I142" t="s">
        <v>27</v>
      </c>
      <c r="J142" s="3">
        <v>1976.98</v>
      </c>
    </row>
    <row r="143" spans="1:10" x14ac:dyDescent="0.25">
      <c r="A143" t="s">
        <v>469</v>
      </c>
      <c r="B143" t="s">
        <v>49</v>
      </c>
      <c r="C143" s="82">
        <v>3206507406</v>
      </c>
      <c r="D143">
        <v>201510</v>
      </c>
      <c r="E143" s="1">
        <v>42278</v>
      </c>
      <c r="F143" s="1">
        <v>42308</v>
      </c>
      <c r="G143" t="s">
        <v>473</v>
      </c>
      <c r="H143" s="81">
        <v>475</v>
      </c>
      <c r="I143" t="s">
        <v>27</v>
      </c>
      <c r="J143" s="3">
        <v>2856.66</v>
      </c>
    </row>
    <row r="144" spans="1:10" x14ac:dyDescent="0.25">
      <c r="A144" t="s">
        <v>469</v>
      </c>
      <c r="B144" t="s">
        <v>49</v>
      </c>
      <c r="C144" s="82">
        <v>3206507406</v>
      </c>
      <c r="D144">
        <v>201511</v>
      </c>
      <c r="E144" s="1">
        <v>42309</v>
      </c>
      <c r="F144" s="1">
        <v>42338</v>
      </c>
      <c r="G144" t="s">
        <v>473</v>
      </c>
      <c r="H144" s="81">
        <v>691</v>
      </c>
      <c r="I144" t="s">
        <v>27</v>
      </c>
      <c r="J144" s="3">
        <v>4069.91</v>
      </c>
    </row>
    <row r="145" spans="1:10" x14ac:dyDescent="0.25">
      <c r="A145" t="s">
        <v>469</v>
      </c>
      <c r="B145" t="s">
        <v>49</v>
      </c>
      <c r="C145" s="82">
        <v>3206507406</v>
      </c>
      <c r="D145">
        <v>201512</v>
      </c>
      <c r="E145" s="1">
        <v>42339</v>
      </c>
      <c r="F145" s="1">
        <v>42369</v>
      </c>
      <c r="G145" t="s">
        <v>473</v>
      </c>
      <c r="H145" s="81">
        <v>701</v>
      </c>
      <c r="I145" t="s">
        <v>27</v>
      </c>
      <c r="J145" s="3">
        <v>4117.6899999999996</v>
      </c>
    </row>
    <row r="146" spans="1:10" x14ac:dyDescent="0.25">
      <c r="A146" t="s">
        <v>469</v>
      </c>
      <c r="B146" t="s">
        <v>49</v>
      </c>
      <c r="C146" s="82">
        <v>3206507406</v>
      </c>
      <c r="D146">
        <v>201601</v>
      </c>
      <c r="E146" s="1">
        <v>42370</v>
      </c>
      <c r="F146" s="1">
        <v>42400</v>
      </c>
      <c r="G146" t="s">
        <v>473</v>
      </c>
      <c r="H146" s="81">
        <v>1082</v>
      </c>
      <c r="I146" t="s">
        <v>27</v>
      </c>
      <c r="J146" s="3">
        <v>6250.92</v>
      </c>
    </row>
    <row r="147" spans="1:10" x14ac:dyDescent="0.25">
      <c r="A147" t="s">
        <v>469</v>
      </c>
      <c r="B147" t="s">
        <v>49</v>
      </c>
      <c r="C147" s="82">
        <v>3206507406</v>
      </c>
      <c r="D147">
        <v>201602</v>
      </c>
      <c r="E147" s="1">
        <v>42401</v>
      </c>
      <c r="F147" s="1">
        <v>42429</v>
      </c>
      <c r="G147" t="s">
        <v>473</v>
      </c>
      <c r="H147" s="81">
        <v>961</v>
      </c>
      <c r="I147" t="s">
        <v>27</v>
      </c>
      <c r="J147" s="3">
        <v>5753.03</v>
      </c>
    </row>
    <row r="148" spans="1:10" x14ac:dyDescent="0.25">
      <c r="A148" t="s">
        <v>469</v>
      </c>
      <c r="B148" t="s">
        <v>49</v>
      </c>
      <c r="C148" s="82">
        <v>3206507406</v>
      </c>
      <c r="D148">
        <v>201603</v>
      </c>
      <c r="E148" s="1">
        <v>42430</v>
      </c>
      <c r="F148" s="1">
        <v>42460</v>
      </c>
      <c r="G148" t="s">
        <v>473</v>
      </c>
      <c r="H148" s="81">
        <v>549</v>
      </c>
      <c r="I148" t="s">
        <v>27</v>
      </c>
      <c r="J148" s="3">
        <v>3165.48</v>
      </c>
    </row>
    <row r="149" spans="1:10" x14ac:dyDescent="0.25">
      <c r="A149" t="s">
        <v>469</v>
      </c>
      <c r="B149" t="s">
        <v>49</v>
      </c>
      <c r="C149" s="82">
        <v>3206507406</v>
      </c>
      <c r="D149">
        <v>201604</v>
      </c>
      <c r="E149" s="1">
        <v>42461</v>
      </c>
      <c r="F149" s="1">
        <v>42490</v>
      </c>
      <c r="G149" t="s">
        <v>473</v>
      </c>
      <c r="H149" s="81">
        <v>547</v>
      </c>
      <c r="I149" t="s">
        <v>27</v>
      </c>
      <c r="J149" s="3">
        <v>3129.32</v>
      </c>
    </row>
    <row r="150" spans="1:10" x14ac:dyDescent="0.25">
      <c r="A150" t="s">
        <v>469</v>
      </c>
      <c r="B150" t="s">
        <v>49</v>
      </c>
      <c r="C150" s="82">
        <v>3206507406</v>
      </c>
      <c r="D150">
        <v>201605</v>
      </c>
      <c r="E150" s="1">
        <v>42491</v>
      </c>
      <c r="F150" s="1">
        <v>42521</v>
      </c>
      <c r="G150" t="s">
        <v>473</v>
      </c>
      <c r="H150" s="81">
        <v>393</v>
      </c>
      <c r="I150" t="s">
        <v>27</v>
      </c>
      <c r="J150" s="3">
        <v>2383.21</v>
      </c>
    </row>
    <row r="151" spans="1:10" x14ac:dyDescent="0.25">
      <c r="A151" t="s">
        <v>469</v>
      </c>
      <c r="B151" t="s">
        <v>49</v>
      </c>
      <c r="C151" s="82">
        <v>3206507406</v>
      </c>
      <c r="D151">
        <v>201606</v>
      </c>
      <c r="E151" s="1">
        <v>42522</v>
      </c>
      <c r="F151" s="1">
        <v>42551</v>
      </c>
      <c r="G151" t="s">
        <v>473</v>
      </c>
      <c r="H151" s="81">
        <v>269</v>
      </c>
      <c r="I151" t="s">
        <v>27</v>
      </c>
      <c r="J151" s="3">
        <v>1564.66</v>
      </c>
    </row>
    <row r="152" spans="1:10" x14ac:dyDescent="0.25">
      <c r="A152" t="s">
        <v>480</v>
      </c>
      <c r="B152" t="s">
        <v>49</v>
      </c>
      <c r="C152" s="82">
        <v>3206216909</v>
      </c>
      <c r="D152">
        <v>201507</v>
      </c>
      <c r="E152" s="1">
        <v>42186</v>
      </c>
      <c r="F152" s="1">
        <v>42216</v>
      </c>
      <c r="G152" t="s">
        <v>481</v>
      </c>
      <c r="H152" s="81">
        <v>4.3</v>
      </c>
      <c r="I152" t="s">
        <v>27</v>
      </c>
      <c r="J152" s="3">
        <v>263.2</v>
      </c>
    </row>
    <row r="153" spans="1:10" x14ac:dyDescent="0.25">
      <c r="A153" t="s">
        <v>480</v>
      </c>
      <c r="B153" t="s">
        <v>49</v>
      </c>
      <c r="C153" s="82">
        <v>3206216909</v>
      </c>
      <c r="D153">
        <v>201508</v>
      </c>
      <c r="E153" s="1">
        <v>42217</v>
      </c>
      <c r="F153" s="1">
        <v>42247</v>
      </c>
      <c r="G153" t="s">
        <v>481</v>
      </c>
      <c r="H153" s="81">
        <v>5</v>
      </c>
      <c r="I153" t="s">
        <v>27</v>
      </c>
      <c r="J153" s="3">
        <v>342.87</v>
      </c>
    </row>
    <row r="154" spans="1:10" x14ac:dyDescent="0.25">
      <c r="A154" t="s">
        <v>480</v>
      </c>
      <c r="B154" t="s">
        <v>49</v>
      </c>
      <c r="C154" s="82">
        <v>3206216909</v>
      </c>
      <c r="D154">
        <v>201509</v>
      </c>
      <c r="E154" s="1">
        <v>42248</v>
      </c>
      <c r="F154" s="1">
        <v>42277</v>
      </c>
      <c r="G154" t="s">
        <v>481</v>
      </c>
      <c r="H154" s="81">
        <v>5.9</v>
      </c>
      <c r="I154" t="s">
        <v>27</v>
      </c>
      <c r="J154" s="3">
        <v>395.08</v>
      </c>
    </row>
    <row r="155" spans="1:10" x14ac:dyDescent="0.25">
      <c r="A155" t="s">
        <v>480</v>
      </c>
      <c r="B155" t="s">
        <v>49</v>
      </c>
      <c r="C155" s="82">
        <v>3206216909</v>
      </c>
      <c r="D155">
        <v>201510</v>
      </c>
      <c r="E155" s="1">
        <v>42278</v>
      </c>
      <c r="F155" s="1">
        <v>42308</v>
      </c>
      <c r="G155" t="s">
        <v>481</v>
      </c>
      <c r="H155" s="81">
        <v>0.3</v>
      </c>
      <c r="I155" t="s">
        <v>27</v>
      </c>
      <c r="J155" s="3">
        <v>31.39</v>
      </c>
    </row>
    <row r="156" spans="1:10" x14ac:dyDescent="0.25">
      <c r="A156" t="s">
        <v>480</v>
      </c>
      <c r="B156" t="s">
        <v>49</v>
      </c>
      <c r="C156" s="82">
        <v>3206216909</v>
      </c>
      <c r="D156">
        <v>201511</v>
      </c>
      <c r="E156" s="1">
        <v>42309</v>
      </c>
      <c r="F156" s="1">
        <v>42338</v>
      </c>
      <c r="G156" t="s">
        <v>481</v>
      </c>
      <c r="H156" s="81">
        <v>1.3</v>
      </c>
      <c r="I156" t="s">
        <v>27</v>
      </c>
      <c r="J156" s="3">
        <v>103.69</v>
      </c>
    </row>
    <row r="157" spans="1:10" x14ac:dyDescent="0.25">
      <c r="A157" t="s">
        <v>480</v>
      </c>
      <c r="B157" t="s">
        <v>49</v>
      </c>
      <c r="C157" s="82">
        <v>3206216909</v>
      </c>
      <c r="D157">
        <v>201512</v>
      </c>
      <c r="E157" s="1">
        <v>42339</v>
      </c>
      <c r="F157" s="1">
        <v>42369</v>
      </c>
      <c r="G157" t="s">
        <v>481</v>
      </c>
      <c r="H157" s="81">
        <v>1.9</v>
      </c>
      <c r="I157" t="s">
        <v>27</v>
      </c>
      <c r="J157" s="3">
        <v>143.07</v>
      </c>
    </row>
    <row r="158" spans="1:10" x14ac:dyDescent="0.25">
      <c r="A158" t="s">
        <v>480</v>
      </c>
      <c r="B158" t="s">
        <v>49</v>
      </c>
      <c r="C158" s="82">
        <v>3206216909</v>
      </c>
      <c r="D158">
        <v>201601</v>
      </c>
      <c r="E158" s="1">
        <v>42370</v>
      </c>
      <c r="F158" s="1">
        <v>42400</v>
      </c>
      <c r="G158" t="s">
        <v>481</v>
      </c>
      <c r="H158" s="81">
        <v>2.9</v>
      </c>
      <c r="I158" t="s">
        <v>27</v>
      </c>
      <c r="J158" s="3">
        <v>208.12</v>
      </c>
    </row>
    <row r="159" spans="1:10" x14ac:dyDescent="0.25">
      <c r="A159" t="s">
        <v>480</v>
      </c>
      <c r="B159" t="s">
        <v>49</v>
      </c>
      <c r="C159" s="82">
        <v>3206216909</v>
      </c>
      <c r="D159">
        <v>201602</v>
      </c>
      <c r="E159" s="1">
        <v>42401</v>
      </c>
      <c r="F159" s="1">
        <v>42429</v>
      </c>
      <c r="G159" t="s">
        <v>481</v>
      </c>
      <c r="H159" s="81">
        <v>2.4</v>
      </c>
      <c r="I159" t="s">
        <v>27</v>
      </c>
      <c r="J159" s="3">
        <v>169.97</v>
      </c>
    </row>
    <row r="160" spans="1:10" x14ac:dyDescent="0.25">
      <c r="A160" t="s">
        <v>480</v>
      </c>
      <c r="B160" t="s">
        <v>49</v>
      </c>
      <c r="C160" s="82">
        <v>3206216909</v>
      </c>
      <c r="D160">
        <v>201603</v>
      </c>
      <c r="E160" s="1">
        <v>42430</v>
      </c>
      <c r="F160" s="1">
        <v>42460</v>
      </c>
      <c r="G160" t="s">
        <v>481</v>
      </c>
      <c r="H160" s="81">
        <v>0.9</v>
      </c>
      <c r="I160" t="s">
        <v>27</v>
      </c>
      <c r="J160" s="3">
        <v>73.06</v>
      </c>
    </row>
    <row r="161" spans="1:10" x14ac:dyDescent="0.25">
      <c r="A161" t="s">
        <v>480</v>
      </c>
      <c r="B161" t="s">
        <v>49</v>
      </c>
      <c r="C161" s="82">
        <v>3206216909</v>
      </c>
      <c r="D161">
        <v>201604</v>
      </c>
      <c r="E161" s="1">
        <v>42461</v>
      </c>
      <c r="F161" s="1">
        <v>42490</v>
      </c>
      <c r="G161" t="s">
        <v>481</v>
      </c>
      <c r="H161" s="81">
        <v>0.5</v>
      </c>
      <c r="I161" t="s">
        <v>27</v>
      </c>
      <c r="J161" s="3">
        <v>47.05</v>
      </c>
    </row>
    <row r="162" spans="1:10" x14ac:dyDescent="0.25">
      <c r="A162" t="s">
        <v>480</v>
      </c>
      <c r="B162" t="s">
        <v>49</v>
      </c>
      <c r="C162" s="82">
        <v>3206216909</v>
      </c>
      <c r="D162">
        <v>201605</v>
      </c>
      <c r="E162" s="1">
        <v>42491</v>
      </c>
      <c r="F162" s="1">
        <v>42521</v>
      </c>
      <c r="G162" t="s">
        <v>481</v>
      </c>
      <c r="H162" s="81">
        <v>0</v>
      </c>
      <c r="I162" t="s">
        <v>27</v>
      </c>
      <c r="J162" s="3">
        <v>11.15</v>
      </c>
    </row>
    <row r="163" spans="1:10" ht="15.75" thickBot="1" x14ac:dyDescent="0.3">
      <c r="A163" t="s">
        <v>480</v>
      </c>
      <c r="B163" t="s">
        <v>49</v>
      </c>
      <c r="C163" s="82">
        <v>3206216909</v>
      </c>
      <c r="D163">
        <v>201606</v>
      </c>
      <c r="E163" s="1">
        <v>42522</v>
      </c>
      <c r="F163" s="1">
        <v>42551</v>
      </c>
      <c r="G163" t="s">
        <v>481</v>
      </c>
      <c r="H163" s="81">
        <v>0</v>
      </c>
      <c r="I163" t="s">
        <v>27</v>
      </c>
      <c r="J163" s="3">
        <v>11.15</v>
      </c>
    </row>
    <row r="164" spans="1:10" ht="15.75" thickBot="1" x14ac:dyDescent="0.3">
      <c r="H164" s="27">
        <f>SUM(H104:H163)</f>
        <v>26738.400000000005</v>
      </c>
      <c r="I164" t="s">
        <v>27</v>
      </c>
      <c r="J164" s="28">
        <f>SUM(J104:J163)</f>
        <v>159728.16000000003</v>
      </c>
    </row>
    <row r="166" spans="1:10" x14ac:dyDescent="0.25">
      <c r="A166" t="s">
        <v>474</v>
      </c>
      <c r="B166" t="s">
        <v>59</v>
      </c>
      <c r="C166" s="82">
        <v>3025787</v>
      </c>
      <c r="D166">
        <v>201507</v>
      </c>
      <c r="E166" s="1">
        <v>42192</v>
      </c>
      <c r="F166" s="1">
        <v>42221</v>
      </c>
      <c r="G166" t="s">
        <v>489</v>
      </c>
      <c r="H166" s="81">
        <v>57</v>
      </c>
      <c r="I166" t="s">
        <v>47</v>
      </c>
      <c r="J166" s="3">
        <v>740.55</v>
      </c>
    </row>
    <row r="167" spans="1:10" x14ac:dyDescent="0.25">
      <c r="A167" t="s">
        <v>474</v>
      </c>
      <c r="B167" t="s">
        <v>59</v>
      </c>
      <c r="C167" s="82">
        <v>3025787</v>
      </c>
      <c r="D167">
        <v>201508</v>
      </c>
      <c r="E167" s="1">
        <v>42222</v>
      </c>
      <c r="F167" s="1">
        <v>42251</v>
      </c>
      <c r="G167" t="s">
        <v>489</v>
      </c>
      <c r="H167" s="81">
        <v>25</v>
      </c>
      <c r="I167" t="s">
        <v>47</v>
      </c>
      <c r="J167" s="3">
        <v>393.35</v>
      </c>
    </row>
    <row r="168" spans="1:10" x14ac:dyDescent="0.25">
      <c r="A168" t="s">
        <v>474</v>
      </c>
      <c r="B168" t="s">
        <v>59</v>
      </c>
      <c r="C168" s="82">
        <v>3025787</v>
      </c>
      <c r="D168">
        <v>201509</v>
      </c>
      <c r="E168" s="1">
        <v>42252</v>
      </c>
      <c r="F168" s="1">
        <v>42282</v>
      </c>
      <c r="G168" t="s">
        <v>489</v>
      </c>
      <c r="H168" s="81">
        <v>42</v>
      </c>
      <c r="I168" t="s">
        <v>47</v>
      </c>
      <c r="J168" s="3">
        <v>577.79999999999995</v>
      </c>
    </row>
    <row r="169" spans="1:10" x14ac:dyDescent="0.25">
      <c r="A169" t="s">
        <v>474</v>
      </c>
      <c r="B169" t="s">
        <v>59</v>
      </c>
      <c r="C169" s="82">
        <v>3025787</v>
      </c>
      <c r="D169">
        <v>201510</v>
      </c>
      <c r="E169" s="1">
        <v>42283</v>
      </c>
      <c r="F169" s="1">
        <v>42312</v>
      </c>
      <c r="G169" t="s">
        <v>489</v>
      </c>
      <c r="H169" s="81">
        <v>55</v>
      </c>
      <c r="I169" t="s">
        <v>47</v>
      </c>
      <c r="J169" s="3">
        <v>718.85</v>
      </c>
    </row>
    <row r="170" spans="1:10" x14ac:dyDescent="0.25">
      <c r="A170" t="s">
        <v>474</v>
      </c>
      <c r="B170" t="s">
        <v>59</v>
      </c>
      <c r="C170" s="82">
        <v>3025787</v>
      </c>
      <c r="D170">
        <v>201511</v>
      </c>
      <c r="E170" s="1">
        <v>42313</v>
      </c>
      <c r="F170" s="1">
        <v>42341</v>
      </c>
      <c r="G170" t="s">
        <v>489</v>
      </c>
      <c r="H170" s="81">
        <v>44</v>
      </c>
      <c r="I170" t="s">
        <v>47</v>
      </c>
      <c r="J170" s="3">
        <v>599.5</v>
      </c>
    </row>
    <row r="171" spans="1:10" x14ac:dyDescent="0.25">
      <c r="A171" t="s">
        <v>474</v>
      </c>
      <c r="B171" t="s">
        <v>59</v>
      </c>
      <c r="C171" s="82">
        <v>3025787</v>
      </c>
      <c r="D171">
        <v>201512</v>
      </c>
      <c r="E171" s="1">
        <v>42342</v>
      </c>
      <c r="F171" s="1">
        <v>42375</v>
      </c>
      <c r="G171" t="s">
        <v>489</v>
      </c>
      <c r="H171" s="81">
        <v>27</v>
      </c>
      <c r="I171" t="s">
        <v>47</v>
      </c>
      <c r="J171" s="3">
        <v>442.9</v>
      </c>
    </row>
    <row r="172" spans="1:10" x14ac:dyDescent="0.25">
      <c r="A172" t="s">
        <v>474</v>
      </c>
      <c r="B172" t="s">
        <v>59</v>
      </c>
      <c r="C172" s="82">
        <v>3025787</v>
      </c>
      <c r="D172">
        <v>201601</v>
      </c>
      <c r="E172" s="1">
        <v>42376</v>
      </c>
      <c r="F172" s="1">
        <v>42403</v>
      </c>
      <c r="G172" t="s">
        <v>489</v>
      </c>
      <c r="H172" s="81">
        <v>57</v>
      </c>
      <c r="I172" t="s">
        <v>47</v>
      </c>
      <c r="J172" s="3">
        <v>768.4</v>
      </c>
    </row>
    <row r="173" spans="1:10" x14ac:dyDescent="0.25">
      <c r="A173" t="s">
        <v>474</v>
      </c>
      <c r="B173" t="s">
        <v>59</v>
      </c>
      <c r="C173" s="82">
        <v>3025787</v>
      </c>
      <c r="D173">
        <v>201602</v>
      </c>
      <c r="E173" s="1">
        <v>42404</v>
      </c>
      <c r="F173" s="1">
        <v>42433</v>
      </c>
      <c r="G173" t="s">
        <v>489</v>
      </c>
      <c r="H173" s="81">
        <v>62</v>
      </c>
      <c r="I173" t="s">
        <v>47</v>
      </c>
      <c r="J173" s="3">
        <v>822.65</v>
      </c>
    </row>
    <row r="174" spans="1:10" x14ac:dyDescent="0.25">
      <c r="A174" t="s">
        <v>474</v>
      </c>
      <c r="B174" t="s">
        <v>59</v>
      </c>
      <c r="C174" s="82">
        <v>3025787</v>
      </c>
      <c r="D174">
        <v>201603</v>
      </c>
      <c r="E174" s="1">
        <v>42434</v>
      </c>
      <c r="F174" s="1">
        <v>42465</v>
      </c>
      <c r="G174" t="s">
        <v>489</v>
      </c>
      <c r="H174" s="81">
        <v>50</v>
      </c>
      <c r="I174" t="s">
        <v>47</v>
      </c>
      <c r="J174" s="3">
        <v>692.45</v>
      </c>
    </row>
    <row r="175" spans="1:10" x14ac:dyDescent="0.25">
      <c r="A175" t="s">
        <v>474</v>
      </c>
      <c r="B175" t="s">
        <v>59</v>
      </c>
      <c r="C175" s="82">
        <v>3025787</v>
      </c>
      <c r="D175">
        <v>201604</v>
      </c>
      <c r="E175" s="1">
        <v>42466</v>
      </c>
      <c r="F175" s="1">
        <v>42494</v>
      </c>
      <c r="G175" t="s">
        <v>489</v>
      </c>
      <c r="H175" s="81">
        <v>40</v>
      </c>
      <c r="I175" t="s">
        <v>47</v>
      </c>
      <c r="J175" s="3">
        <v>583.95000000000005</v>
      </c>
    </row>
    <row r="176" spans="1:10" x14ac:dyDescent="0.25">
      <c r="A176" t="s">
        <v>474</v>
      </c>
      <c r="B176" t="s">
        <v>59</v>
      </c>
      <c r="C176" s="82">
        <v>3025787</v>
      </c>
      <c r="D176">
        <v>201605</v>
      </c>
      <c r="E176" s="1">
        <v>42495</v>
      </c>
      <c r="F176" s="1">
        <v>42524</v>
      </c>
      <c r="G176" t="s">
        <v>489</v>
      </c>
      <c r="H176" s="81">
        <v>30</v>
      </c>
      <c r="I176" t="s">
        <v>47</v>
      </c>
      <c r="J176" s="3">
        <v>475.45</v>
      </c>
    </row>
    <row r="177" spans="1:10" x14ac:dyDescent="0.25">
      <c r="A177" t="s">
        <v>474</v>
      </c>
      <c r="B177" t="s">
        <v>59</v>
      </c>
      <c r="C177" s="82">
        <v>3025787</v>
      </c>
      <c r="D177">
        <v>201606</v>
      </c>
      <c r="E177" s="1">
        <v>42525</v>
      </c>
      <c r="F177" s="1">
        <v>42557</v>
      </c>
      <c r="G177" t="s">
        <v>489</v>
      </c>
      <c r="H177" s="81">
        <v>26</v>
      </c>
      <c r="I177" t="s">
        <v>47</v>
      </c>
      <c r="J177" s="3">
        <v>432.05</v>
      </c>
    </row>
    <row r="178" spans="1:10" x14ac:dyDescent="0.25">
      <c r="A178" t="s">
        <v>471</v>
      </c>
      <c r="B178" t="s">
        <v>59</v>
      </c>
      <c r="C178" s="82">
        <v>3032616</v>
      </c>
      <c r="D178">
        <v>201507</v>
      </c>
      <c r="E178" s="1">
        <v>42192</v>
      </c>
      <c r="F178" s="1">
        <v>42221</v>
      </c>
      <c r="G178" t="s">
        <v>488</v>
      </c>
      <c r="H178" s="81">
        <v>522</v>
      </c>
      <c r="I178" t="s">
        <v>47</v>
      </c>
      <c r="J178" s="3">
        <v>6572.4</v>
      </c>
    </row>
    <row r="179" spans="1:10" x14ac:dyDescent="0.25">
      <c r="A179" t="s">
        <v>471</v>
      </c>
      <c r="B179" t="s">
        <v>59</v>
      </c>
      <c r="C179" s="82">
        <v>3032616</v>
      </c>
      <c r="D179">
        <v>201508</v>
      </c>
      <c r="E179" s="1">
        <v>42222</v>
      </c>
      <c r="F179" s="1">
        <v>42251</v>
      </c>
      <c r="G179" t="s">
        <v>488</v>
      </c>
      <c r="H179" s="81">
        <v>520</v>
      </c>
      <c r="I179" t="s">
        <v>47</v>
      </c>
      <c r="J179" s="3">
        <v>6546.1</v>
      </c>
    </row>
    <row r="180" spans="1:10" x14ac:dyDescent="0.25">
      <c r="A180" t="s">
        <v>471</v>
      </c>
      <c r="B180" t="s">
        <v>59</v>
      </c>
      <c r="C180" s="82">
        <v>3032616</v>
      </c>
      <c r="D180">
        <v>201509</v>
      </c>
      <c r="E180" s="1">
        <v>42252</v>
      </c>
      <c r="F180" s="1">
        <v>42282</v>
      </c>
      <c r="G180" t="s">
        <v>488</v>
      </c>
      <c r="H180" s="81">
        <v>382</v>
      </c>
      <c r="I180" t="s">
        <v>47</v>
      </c>
      <c r="J180" s="3">
        <v>4731.3999999999996</v>
      </c>
    </row>
    <row r="181" spans="1:10" x14ac:dyDescent="0.25">
      <c r="A181" t="s">
        <v>471</v>
      </c>
      <c r="B181" t="s">
        <v>59</v>
      </c>
      <c r="C181" s="82">
        <v>3032616</v>
      </c>
      <c r="D181">
        <v>201510</v>
      </c>
      <c r="E181" s="1">
        <v>42283</v>
      </c>
      <c r="F181" s="1">
        <v>42312</v>
      </c>
      <c r="G181" t="s">
        <v>488</v>
      </c>
      <c r="H181" s="81">
        <v>246</v>
      </c>
      <c r="I181" t="s">
        <v>47</v>
      </c>
      <c r="J181" s="3">
        <v>2943</v>
      </c>
    </row>
    <row r="182" spans="1:10" x14ac:dyDescent="0.25">
      <c r="A182" t="s">
        <v>471</v>
      </c>
      <c r="B182" t="s">
        <v>59</v>
      </c>
      <c r="C182" s="82">
        <v>3032616</v>
      </c>
      <c r="D182">
        <v>201511</v>
      </c>
      <c r="E182" s="1">
        <v>42313</v>
      </c>
      <c r="F182" s="1">
        <v>42341</v>
      </c>
      <c r="G182" t="s">
        <v>488</v>
      </c>
      <c r="H182" s="81">
        <v>208</v>
      </c>
      <c r="I182" t="s">
        <v>47</v>
      </c>
      <c r="J182" s="3">
        <v>2443.3000000000002</v>
      </c>
    </row>
    <row r="183" spans="1:10" x14ac:dyDescent="0.25">
      <c r="A183" t="s">
        <v>471</v>
      </c>
      <c r="B183" t="s">
        <v>59</v>
      </c>
      <c r="C183" s="82">
        <v>3032616</v>
      </c>
      <c r="D183">
        <v>201512</v>
      </c>
      <c r="E183" s="1">
        <v>42342</v>
      </c>
      <c r="F183" s="1">
        <v>42375</v>
      </c>
      <c r="G183" t="s">
        <v>488</v>
      </c>
      <c r="H183" s="81">
        <v>195</v>
      </c>
      <c r="I183" t="s">
        <v>47</v>
      </c>
      <c r="J183" s="3">
        <v>2304.6999999999998</v>
      </c>
    </row>
    <row r="184" spans="1:10" x14ac:dyDescent="0.25">
      <c r="A184" t="s">
        <v>471</v>
      </c>
      <c r="B184" t="s">
        <v>59</v>
      </c>
      <c r="C184" s="82">
        <v>3032616</v>
      </c>
      <c r="D184">
        <v>201601</v>
      </c>
      <c r="E184" s="1">
        <v>42376</v>
      </c>
      <c r="F184" s="1">
        <v>42403</v>
      </c>
      <c r="G184" t="s">
        <v>488</v>
      </c>
      <c r="H184" s="81">
        <v>141</v>
      </c>
      <c r="I184" t="s">
        <v>47</v>
      </c>
      <c r="J184" s="3">
        <v>1679.8</v>
      </c>
    </row>
    <row r="185" spans="1:10" x14ac:dyDescent="0.25">
      <c r="A185" t="s">
        <v>471</v>
      </c>
      <c r="B185" t="s">
        <v>59</v>
      </c>
      <c r="C185" s="82">
        <v>3032616</v>
      </c>
      <c r="D185">
        <v>201602</v>
      </c>
      <c r="E185" s="1">
        <v>42404</v>
      </c>
      <c r="F185" s="1">
        <v>42433</v>
      </c>
      <c r="G185" t="s">
        <v>488</v>
      </c>
      <c r="H185" s="81">
        <v>153</v>
      </c>
      <c r="I185" t="s">
        <v>47</v>
      </c>
      <c r="J185" s="3">
        <v>1810</v>
      </c>
    </row>
    <row r="186" spans="1:10" x14ac:dyDescent="0.25">
      <c r="A186" t="s">
        <v>471</v>
      </c>
      <c r="B186" t="s">
        <v>59</v>
      </c>
      <c r="C186" s="82">
        <v>3032616</v>
      </c>
      <c r="D186">
        <v>201603</v>
      </c>
      <c r="E186" s="1">
        <v>42434</v>
      </c>
      <c r="F186" s="1">
        <v>42465</v>
      </c>
      <c r="G186" t="s">
        <v>488</v>
      </c>
      <c r="H186" s="81">
        <v>174</v>
      </c>
      <c r="I186" t="s">
        <v>47</v>
      </c>
      <c r="J186" s="3">
        <v>2037.85</v>
      </c>
    </row>
    <row r="187" spans="1:10" x14ac:dyDescent="0.25">
      <c r="A187" t="s">
        <v>471</v>
      </c>
      <c r="B187" t="s">
        <v>59</v>
      </c>
      <c r="C187" s="82">
        <v>3032616</v>
      </c>
      <c r="D187">
        <v>201604</v>
      </c>
      <c r="E187" s="1">
        <v>42466</v>
      </c>
      <c r="F187" s="1">
        <v>42494</v>
      </c>
      <c r="G187" t="s">
        <v>488</v>
      </c>
      <c r="H187" s="81">
        <v>197</v>
      </c>
      <c r="I187" t="s">
        <v>47</v>
      </c>
      <c r="J187" s="3">
        <v>2331.6</v>
      </c>
    </row>
    <row r="188" spans="1:10" x14ac:dyDescent="0.25">
      <c r="A188" t="s">
        <v>471</v>
      </c>
      <c r="B188" t="s">
        <v>59</v>
      </c>
      <c r="C188" s="82">
        <v>3032616</v>
      </c>
      <c r="D188">
        <v>201605</v>
      </c>
      <c r="E188" s="1">
        <v>42495</v>
      </c>
      <c r="F188" s="1">
        <v>42524</v>
      </c>
      <c r="G188" t="s">
        <v>488</v>
      </c>
      <c r="H188" s="81">
        <v>250</v>
      </c>
      <c r="I188" t="s">
        <v>47</v>
      </c>
      <c r="J188" s="3">
        <v>3044.45</v>
      </c>
    </row>
    <row r="189" spans="1:10" x14ac:dyDescent="0.25">
      <c r="A189" t="s">
        <v>471</v>
      </c>
      <c r="B189" t="s">
        <v>59</v>
      </c>
      <c r="C189" s="82">
        <v>3032616</v>
      </c>
      <c r="D189">
        <v>201606</v>
      </c>
      <c r="E189" s="1">
        <v>42525</v>
      </c>
      <c r="F189" s="1">
        <v>42557</v>
      </c>
      <c r="G189" t="s">
        <v>488</v>
      </c>
      <c r="H189" s="81">
        <v>414</v>
      </c>
      <c r="I189" t="s">
        <v>47</v>
      </c>
      <c r="J189" s="3">
        <v>5250.25</v>
      </c>
    </row>
    <row r="190" spans="1:10" x14ac:dyDescent="0.25">
      <c r="A190" t="s">
        <v>469</v>
      </c>
      <c r="B190" t="s">
        <v>46</v>
      </c>
      <c r="C190" s="82">
        <v>3025786</v>
      </c>
      <c r="D190">
        <v>201507</v>
      </c>
      <c r="E190" s="1">
        <v>42192</v>
      </c>
      <c r="F190" s="1">
        <v>42221</v>
      </c>
      <c r="G190" t="s">
        <v>487</v>
      </c>
      <c r="H190" s="81">
        <v>455</v>
      </c>
      <c r="I190" t="s">
        <v>47</v>
      </c>
      <c r="J190" s="3">
        <v>3501.15</v>
      </c>
    </row>
    <row r="191" spans="1:10" x14ac:dyDescent="0.25">
      <c r="A191" t="s">
        <v>469</v>
      </c>
      <c r="B191" t="s">
        <v>46</v>
      </c>
      <c r="C191" s="82">
        <v>3025786</v>
      </c>
      <c r="D191">
        <v>201508</v>
      </c>
      <c r="E191" s="1">
        <v>42222</v>
      </c>
      <c r="F191" s="1">
        <v>42251</v>
      </c>
      <c r="G191" t="s">
        <v>487</v>
      </c>
      <c r="H191" s="81">
        <v>477</v>
      </c>
      <c r="I191" t="s">
        <v>47</v>
      </c>
      <c r="J191" s="3">
        <v>3677.15</v>
      </c>
    </row>
    <row r="192" spans="1:10" x14ac:dyDescent="0.25">
      <c r="A192" t="s">
        <v>469</v>
      </c>
      <c r="B192" t="s">
        <v>46</v>
      </c>
      <c r="C192" s="82">
        <v>3025786</v>
      </c>
      <c r="D192">
        <v>201509</v>
      </c>
      <c r="E192" s="1">
        <v>42252</v>
      </c>
      <c r="F192" s="1">
        <v>42282</v>
      </c>
      <c r="G192" t="s">
        <v>487</v>
      </c>
      <c r="H192" s="81">
        <v>324</v>
      </c>
      <c r="I192" t="s">
        <v>47</v>
      </c>
      <c r="J192" s="3">
        <v>2453.15</v>
      </c>
    </row>
    <row r="193" spans="1:10" x14ac:dyDescent="0.25">
      <c r="A193" t="s">
        <v>469</v>
      </c>
      <c r="B193" t="s">
        <v>46</v>
      </c>
      <c r="C193" s="82">
        <v>3025786</v>
      </c>
      <c r="D193">
        <v>201510</v>
      </c>
      <c r="E193" s="1">
        <v>42283</v>
      </c>
      <c r="F193" s="1">
        <v>42312</v>
      </c>
      <c r="G193" t="s">
        <v>487</v>
      </c>
      <c r="H193" s="81">
        <v>98</v>
      </c>
      <c r="I193" t="s">
        <v>47</v>
      </c>
      <c r="J193" s="3">
        <v>645.15</v>
      </c>
    </row>
    <row r="194" spans="1:10" x14ac:dyDescent="0.25">
      <c r="A194" t="s">
        <v>469</v>
      </c>
      <c r="B194" t="s">
        <v>46</v>
      </c>
      <c r="C194" s="82">
        <v>3025786</v>
      </c>
      <c r="D194">
        <v>201511</v>
      </c>
      <c r="E194" s="1">
        <v>42313</v>
      </c>
      <c r="F194" s="1">
        <v>42341</v>
      </c>
      <c r="G194" t="s">
        <v>487</v>
      </c>
      <c r="H194" s="81">
        <v>53</v>
      </c>
      <c r="I194" t="s">
        <v>47</v>
      </c>
      <c r="J194" s="3">
        <v>285.14999999999998</v>
      </c>
    </row>
    <row r="195" spans="1:10" x14ac:dyDescent="0.25">
      <c r="A195" t="s">
        <v>469</v>
      </c>
      <c r="B195" t="s">
        <v>46</v>
      </c>
      <c r="C195" s="82">
        <v>3025786</v>
      </c>
      <c r="D195">
        <v>201512</v>
      </c>
      <c r="E195" s="1">
        <v>42342</v>
      </c>
      <c r="F195" s="1">
        <v>42375</v>
      </c>
      <c r="G195" t="s">
        <v>487</v>
      </c>
      <c r="H195" s="81">
        <v>43</v>
      </c>
      <c r="I195" t="s">
        <v>47</v>
      </c>
      <c r="J195" s="3">
        <v>210.15</v>
      </c>
    </row>
    <row r="196" spans="1:10" x14ac:dyDescent="0.25">
      <c r="A196" t="s">
        <v>469</v>
      </c>
      <c r="B196" t="s">
        <v>46</v>
      </c>
      <c r="C196" s="82">
        <v>3025786</v>
      </c>
      <c r="D196">
        <v>201601</v>
      </c>
      <c r="E196" s="1">
        <v>42376</v>
      </c>
      <c r="F196" s="1">
        <v>42403</v>
      </c>
      <c r="G196" t="s">
        <v>487</v>
      </c>
      <c r="H196" s="81">
        <v>2</v>
      </c>
      <c r="I196" t="s">
        <v>47</v>
      </c>
      <c r="J196" s="3">
        <v>12.45</v>
      </c>
    </row>
    <row r="197" spans="1:10" x14ac:dyDescent="0.25">
      <c r="A197" t="s">
        <v>469</v>
      </c>
      <c r="B197" t="s">
        <v>46</v>
      </c>
      <c r="C197" s="82">
        <v>3025786</v>
      </c>
      <c r="D197">
        <v>201602</v>
      </c>
      <c r="E197" s="1">
        <v>42404</v>
      </c>
      <c r="F197" s="1">
        <v>42433</v>
      </c>
      <c r="G197" t="s">
        <v>487</v>
      </c>
      <c r="H197" s="81">
        <v>4</v>
      </c>
      <c r="I197" t="s">
        <v>47</v>
      </c>
      <c r="J197" s="3">
        <v>19.850000000000001</v>
      </c>
    </row>
    <row r="198" spans="1:10" x14ac:dyDescent="0.25">
      <c r="A198" t="s">
        <v>469</v>
      </c>
      <c r="B198" t="s">
        <v>46</v>
      </c>
      <c r="C198" s="82">
        <v>3025786</v>
      </c>
      <c r="D198">
        <v>201603</v>
      </c>
      <c r="E198" s="1">
        <v>42434</v>
      </c>
      <c r="F198" s="1">
        <v>42465</v>
      </c>
      <c r="G198" t="s">
        <v>487</v>
      </c>
      <c r="H198" s="81">
        <v>23</v>
      </c>
      <c r="I198" t="s">
        <v>47</v>
      </c>
      <c r="J198" s="3">
        <v>96.15</v>
      </c>
    </row>
    <row r="199" spans="1:10" x14ac:dyDescent="0.25">
      <c r="A199" t="s">
        <v>469</v>
      </c>
      <c r="B199" t="s">
        <v>46</v>
      </c>
      <c r="C199" s="82">
        <v>3025786</v>
      </c>
      <c r="D199">
        <v>201604</v>
      </c>
      <c r="E199" s="1">
        <v>42466</v>
      </c>
      <c r="F199" s="1">
        <v>42494</v>
      </c>
      <c r="G199" t="s">
        <v>487</v>
      </c>
      <c r="H199" s="81">
        <v>131</v>
      </c>
      <c r="I199" t="s">
        <v>47</v>
      </c>
      <c r="J199" s="3">
        <v>935.35</v>
      </c>
    </row>
    <row r="200" spans="1:10" x14ac:dyDescent="0.25">
      <c r="A200" t="s">
        <v>469</v>
      </c>
      <c r="B200" t="s">
        <v>46</v>
      </c>
      <c r="C200" s="82">
        <v>3025786</v>
      </c>
      <c r="D200">
        <v>201605</v>
      </c>
      <c r="E200" s="1">
        <v>42495</v>
      </c>
      <c r="F200" s="1">
        <v>42524</v>
      </c>
      <c r="G200" t="s">
        <v>487</v>
      </c>
      <c r="H200" s="81">
        <v>277</v>
      </c>
      <c r="I200" t="s">
        <v>47</v>
      </c>
      <c r="J200" s="3">
        <v>2147.15</v>
      </c>
    </row>
    <row r="201" spans="1:10" x14ac:dyDescent="0.25">
      <c r="A201" t="s">
        <v>469</v>
      </c>
      <c r="B201" t="s">
        <v>46</v>
      </c>
      <c r="C201" s="82">
        <v>3025786</v>
      </c>
      <c r="D201">
        <v>201606</v>
      </c>
      <c r="E201" s="1">
        <v>42525</v>
      </c>
      <c r="F201" s="1">
        <v>42557</v>
      </c>
      <c r="G201" t="s">
        <v>487</v>
      </c>
      <c r="H201" s="81">
        <v>63</v>
      </c>
      <c r="I201" t="s">
        <v>47</v>
      </c>
      <c r="J201" s="3">
        <v>370.95</v>
      </c>
    </row>
    <row r="202" spans="1:10" x14ac:dyDescent="0.25">
      <c r="A202" t="s">
        <v>469</v>
      </c>
      <c r="B202" t="s">
        <v>59</v>
      </c>
      <c r="C202" s="82">
        <v>3025785</v>
      </c>
      <c r="D202">
        <v>201507</v>
      </c>
      <c r="E202" s="1">
        <v>42192</v>
      </c>
      <c r="F202" s="1">
        <v>42221</v>
      </c>
      <c r="G202" t="s">
        <v>486</v>
      </c>
      <c r="H202" s="81">
        <v>55</v>
      </c>
      <c r="I202" t="s">
        <v>47</v>
      </c>
      <c r="J202" s="3">
        <v>718.85</v>
      </c>
    </row>
    <row r="203" spans="1:10" x14ac:dyDescent="0.25">
      <c r="A203" t="s">
        <v>469</v>
      </c>
      <c r="B203" t="s">
        <v>59</v>
      </c>
      <c r="C203" s="82">
        <v>3025785</v>
      </c>
      <c r="D203">
        <v>201508</v>
      </c>
      <c r="E203" s="1">
        <v>42222</v>
      </c>
      <c r="F203" s="1">
        <v>42251</v>
      </c>
      <c r="G203" t="s">
        <v>486</v>
      </c>
      <c r="H203" s="81">
        <v>57</v>
      </c>
      <c r="I203" t="s">
        <v>47</v>
      </c>
      <c r="J203" s="3">
        <v>740.55</v>
      </c>
    </row>
    <row r="204" spans="1:10" x14ac:dyDescent="0.25">
      <c r="A204" t="s">
        <v>469</v>
      </c>
      <c r="B204" t="s">
        <v>59</v>
      </c>
      <c r="C204" s="82">
        <v>3025785</v>
      </c>
      <c r="D204">
        <v>201509</v>
      </c>
      <c r="E204" s="1">
        <v>42252</v>
      </c>
      <c r="F204" s="1">
        <v>42282</v>
      </c>
      <c r="G204" t="s">
        <v>486</v>
      </c>
      <c r="H204" s="81">
        <v>64</v>
      </c>
      <c r="I204" t="s">
        <v>47</v>
      </c>
      <c r="J204" s="3">
        <v>816.5</v>
      </c>
    </row>
    <row r="205" spans="1:10" x14ac:dyDescent="0.25">
      <c r="A205" t="s">
        <v>469</v>
      </c>
      <c r="B205" t="s">
        <v>59</v>
      </c>
      <c r="C205" s="82">
        <v>3025785</v>
      </c>
      <c r="D205">
        <v>201510</v>
      </c>
      <c r="E205" s="1">
        <v>42283</v>
      </c>
      <c r="F205" s="1">
        <v>42312</v>
      </c>
      <c r="G205" t="s">
        <v>486</v>
      </c>
      <c r="H205" s="81">
        <v>69</v>
      </c>
      <c r="I205" t="s">
        <v>47</v>
      </c>
      <c r="J205" s="3">
        <v>870.75</v>
      </c>
    </row>
    <row r="206" spans="1:10" x14ac:dyDescent="0.25">
      <c r="A206" t="s">
        <v>469</v>
      </c>
      <c r="B206" t="s">
        <v>59</v>
      </c>
      <c r="C206" s="82">
        <v>3025785</v>
      </c>
      <c r="D206">
        <v>201511</v>
      </c>
      <c r="E206" s="1">
        <v>42313</v>
      </c>
      <c r="F206" s="1">
        <v>42341</v>
      </c>
      <c r="G206" t="s">
        <v>486</v>
      </c>
      <c r="H206" s="81">
        <v>47</v>
      </c>
      <c r="I206" t="s">
        <v>47</v>
      </c>
      <c r="J206" s="3">
        <v>632.04999999999995</v>
      </c>
    </row>
    <row r="207" spans="1:10" x14ac:dyDescent="0.25">
      <c r="A207" t="s">
        <v>469</v>
      </c>
      <c r="B207" t="s">
        <v>59</v>
      </c>
      <c r="C207" s="82">
        <v>3025785</v>
      </c>
      <c r="D207">
        <v>201512</v>
      </c>
      <c r="E207" s="1">
        <v>42342</v>
      </c>
      <c r="F207" s="1">
        <v>42375</v>
      </c>
      <c r="G207" t="s">
        <v>486</v>
      </c>
      <c r="H207" s="81">
        <v>40</v>
      </c>
      <c r="I207" t="s">
        <v>47</v>
      </c>
      <c r="J207" s="3">
        <v>583.95000000000005</v>
      </c>
    </row>
    <row r="208" spans="1:10" x14ac:dyDescent="0.25">
      <c r="A208" t="s">
        <v>469</v>
      </c>
      <c r="B208" t="s">
        <v>59</v>
      </c>
      <c r="C208" s="82">
        <v>3025785</v>
      </c>
      <c r="D208">
        <v>201601</v>
      </c>
      <c r="E208" s="1">
        <v>42376</v>
      </c>
      <c r="F208" s="1">
        <v>42403</v>
      </c>
      <c r="G208" t="s">
        <v>486</v>
      </c>
      <c r="H208" s="81">
        <v>37</v>
      </c>
      <c r="I208" t="s">
        <v>47</v>
      </c>
      <c r="J208" s="3">
        <v>551.4</v>
      </c>
    </row>
    <row r="209" spans="1:10" x14ac:dyDescent="0.25">
      <c r="A209" t="s">
        <v>469</v>
      </c>
      <c r="B209" t="s">
        <v>59</v>
      </c>
      <c r="C209" s="82">
        <v>3025785</v>
      </c>
      <c r="D209">
        <v>201602</v>
      </c>
      <c r="E209" s="1">
        <v>42404</v>
      </c>
      <c r="F209" s="1">
        <v>42433</v>
      </c>
      <c r="G209" t="s">
        <v>486</v>
      </c>
      <c r="H209" s="81">
        <v>57</v>
      </c>
      <c r="I209" t="s">
        <v>47</v>
      </c>
      <c r="J209" s="3">
        <v>768.4</v>
      </c>
    </row>
    <row r="210" spans="1:10" x14ac:dyDescent="0.25">
      <c r="A210" t="s">
        <v>469</v>
      </c>
      <c r="B210" t="s">
        <v>59</v>
      </c>
      <c r="C210" s="82">
        <v>3025785</v>
      </c>
      <c r="D210">
        <v>201603</v>
      </c>
      <c r="E210" s="1">
        <v>42434</v>
      </c>
      <c r="F210" s="1">
        <v>42465</v>
      </c>
      <c r="G210" t="s">
        <v>486</v>
      </c>
      <c r="H210" s="81">
        <v>63</v>
      </c>
      <c r="I210" t="s">
        <v>47</v>
      </c>
      <c r="J210" s="3">
        <v>833.5</v>
      </c>
    </row>
    <row r="211" spans="1:10" x14ac:dyDescent="0.25">
      <c r="A211" t="s">
        <v>469</v>
      </c>
      <c r="B211" t="s">
        <v>59</v>
      </c>
      <c r="C211" s="82">
        <v>3025785</v>
      </c>
      <c r="D211">
        <v>201604</v>
      </c>
      <c r="E211" s="1">
        <v>42466</v>
      </c>
      <c r="F211" s="1">
        <v>42494</v>
      </c>
      <c r="G211" t="s">
        <v>486</v>
      </c>
      <c r="H211" s="81">
        <v>70</v>
      </c>
      <c r="I211" t="s">
        <v>47</v>
      </c>
      <c r="J211" s="3">
        <v>909.45</v>
      </c>
    </row>
    <row r="212" spans="1:10" x14ac:dyDescent="0.25">
      <c r="A212" t="s">
        <v>469</v>
      </c>
      <c r="B212" t="s">
        <v>59</v>
      </c>
      <c r="C212" s="82">
        <v>3025785</v>
      </c>
      <c r="D212">
        <v>201605</v>
      </c>
      <c r="E212" s="1">
        <v>42495</v>
      </c>
      <c r="F212" s="1">
        <v>42524</v>
      </c>
      <c r="G212" t="s">
        <v>486</v>
      </c>
      <c r="H212" s="81">
        <v>59</v>
      </c>
      <c r="I212" t="s">
        <v>47</v>
      </c>
      <c r="J212" s="3">
        <v>790.1</v>
      </c>
    </row>
    <row r="213" spans="1:10" ht="15.75" thickBot="1" x14ac:dyDescent="0.3">
      <c r="A213" t="s">
        <v>469</v>
      </c>
      <c r="B213" t="s">
        <v>59</v>
      </c>
      <c r="C213" s="82">
        <v>3025785</v>
      </c>
      <c r="D213">
        <v>201606</v>
      </c>
      <c r="E213" s="1">
        <v>42525</v>
      </c>
      <c r="F213" s="1">
        <v>42557</v>
      </c>
      <c r="G213" t="s">
        <v>486</v>
      </c>
      <c r="H213" s="81">
        <v>50</v>
      </c>
      <c r="I213" t="s">
        <v>47</v>
      </c>
      <c r="J213" s="3">
        <v>692.45</v>
      </c>
    </row>
    <row r="214" spans="1:10" ht="15.75" thickBot="1" x14ac:dyDescent="0.3">
      <c r="H214" s="5">
        <f>SUM(H166:H213)</f>
        <v>6535</v>
      </c>
      <c r="I214" t="s">
        <v>47</v>
      </c>
      <c r="J214" s="21">
        <f>SUM(J166:J213)</f>
        <v>72204.5</v>
      </c>
    </row>
  </sheetData>
  <sortState xmlns:xlrd2="http://schemas.microsoft.com/office/spreadsheetml/2017/richdata2" ref="A162:J210">
    <sortCondition ref="A162:A210"/>
  </sortState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J58"/>
  <sheetViews>
    <sheetView workbookViewId="0">
      <selection activeCell="H27" sqref="H27"/>
    </sheetView>
  </sheetViews>
  <sheetFormatPr defaultColWidth="9" defaultRowHeight="15" x14ac:dyDescent="0.25"/>
  <cols>
    <col min="1" max="1" width="13.42578125" customWidth="1"/>
    <col min="2" max="2" width="14.42578125" bestFit="1" customWidth="1"/>
    <col min="3" max="3" width="26.7109375" style="82" bestFit="1" customWidth="1"/>
    <col min="4" max="4" width="7" bestFit="1" customWidth="1"/>
    <col min="5" max="5" width="9.7109375" bestFit="1" customWidth="1"/>
    <col min="6" max="6" width="10.7109375" bestFit="1" customWidth="1"/>
    <col min="7" max="7" width="26.7109375" bestFit="1" customWidth="1"/>
    <col min="8" max="8" width="9.140625" bestFit="1" customWidth="1"/>
    <col min="9" max="9" width="7.42578125" bestFit="1" customWidth="1"/>
    <col min="10" max="10" width="11.140625" bestFit="1" customWidth="1"/>
  </cols>
  <sheetData>
    <row r="1" spans="1:10" x14ac:dyDescent="0.25">
      <c r="A1" s="12" t="s">
        <v>611</v>
      </c>
    </row>
    <row r="3" spans="1:10" x14ac:dyDescent="0.25">
      <c r="A3" t="s">
        <v>426</v>
      </c>
      <c r="B3" t="s">
        <v>5</v>
      </c>
      <c r="C3" s="82" t="s">
        <v>735</v>
      </c>
      <c r="D3">
        <v>201507</v>
      </c>
      <c r="E3" s="1">
        <v>42186</v>
      </c>
      <c r="F3" s="1">
        <v>42217</v>
      </c>
      <c r="G3" t="s">
        <v>735</v>
      </c>
      <c r="H3" s="81">
        <v>34173</v>
      </c>
      <c r="I3" t="s">
        <v>6</v>
      </c>
      <c r="J3" s="3">
        <v>2990.19</v>
      </c>
    </row>
    <row r="4" spans="1:10" x14ac:dyDescent="0.25">
      <c r="A4" t="s">
        <v>426</v>
      </c>
      <c r="B4" t="s">
        <v>5</v>
      </c>
      <c r="C4" s="82" t="s">
        <v>735</v>
      </c>
      <c r="D4">
        <v>201508</v>
      </c>
      <c r="E4" s="1">
        <v>42217</v>
      </c>
      <c r="F4" s="1">
        <v>42248</v>
      </c>
      <c r="G4" t="s">
        <v>735</v>
      </c>
      <c r="H4" s="81">
        <v>134054</v>
      </c>
      <c r="I4" t="s">
        <v>6</v>
      </c>
      <c r="J4" s="3">
        <v>11729.92</v>
      </c>
    </row>
    <row r="5" spans="1:10" x14ac:dyDescent="0.25">
      <c r="A5" t="s">
        <v>426</v>
      </c>
      <c r="B5" t="s">
        <v>5</v>
      </c>
      <c r="C5" s="82" t="s">
        <v>735</v>
      </c>
      <c r="D5">
        <v>201509</v>
      </c>
      <c r="E5" s="1">
        <v>42248</v>
      </c>
      <c r="F5" s="1">
        <v>42278</v>
      </c>
      <c r="G5" t="s">
        <v>735</v>
      </c>
      <c r="H5" s="81">
        <v>48348</v>
      </c>
      <c r="I5" t="s">
        <v>6</v>
      </c>
      <c r="J5" s="3">
        <v>4230.5200000000004</v>
      </c>
    </row>
    <row r="6" spans="1:10" x14ac:dyDescent="0.25">
      <c r="A6" t="s">
        <v>426</v>
      </c>
      <c r="B6" t="s">
        <v>5</v>
      </c>
      <c r="C6" s="82" t="s">
        <v>735</v>
      </c>
      <c r="D6">
        <v>201510</v>
      </c>
      <c r="E6" s="1">
        <v>42278</v>
      </c>
      <c r="F6" s="1">
        <v>42309</v>
      </c>
      <c r="G6" t="s">
        <v>735</v>
      </c>
      <c r="H6" s="81">
        <v>39795</v>
      </c>
      <c r="I6" t="s">
        <v>6</v>
      </c>
      <c r="J6" s="3">
        <v>3482.12</v>
      </c>
    </row>
    <row r="7" spans="1:10" x14ac:dyDescent="0.25">
      <c r="A7" t="s">
        <v>426</v>
      </c>
      <c r="B7" t="s">
        <v>5</v>
      </c>
      <c r="C7" s="82" t="s">
        <v>735</v>
      </c>
      <c r="D7">
        <v>201511</v>
      </c>
      <c r="E7" s="1">
        <v>42309</v>
      </c>
      <c r="F7" s="1">
        <v>42339</v>
      </c>
      <c r="G7" t="s">
        <v>735</v>
      </c>
      <c r="H7" s="81">
        <v>43073</v>
      </c>
      <c r="I7" t="s">
        <v>6</v>
      </c>
      <c r="J7" s="3">
        <v>3768.95</v>
      </c>
    </row>
    <row r="8" spans="1:10" x14ac:dyDescent="0.25">
      <c r="A8" t="s">
        <v>426</v>
      </c>
      <c r="B8" t="s">
        <v>5</v>
      </c>
      <c r="C8" s="82" t="s">
        <v>735</v>
      </c>
      <c r="D8">
        <v>201512</v>
      </c>
      <c r="E8" s="1">
        <v>42339</v>
      </c>
      <c r="F8" s="1">
        <v>42370</v>
      </c>
      <c r="G8" t="s">
        <v>735</v>
      </c>
      <c r="H8" s="81">
        <v>36966</v>
      </c>
      <c r="I8" t="s">
        <v>6</v>
      </c>
      <c r="J8" s="3">
        <v>3234.58</v>
      </c>
    </row>
    <row r="9" spans="1:10" x14ac:dyDescent="0.25">
      <c r="A9" t="s">
        <v>426</v>
      </c>
      <c r="B9" t="s">
        <v>5</v>
      </c>
      <c r="C9" s="82" t="s">
        <v>735</v>
      </c>
      <c r="D9">
        <v>201601</v>
      </c>
      <c r="E9" s="1">
        <v>42370</v>
      </c>
      <c r="F9" s="1">
        <v>42401</v>
      </c>
      <c r="G9" t="s">
        <v>735</v>
      </c>
      <c r="H9" s="81">
        <v>76159</v>
      </c>
      <c r="I9" t="s">
        <v>6</v>
      </c>
      <c r="J9" s="3">
        <v>6664.02</v>
      </c>
    </row>
    <row r="10" spans="1:10" x14ac:dyDescent="0.25">
      <c r="A10" t="s">
        <v>426</v>
      </c>
      <c r="B10" t="s">
        <v>5</v>
      </c>
      <c r="C10" s="82" t="s">
        <v>735</v>
      </c>
      <c r="D10">
        <v>201602</v>
      </c>
      <c r="E10" s="1">
        <v>42401</v>
      </c>
      <c r="F10" s="1">
        <v>42430</v>
      </c>
      <c r="G10" t="s">
        <v>735</v>
      </c>
      <c r="H10" s="81">
        <v>70093</v>
      </c>
      <c r="I10" t="s">
        <v>6</v>
      </c>
      <c r="J10" s="3">
        <v>6133.24</v>
      </c>
    </row>
    <row r="11" spans="1:10" x14ac:dyDescent="0.25">
      <c r="A11" t="s">
        <v>426</v>
      </c>
      <c r="B11" t="s">
        <v>5</v>
      </c>
      <c r="C11" s="82" t="s">
        <v>735</v>
      </c>
      <c r="D11">
        <v>201603</v>
      </c>
      <c r="E11" s="1">
        <v>42430</v>
      </c>
      <c r="F11" s="1">
        <v>42461</v>
      </c>
      <c r="G11" t="s">
        <v>735</v>
      </c>
      <c r="H11" s="81">
        <v>50819</v>
      </c>
      <c r="I11" t="s">
        <v>6</v>
      </c>
      <c r="J11" s="3">
        <v>4446.7299999999996</v>
      </c>
    </row>
    <row r="12" spans="1:10" x14ac:dyDescent="0.25">
      <c r="A12" t="s">
        <v>426</v>
      </c>
      <c r="B12" t="s">
        <v>5</v>
      </c>
      <c r="C12" s="82" t="s">
        <v>735</v>
      </c>
      <c r="D12">
        <v>201604</v>
      </c>
      <c r="E12" s="1">
        <v>42461</v>
      </c>
      <c r="F12" s="1">
        <v>42491</v>
      </c>
      <c r="G12" t="s">
        <v>735</v>
      </c>
      <c r="H12" s="81">
        <v>44405</v>
      </c>
      <c r="I12" t="s">
        <v>6</v>
      </c>
      <c r="J12" s="3">
        <v>3885.5</v>
      </c>
    </row>
    <row r="13" spans="1:10" x14ac:dyDescent="0.25">
      <c r="A13" t="s">
        <v>426</v>
      </c>
      <c r="B13" t="s">
        <v>5</v>
      </c>
      <c r="C13" s="82" t="s">
        <v>735</v>
      </c>
      <c r="D13">
        <v>201605</v>
      </c>
      <c r="E13" s="1">
        <v>42491</v>
      </c>
      <c r="F13" s="1">
        <v>42522</v>
      </c>
      <c r="G13" t="s">
        <v>735</v>
      </c>
      <c r="H13" s="81">
        <v>40523</v>
      </c>
      <c r="I13" t="s">
        <v>6</v>
      </c>
      <c r="J13" s="3">
        <v>3545.82</v>
      </c>
    </row>
    <row r="14" spans="1:10" x14ac:dyDescent="0.25">
      <c r="A14" t="s">
        <v>426</v>
      </c>
      <c r="B14" t="s">
        <v>5</v>
      </c>
      <c r="C14" s="82" t="s">
        <v>735</v>
      </c>
      <c r="D14">
        <v>201606</v>
      </c>
      <c r="E14" s="1">
        <v>42522</v>
      </c>
      <c r="F14" s="1">
        <v>42552</v>
      </c>
      <c r="G14" t="s">
        <v>735</v>
      </c>
      <c r="H14" s="81">
        <v>33230</v>
      </c>
      <c r="I14" t="s">
        <v>6</v>
      </c>
      <c r="J14" s="3">
        <v>2907.67</v>
      </c>
    </row>
    <row r="15" spans="1:10" x14ac:dyDescent="0.25">
      <c r="A15" t="s">
        <v>426</v>
      </c>
      <c r="B15" t="s">
        <v>5</v>
      </c>
      <c r="C15" s="82" t="s">
        <v>736</v>
      </c>
      <c r="D15">
        <v>201507</v>
      </c>
      <c r="E15" s="1">
        <v>42186</v>
      </c>
      <c r="F15" s="1">
        <v>42217</v>
      </c>
      <c r="G15" t="s">
        <v>736</v>
      </c>
      <c r="H15" s="81">
        <v>32644</v>
      </c>
      <c r="I15" t="s">
        <v>6</v>
      </c>
      <c r="J15" s="3">
        <v>2856.4</v>
      </c>
    </row>
    <row r="16" spans="1:10" x14ac:dyDescent="0.25">
      <c r="A16" t="s">
        <v>426</v>
      </c>
      <c r="B16" t="s">
        <v>5</v>
      </c>
      <c r="C16" s="82" t="s">
        <v>736</v>
      </c>
      <c r="D16">
        <v>201508</v>
      </c>
      <c r="E16" s="1">
        <v>42217</v>
      </c>
      <c r="F16" s="1">
        <v>42248</v>
      </c>
      <c r="G16" t="s">
        <v>736</v>
      </c>
      <c r="H16" s="81">
        <v>135458</v>
      </c>
      <c r="I16" t="s">
        <v>6</v>
      </c>
      <c r="J16" s="3">
        <v>11852.77</v>
      </c>
    </row>
    <row r="17" spans="1:10" x14ac:dyDescent="0.25">
      <c r="A17" t="s">
        <v>426</v>
      </c>
      <c r="B17" t="s">
        <v>5</v>
      </c>
      <c r="C17" s="82" t="s">
        <v>736</v>
      </c>
      <c r="D17">
        <v>201509</v>
      </c>
      <c r="E17" s="1">
        <v>42248</v>
      </c>
      <c r="F17" s="1">
        <v>42278</v>
      </c>
      <c r="G17" t="s">
        <v>736</v>
      </c>
      <c r="H17" s="81">
        <v>54155</v>
      </c>
      <c r="I17" t="s">
        <v>6</v>
      </c>
      <c r="J17" s="3">
        <v>4738.6400000000003</v>
      </c>
    </row>
    <row r="18" spans="1:10" x14ac:dyDescent="0.25">
      <c r="A18" t="s">
        <v>426</v>
      </c>
      <c r="B18" t="s">
        <v>5</v>
      </c>
      <c r="C18" s="82" t="s">
        <v>736</v>
      </c>
      <c r="D18">
        <v>201510</v>
      </c>
      <c r="E18" s="1">
        <v>42278</v>
      </c>
      <c r="F18" s="1">
        <v>42309</v>
      </c>
      <c r="G18" t="s">
        <v>736</v>
      </c>
      <c r="H18" s="81">
        <v>33483</v>
      </c>
      <c r="I18" t="s">
        <v>6</v>
      </c>
      <c r="J18" s="3">
        <v>2929.81</v>
      </c>
    </row>
    <row r="19" spans="1:10" x14ac:dyDescent="0.25">
      <c r="A19" t="s">
        <v>426</v>
      </c>
      <c r="B19" t="s">
        <v>5</v>
      </c>
      <c r="C19" s="82" t="s">
        <v>736</v>
      </c>
      <c r="D19">
        <v>201511</v>
      </c>
      <c r="E19" s="1">
        <v>42309</v>
      </c>
      <c r="F19" s="1">
        <v>42339</v>
      </c>
      <c r="G19" t="s">
        <v>736</v>
      </c>
      <c r="H19" s="81">
        <v>31020</v>
      </c>
      <c r="I19" t="s">
        <v>6</v>
      </c>
      <c r="J19" s="3">
        <v>2714.29</v>
      </c>
    </row>
    <row r="20" spans="1:10" x14ac:dyDescent="0.25">
      <c r="A20" t="s">
        <v>426</v>
      </c>
      <c r="B20" t="s">
        <v>5</v>
      </c>
      <c r="C20" s="82" t="s">
        <v>736</v>
      </c>
      <c r="D20">
        <v>201512</v>
      </c>
      <c r="E20" s="1">
        <v>42339</v>
      </c>
      <c r="F20" s="1">
        <v>42370</v>
      </c>
      <c r="G20" t="s">
        <v>736</v>
      </c>
      <c r="H20" s="81">
        <v>28725</v>
      </c>
      <c r="I20" t="s">
        <v>6</v>
      </c>
      <c r="J20" s="3">
        <v>2513.48</v>
      </c>
    </row>
    <row r="21" spans="1:10" x14ac:dyDescent="0.25">
      <c r="A21" t="s">
        <v>426</v>
      </c>
      <c r="B21" t="s">
        <v>5</v>
      </c>
      <c r="C21" s="82" t="s">
        <v>736</v>
      </c>
      <c r="D21">
        <v>201601</v>
      </c>
      <c r="E21" s="1">
        <v>42370</v>
      </c>
      <c r="F21" s="1">
        <v>42401</v>
      </c>
      <c r="G21" t="s">
        <v>736</v>
      </c>
      <c r="H21" s="81">
        <v>33512</v>
      </c>
      <c r="I21" t="s">
        <v>6</v>
      </c>
      <c r="J21" s="3">
        <v>2932.35</v>
      </c>
    </row>
    <row r="22" spans="1:10" x14ac:dyDescent="0.25">
      <c r="A22" t="s">
        <v>426</v>
      </c>
      <c r="B22" t="s">
        <v>5</v>
      </c>
      <c r="C22" s="82" t="s">
        <v>736</v>
      </c>
      <c r="D22">
        <v>201602</v>
      </c>
      <c r="E22" s="1">
        <v>42401</v>
      </c>
      <c r="F22" s="1">
        <v>42430</v>
      </c>
      <c r="G22" t="s">
        <v>736</v>
      </c>
      <c r="H22" s="81">
        <v>35495</v>
      </c>
      <c r="I22" t="s">
        <v>6</v>
      </c>
      <c r="J22" s="3">
        <v>3105.86</v>
      </c>
    </row>
    <row r="23" spans="1:10" x14ac:dyDescent="0.25">
      <c r="A23" t="s">
        <v>426</v>
      </c>
      <c r="B23" t="s">
        <v>5</v>
      </c>
      <c r="C23" s="82" t="s">
        <v>736</v>
      </c>
      <c r="D23">
        <v>201603</v>
      </c>
      <c r="E23" s="1">
        <v>42430</v>
      </c>
      <c r="F23" s="1">
        <v>42461</v>
      </c>
      <c r="G23" t="s">
        <v>736</v>
      </c>
      <c r="H23" s="81">
        <v>50295</v>
      </c>
      <c r="I23" t="s">
        <v>6</v>
      </c>
      <c r="J23" s="3">
        <v>4400.88</v>
      </c>
    </row>
    <row r="24" spans="1:10" x14ac:dyDescent="0.25">
      <c r="A24" t="s">
        <v>426</v>
      </c>
      <c r="B24" t="s">
        <v>5</v>
      </c>
      <c r="C24" s="82" t="s">
        <v>736</v>
      </c>
      <c r="D24">
        <v>201604</v>
      </c>
      <c r="E24" s="1">
        <v>42461</v>
      </c>
      <c r="F24" s="1">
        <v>42491</v>
      </c>
      <c r="G24" t="s">
        <v>736</v>
      </c>
      <c r="H24" s="81">
        <v>32009</v>
      </c>
      <c r="I24" t="s">
        <v>6</v>
      </c>
      <c r="J24" s="3">
        <v>2800.83</v>
      </c>
    </row>
    <row r="25" spans="1:10" x14ac:dyDescent="0.25">
      <c r="A25" t="s">
        <v>426</v>
      </c>
      <c r="B25" t="s">
        <v>5</v>
      </c>
      <c r="C25" s="82" t="s">
        <v>736</v>
      </c>
      <c r="D25">
        <v>201605</v>
      </c>
      <c r="E25" s="1">
        <v>42491</v>
      </c>
      <c r="F25" s="1">
        <v>42522</v>
      </c>
      <c r="G25" t="s">
        <v>736</v>
      </c>
      <c r="H25" s="81">
        <v>31996</v>
      </c>
      <c r="I25" t="s">
        <v>6</v>
      </c>
      <c r="J25" s="3">
        <v>2799.7</v>
      </c>
    </row>
    <row r="26" spans="1:10" ht="15.75" thickBot="1" x14ac:dyDescent="0.3">
      <c r="A26" t="s">
        <v>426</v>
      </c>
      <c r="B26" t="s">
        <v>5</v>
      </c>
      <c r="C26" s="82" t="s">
        <v>736</v>
      </c>
      <c r="D26">
        <v>201606</v>
      </c>
      <c r="E26" s="1">
        <v>42522</v>
      </c>
      <c r="F26" s="1">
        <v>42552</v>
      </c>
      <c r="G26" t="s">
        <v>736</v>
      </c>
      <c r="H26" s="81">
        <v>35440</v>
      </c>
      <c r="I26" t="s">
        <v>6</v>
      </c>
      <c r="J26" s="3">
        <v>3101.05</v>
      </c>
    </row>
    <row r="27" spans="1:10" ht="15.75" thickBot="1" x14ac:dyDescent="0.3">
      <c r="H27" s="5">
        <f>SUM(H3:H26)</f>
        <v>1185870</v>
      </c>
      <c r="J27" s="21">
        <f>SUM(J3:J26)</f>
        <v>103765.32</v>
      </c>
    </row>
    <row r="28" spans="1:10" ht="15.75" thickBot="1" x14ac:dyDescent="0.3">
      <c r="H28" s="93">
        <f>1185870*3412/1000000</f>
        <v>4046.1884399999999</v>
      </c>
    </row>
    <row r="31" spans="1:10" x14ac:dyDescent="0.25">
      <c r="A31" t="s">
        <v>426</v>
      </c>
      <c r="B31" t="s">
        <v>49</v>
      </c>
      <c r="C31" s="82">
        <v>3206216503</v>
      </c>
      <c r="D31">
        <v>201507</v>
      </c>
      <c r="E31" s="1">
        <v>42186</v>
      </c>
      <c r="F31" s="1">
        <v>42216</v>
      </c>
      <c r="G31" t="s">
        <v>427</v>
      </c>
      <c r="H31" s="81">
        <v>0</v>
      </c>
      <c r="I31" t="s">
        <v>51</v>
      </c>
      <c r="J31" s="3">
        <v>3.78</v>
      </c>
    </row>
    <row r="32" spans="1:10" x14ac:dyDescent="0.25">
      <c r="A32" t="s">
        <v>426</v>
      </c>
      <c r="B32" t="s">
        <v>49</v>
      </c>
      <c r="C32" s="82">
        <v>3206216503</v>
      </c>
      <c r="D32">
        <v>201508</v>
      </c>
      <c r="E32" s="1">
        <v>42217</v>
      </c>
      <c r="F32" s="1">
        <v>42247</v>
      </c>
      <c r="G32" t="s">
        <v>427</v>
      </c>
      <c r="H32" s="81">
        <v>0</v>
      </c>
      <c r="I32" t="s">
        <v>51</v>
      </c>
      <c r="J32" s="3">
        <v>11.15</v>
      </c>
    </row>
    <row r="33" spans="1:10" x14ac:dyDescent="0.25">
      <c r="A33" t="s">
        <v>426</v>
      </c>
      <c r="B33" t="s">
        <v>49</v>
      </c>
      <c r="C33" s="82">
        <v>3206216503</v>
      </c>
      <c r="D33">
        <v>201509</v>
      </c>
      <c r="E33" s="1">
        <v>42248</v>
      </c>
      <c r="F33" s="1">
        <v>42277</v>
      </c>
      <c r="G33" t="s">
        <v>427</v>
      </c>
      <c r="H33" s="81">
        <v>0</v>
      </c>
      <c r="I33" t="s">
        <v>51</v>
      </c>
      <c r="J33" s="3">
        <v>11.15</v>
      </c>
    </row>
    <row r="34" spans="1:10" x14ac:dyDescent="0.25">
      <c r="A34" t="s">
        <v>426</v>
      </c>
      <c r="B34" t="s">
        <v>49</v>
      </c>
      <c r="C34" s="82">
        <v>3206216503</v>
      </c>
      <c r="D34">
        <v>201510</v>
      </c>
      <c r="E34" s="1">
        <v>42278</v>
      </c>
      <c r="F34" s="1">
        <v>42308</v>
      </c>
      <c r="G34" t="s">
        <v>427</v>
      </c>
      <c r="H34" s="81">
        <v>70</v>
      </c>
      <c r="I34" t="s">
        <v>51</v>
      </c>
      <c r="J34" s="3">
        <v>485.72</v>
      </c>
    </row>
    <row r="35" spans="1:10" x14ac:dyDescent="0.25">
      <c r="A35" t="s">
        <v>426</v>
      </c>
      <c r="B35" t="s">
        <v>49</v>
      </c>
      <c r="C35" s="82">
        <v>3206216503</v>
      </c>
      <c r="D35">
        <v>201511</v>
      </c>
      <c r="E35" s="1">
        <v>42309</v>
      </c>
      <c r="F35" s="1">
        <v>42338</v>
      </c>
      <c r="G35" t="s">
        <v>427</v>
      </c>
      <c r="H35" s="81">
        <v>85</v>
      </c>
      <c r="I35" t="s">
        <v>51</v>
      </c>
      <c r="J35" s="3">
        <v>573.36</v>
      </c>
    </row>
    <row r="36" spans="1:10" x14ac:dyDescent="0.25">
      <c r="A36" t="s">
        <v>426</v>
      </c>
      <c r="B36" t="s">
        <v>49</v>
      </c>
      <c r="C36" s="82">
        <v>3206216503</v>
      </c>
      <c r="D36">
        <v>201512</v>
      </c>
      <c r="E36" s="1">
        <v>42339</v>
      </c>
      <c r="F36" s="1">
        <v>42369</v>
      </c>
      <c r="G36" t="s">
        <v>427</v>
      </c>
      <c r="H36" s="81">
        <v>80</v>
      </c>
      <c r="I36" t="s">
        <v>51</v>
      </c>
      <c r="J36" s="3">
        <v>544.73</v>
      </c>
    </row>
    <row r="37" spans="1:10" x14ac:dyDescent="0.25">
      <c r="A37" t="s">
        <v>426</v>
      </c>
      <c r="B37" t="s">
        <v>49</v>
      </c>
      <c r="C37" s="82">
        <v>3206216503</v>
      </c>
      <c r="D37">
        <v>201601</v>
      </c>
      <c r="E37" s="1">
        <v>42370</v>
      </c>
      <c r="F37" s="1">
        <v>42400</v>
      </c>
      <c r="G37" t="s">
        <v>427</v>
      </c>
      <c r="H37" s="81">
        <v>84</v>
      </c>
      <c r="I37" t="s">
        <v>51</v>
      </c>
      <c r="J37" s="3">
        <v>561.20000000000005</v>
      </c>
    </row>
    <row r="38" spans="1:10" x14ac:dyDescent="0.25">
      <c r="A38" t="s">
        <v>426</v>
      </c>
      <c r="B38" t="s">
        <v>49</v>
      </c>
      <c r="C38" s="82">
        <v>3206216503</v>
      </c>
      <c r="D38">
        <v>201602</v>
      </c>
      <c r="E38" s="1">
        <v>42401</v>
      </c>
      <c r="F38" s="1">
        <v>42429</v>
      </c>
      <c r="G38" t="s">
        <v>427</v>
      </c>
      <c r="H38" s="81">
        <v>106</v>
      </c>
      <c r="I38" t="s">
        <v>51</v>
      </c>
      <c r="J38" s="3">
        <v>724.01</v>
      </c>
    </row>
    <row r="39" spans="1:10" x14ac:dyDescent="0.25">
      <c r="A39" t="s">
        <v>426</v>
      </c>
      <c r="B39" t="s">
        <v>49</v>
      </c>
      <c r="C39" s="82">
        <v>3206216503</v>
      </c>
      <c r="D39">
        <v>201603</v>
      </c>
      <c r="E39" s="1">
        <v>42430</v>
      </c>
      <c r="F39" s="1">
        <v>42460</v>
      </c>
      <c r="G39" t="s">
        <v>427</v>
      </c>
      <c r="H39" s="81">
        <v>78</v>
      </c>
      <c r="I39" t="s">
        <v>51</v>
      </c>
      <c r="J39" s="3">
        <v>519.17999999999995</v>
      </c>
    </row>
    <row r="40" spans="1:10" x14ac:dyDescent="0.25">
      <c r="A40" t="s">
        <v>426</v>
      </c>
      <c r="B40" t="s">
        <v>49</v>
      </c>
      <c r="C40" s="82">
        <v>3206216503</v>
      </c>
      <c r="D40">
        <v>201604</v>
      </c>
      <c r="E40" s="1">
        <v>42461</v>
      </c>
      <c r="F40" s="1">
        <v>42490</v>
      </c>
      <c r="G40" t="s">
        <v>427</v>
      </c>
      <c r="H40" s="81">
        <v>83</v>
      </c>
      <c r="I40" t="s">
        <v>51</v>
      </c>
      <c r="J40" s="3">
        <v>546.65</v>
      </c>
    </row>
    <row r="41" spans="1:10" x14ac:dyDescent="0.25">
      <c r="A41" t="s">
        <v>426</v>
      </c>
      <c r="B41" t="s">
        <v>49</v>
      </c>
      <c r="C41" s="82">
        <v>3206216503</v>
      </c>
      <c r="D41">
        <v>201605</v>
      </c>
      <c r="E41" s="1">
        <v>42491</v>
      </c>
      <c r="F41" s="1">
        <v>42521</v>
      </c>
      <c r="G41" t="s">
        <v>427</v>
      </c>
      <c r="H41" s="81">
        <v>62</v>
      </c>
      <c r="I41" t="s">
        <v>51</v>
      </c>
      <c r="J41" s="3">
        <v>434.92</v>
      </c>
    </row>
    <row r="42" spans="1:10" ht="15.75" thickBot="1" x14ac:dyDescent="0.3">
      <c r="A42" t="s">
        <v>426</v>
      </c>
      <c r="B42" t="s">
        <v>49</v>
      </c>
      <c r="C42" s="82">
        <v>3206216503</v>
      </c>
      <c r="D42">
        <v>201606</v>
      </c>
      <c r="E42" s="1">
        <v>42522</v>
      </c>
      <c r="F42" s="1">
        <v>42551</v>
      </c>
      <c r="G42" t="s">
        <v>427</v>
      </c>
      <c r="H42" s="81">
        <v>47</v>
      </c>
      <c r="I42" t="s">
        <v>51</v>
      </c>
      <c r="J42" s="3">
        <v>316.08999999999997</v>
      </c>
    </row>
    <row r="43" spans="1:10" ht="15.75" thickBot="1" x14ac:dyDescent="0.3">
      <c r="H43" s="5">
        <f>SUM(H31:H42)</f>
        <v>695</v>
      </c>
      <c r="I43" t="s">
        <v>27</v>
      </c>
      <c r="J43" s="21">
        <f>SUM(J31:J42)</f>
        <v>4731.9400000000005</v>
      </c>
    </row>
    <row r="46" spans="1:10" x14ac:dyDescent="0.25">
      <c r="A46" t="s">
        <v>426</v>
      </c>
      <c r="B46" t="s">
        <v>59</v>
      </c>
      <c r="C46" s="82">
        <v>3228557</v>
      </c>
      <c r="D46">
        <v>201507</v>
      </c>
      <c r="E46" s="1">
        <v>42192</v>
      </c>
      <c r="F46" s="1">
        <v>42221</v>
      </c>
      <c r="G46" t="s">
        <v>457</v>
      </c>
      <c r="H46" s="81">
        <v>187</v>
      </c>
      <c r="I46" t="s">
        <v>47</v>
      </c>
      <c r="J46" s="3">
        <v>1923.9</v>
      </c>
    </row>
    <row r="47" spans="1:10" x14ac:dyDescent="0.25">
      <c r="A47" t="s">
        <v>426</v>
      </c>
      <c r="B47" t="s">
        <v>59</v>
      </c>
      <c r="C47" s="82">
        <v>3228557</v>
      </c>
      <c r="D47">
        <v>201508</v>
      </c>
      <c r="E47" s="1">
        <v>42222</v>
      </c>
      <c r="F47" s="1">
        <v>42251</v>
      </c>
      <c r="G47" t="s">
        <v>457</v>
      </c>
      <c r="H47" s="81">
        <v>227</v>
      </c>
      <c r="I47" t="s">
        <v>47</v>
      </c>
      <c r="J47" s="3">
        <v>2319.9</v>
      </c>
    </row>
    <row r="48" spans="1:10" x14ac:dyDescent="0.25">
      <c r="A48" t="s">
        <v>426</v>
      </c>
      <c r="B48" t="s">
        <v>59</v>
      </c>
      <c r="C48" s="82">
        <v>3228557</v>
      </c>
      <c r="D48">
        <v>201509</v>
      </c>
      <c r="E48" s="1">
        <v>42252</v>
      </c>
      <c r="F48" s="1">
        <v>42282</v>
      </c>
      <c r="G48" t="s">
        <v>457</v>
      </c>
      <c r="H48" s="81">
        <v>243</v>
      </c>
      <c r="I48" t="s">
        <v>47</v>
      </c>
      <c r="J48" s="3">
        <v>2478.3000000000002</v>
      </c>
    </row>
    <row r="49" spans="1:10" x14ac:dyDescent="0.25">
      <c r="A49" t="s">
        <v>426</v>
      </c>
      <c r="B49" t="s">
        <v>59</v>
      </c>
      <c r="C49" s="82">
        <v>3228557</v>
      </c>
      <c r="D49">
        <v>201510</v>
      </c>
      <c r="E49" s="1">
        <v>42283</v>
      </c>
      <c r="F49" s="1">
        <v>42312</v>
      </c>
      <c r="G49" t="s">
        <v>457</v>
      </c>
      <c r="H49" s="81">
        <v>258</v>
      </c>
      <c r="I49" t="s">
        <v>47</v>
      </c>
      <c r="J49" s="3">
        <v>2626.8</v>
      </c>
    </row>
    <row r="50" spans="1:10" x14ac:dyDescent="0.25">
      <c r="A50" t="s">
        <v>426</v>
      </c>
      <c r="B50" t="s">
        <v>59</v>
      </c>
      <c r="C50" s="82">
        <v>3228557</v>
      </c>
      <c r="D50">
        <v>201511</v>
      </c>
      <c r="E50" s="1">
        <v>42313</v>
      </c>
      <c r="F50" s="1">
        <v>42341</v>
      </c>
      <c r="G50" t="s">
        <v>457</v>
      </c>
      <c r="H50" s="81">
        <v>261</v>
      </c>
      <c r="I50" t="s">
        <v>47</v>
      </c>
      <c r="J50" s="3">
        <v>2656.5</v>
      </c>
    </row>
    <row r="51" spans="1:10" x14ac:dyDescent="0.25">
      <c r="A51" t="s">
        <v>426</v>
      </c>
      <c r="B51" t="s">
        <v>59</v>
      </c>
      <c r="C51" s="82">
        <v>3228557</v>
      </c>
      <c r="D51">
        <v>201512</v>
      </c>
      <c r="E51" s="1">
        <v>42342</v>
      </c>
      <c r="F51" s="1">
        <v>42375</v>
      </c>
      <c r="G51" t="s">
        <v>457</v>
      </c>
      <c r="H51" s="81">
        <v>252</v>
      </c>
      <c r="I51" t="s">
        <v>47</v>
      </c>
      <c r="J51" s="3">
        <v>2582.65</v>
      </c>
    </row>
    <row r="52" spans="1:10" x14ac:dyDescent="0.25">
      <c r="A52" t="s">
        <v>426</v>
      </c>
      <c r="B52" t="s">
        <v>59</v>
      </c>
      <c r="C52" s="82">
        <v>3228557</v>
      </c>
      <c r="D52">
        <v>201601</v>
      </c>
      <c r="E52" s="1">
        <v>42376</v>
      </c>
      <c r="F52" s="1">
        <v>42403</v>
      </c>
      <c r="G52" t="s">
        <v>457</v>
      </c>
      <c r="H52" s="81">
        <v>219</v>
      </c>
      <c r="I52" t="s">
        <v>47</v>
      </c>
      <c r="J52" s="3">
        <v>2255.9499999999998</v>
      </c>
    </row>
    <row r="53" spans="1:10" x14ac:dyDescent="0.25">
      <c r="A53" t="s">
        <v>426</v>
      </c>
      <c r="B53" t="s">
        <v>59</v>
      </c>
      <c r="C53" s="82">
        <v>3228557</v>
      </c>
      <c r="D53">
        <v>201602</v>
      </c>
      <c r="E53" s="1">
        <v>42404</v>
      </c>
      <c r="F53" s="1">
        <v>42433</v>
      </c>
      <c r="G53" t="s">
        <v>457</v>
      </c>
      <c r="H53" s="81">
        <v>326</v>
      </c>
      <c r="I53" t="s">
        <v>47</v>
      </c>
      <c r="J53" s="3">
        <v>3315.25</v>
      </c>
    </row>
    <row r="54" spans="1:10" x14ac:dyDescent="0.25">
      <c r="A54" t="s">
        <v>426</v>
      </c>
      <c r="B54" t="s">
        <v>59</v>
      </c>
      <c r="C54" s="82">
        <v>3228557</v>
      </c>
      <c r="D54">
        <v>201603</v>
      </c>
      <c r="E54" s="1">
        <v>42434</v>
      </c>
      <c r="F54" s="1">
        <v>42465</v>
      </c>
      <c r="G54" t="s">
        <v>457</v>
      </c>
      <c r="H54" s="81">
        <v>287</v>
      </c>
      <c r="I54" t="s">
        <v>47</v>
      </c>
      <c r="J54" s="3">
        <v>2929.15</v>
      </c>
    </row>
    <row r="55" spans="1:10" x14ac:dyDescent="0.25">
      <c r="A55" t="s">
        <v>426</v>
      </c>
      <c r="B55" t="s">
        <v>59</v>
      </c>
      <c r="C55" s="82">
        <v>3228557</v>
      </c>
      <c r="D55">
        <v>201604</v>
      </c>
      <c r="E55" s="1">
        <v>42466</v>
      </c>
      <c r="F55" s="1">
        <v>42494</v>
      </c>
      <c r="G55" t="s">
        <v>457</v>
      </c>
      <c r="H55" s="81">
        <v>260</v>
      </c>
      <c r="I55" t="s">
        <v>47</v>
      </c>
      <c r="J55" s="3">
        <v>2661.85</v>
      </c>
    </row>
    <row r="56" spans="1:10" x14ac:dyDescent="0.25">
      <c r="A56" t="s">
        <v>426</v>
      </c>
      <c r="B56" t="s">
        <v>59</v>
      </c>
      <c r="C56" s="82">
        <v>3228557</v>
      </c>
      <c r="D56">
        <v>201605</v>
      </c>
      <c r="E56" s="1">
        <v>42495</v>
      </c>
      <c r="F56" s="1">
        <v>42524</v>
      </c>
      <c r="G56" t="s">
        <v>457</v>
      </c>
      <c r="H56" s="81">
        <v>338</v>
      </c>
      <c r="I56" t="s">
        <v>47</v>
      </c>
      <c r="J56" s="3">
        <v>3434.05</v>
      </c>
    </row>
    <row r="57" spans="1:10" ht="15.75" thickBot="1" x14ac:dyDescent="0.3">
      <c r="A57" t="s">
        <v>426</v>
      </c>
      <c r="B57" t="s">
        <v>59</v>
      </c>
      <c r="C57" s="82">
        <v>3228557</v>
      </c>
      <c r="D57">
        <v>201606</v>
      </c>
      <c r="E57" s="1">
        <v>42525</v>
      </c>
      <c r="F57" s="1">
        <v>42557</v>
      </c>
      <c r="G57" t="s">
        <v>457</v>
      </c>
      <c r="H57" s="81">
        <v>171</v>
      </c>
      <c r="I57" t="s">
        <v>47</v>
      </c>
      <c r="J57" s="3">
        <v>1780.75</v>
      </c>
    </row>
    <row r="58" spans="1:10" ht="15.75" thickBot="1" x14ac:dyDescent="0.3">
      <c r="H58" s="5">
        <f>SUM(H46:H57)</f>
        <v>3029</v>
      </c>
      <c r="I58" t="s">
        <v>47</v>
      </c>
      <c r="J58" s="21">
        <f>SUM(J46:J57)</f>
        <v>30965.05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K67"/>
  <sheetViews>
    <sheetView workbookViewId="0">
      <selection activeCell="P34" sqref="P34"/>
    </sheetView>
  </sheetViews>
  <sheetFormatPr defaultColWidth="9.28515625" defaultRowHeight="15" x14ac:dyDescent="0.25"/>
  <cols>
    <col min="1" max="1" width="26.42578125" bestFit="1" customWidth="1"/>
    <col min="2" max="2" width="7.42578125" bestFit="1" customWidth="1"/>
    <col min="3" max="3" width="35.28515625" bestFit="1" customWidth="1"/>
    <col min="4" max="4" width="7" bestFit="1" customWidth="1"/>
    <col min="5" max="6" width="10.7109375" bestFit="1" customWidth="1"/>
    <col min="7" max="7" width="35.28515625" bestFit="1" customWidth="1"/>
    <col min="8" max="8" width="11" style="81" bestFit="1" customWidth="1"/>
    <col min="9" max="9" width="5.42578125" bestFit="1" customWidth="1"/>
    <col min="10" max="10" width="11.85546875" style="3" bestFit="1" customWidth="1"/>
    <col min="11" max="11" width="14" customWidth="1"/>
  </cols>
  <sheetData>
    <row r="1" spans="1:11" ht="15.75" x14ac:dyDescent="0.25">
      <c r="A1" s="103" t="s">
        <v>632</v>
      </c>
    </row>
    <row r="3" spans="1:11" x14ac:dyDescent="0.25">
      <c r="A3" t="s">
        <v>616</v>
      </c>
      <c r="B3" t="s">
        <v>5</v>
      </c>
      <c r="C3" t="s">
        <v>625</v>
      </c>
      <c r="D3">
        <v>201507</v>
      </c>
      <c r="E3" s="1">
        <v>42182</v>
      </c>
      <c r="F3" s="1">
        <v>42212</v>
      </c>
      <c r="G3" t="s">
        <v>626</v>
      </c>
      <c r="H3" s="81">
        <v>35946</v>
      </c>
      <c r="I3" t="s">
        <v>6</v>
      </c>
      <c r="J3" s="3">
        <v>3235.14</v>
      </c>
      <c r="K3" t="s">
        <v>631</v>
      </c>
    </row>
    <row r="4" spans="1:11" x14ac:dyDescent="0.25">
      <c r="A4" t="s">
        <v>616</v>
      </c>
      <c r="B4" t="s">
        <v>5</v>
      </c>
      <c r="C4" t="s">
        <v>625</v>
      </c>
      <c r="D4">
        <v>201508</v>
      </c>
      <c r="E4" s="1">
        <v>42212</v>
      </c>
      <c r="F4" s="1">
        <v>42243</v>
      </c>
      <c r="G4" t="s">
        <v>626</v>
      </c>
      <c r="H4" s="81">
        <v>61872</v>
      </c>
      <c r="I4" t="s">
        <v>6</v>
      </c>
      <c r="J4" s="3">
        <v>5568.48</v>
      </c>
      <c r="K4" t="s">
        <v>631</v>
      </c>
    </row>
    <row r="5" spans="1:11" x14ac:dyDescent="0.25">
      <c r="A5" t="s">
        <v>616</v>
      </c>
      <c r="B5" t="s">
        <v>5</v>
      </c>
      <c r="C5" t="s">
        <v>625</v>
      </c>
      <c r="D5">
        <v>201509</v>
      </c>
      <c r="E5" s="1">
        <v>42243</v>
      </c>
      <c r="F5" s="1">
        <v>42274</v>
      </c>
      <c r="G5" t="s">
        <v>626</v>
      </c>
      <c r="H5" s="81">
        <v>40000</v>
      </c>
      <c r="I5" t="s">
        <v>6</v>
      </c>
      <c r="J5" s="3">
        <v>3600</v>
      </c>
      <c r="K5" t="s">
        <v>631</v>
      </c>
    </row>
    <row r="6" spans="1:11" x14ac:dyDescent="0.25">
      <c r="A6" t="s">
        <v>616</v>
      </c>
      <c r="B6" t="s">
        <v>5</v>
      </c>
      <c r="C6" t="s">
        <v>625</v>
      </c>
      <c r="D6">
        <v>201510</v>
      </c>
      <c r="E6" s="1">
        <v>42274</v>
      </c>
      <c r="F6" s="1">
        <v>42304</v>
      </c>
      <c r="G6" t="s">
        <v>626</v>
      </c>
      <c r="H6" s="81">
        <v>32789</v>
      </c>
      <c r="I6" t="s">
        <v>6</v>
      </c>
      <c r="J6" s="3">
        <v>3016.59</v>
      </c>
      <c r="K6" t="s">
        <v>631</v>
      </c>
    </row>
    <row r="7" spans="1:11" x14ac:dyDescent="0.25">
      <c r="A7" t="s">
        <v>616</v>
      </c>
      <c r="B7" t="s">
        <v>5</v>
      </c>
      <c r="C7" t="s">
        <v>625</v>
      </c>
      <c r="D7">
        <v>201511</v>
      </c>
      <c r="E7" s="1">
        <v>42304</v>
      </c>
      <c r="F7" s="1">
        <v>42335</v>
      </c>
      <c r="G7" t="s">
        <v>626</v>
      </c>
      <c r="H7" s="81">
        <v>31450</v>
      </c>
      <c r="I7" t="s">
        <v>6</v>
      </c>
      <c r="J7" s="3">
        <v>2893.4</v>
      </c>
      <c r="K7" t="s">
        <v>631</v>
      </c>
    </row>
    <row r="8" spans="1:11" x14ac:dyDescent="0.25">
      <c r="A8" t="s">
        <v>616</v>
      </c>
      <c r="B8" t="s">
        <v>5</v>
      </c>
      <c r="C8" t="s">
        <v>625</v>
      </c>
      <c r="D8">
        <v>201512</v>
      </c>
      <c r="E8" s="1">
        <v>42335</v>
      </c>
      <c r="F8" s="1">
        <v>42365</v>
      </c>
      <c r="G8" t="s">
        <v>626</v>
      </c>
      <c r="H8" s="81">
        <v>24781</v>
      </c>
      <c r="I8" t="s">
        <v>6</v>
      </c>
      <c r="J8" s="3">
        <v>2230.29</v>
      </c>
      <c r="K8" t="s">
        <v>631</v>
      </c>
    </row>
    <row r="9" spans="1:11" x14ac:dyDescent="0.25">
      <c r="A9" t="s">
        <v>616</v>
      </c>
      <c r="B9" t="s">
        <v>5</v>
      </c>
      <c r="C9" t="s">
        <v>625</v>
      </c>
      <c r="D9">
        <v>201601</v>
      </c>
      <c r="E9" s="1">
        <v>42365</v>
      </c>
      <c r="F9" s="1">
        <v>42395</v>
      </c>
      <c r="G9" t="s">
        <v>626</v>
      </c>
      <c r="H9" s="81">
        <v>33372</v>
      </c>
      <c r="I9" t="s">
        <v>6</v>
      </c>
      <c r="J9" s="3">
        <v>2903.36</v>
      </c>
      <c r="K9" t="s">
        <v>631</v>
      </c>
    </row>
    <row r="10" spans="1:11" x14ac:dyDescent="0.25">
      <c r="A10" t="s">
        <v>616</v>
      </c>
      <c r="B10" t="s">
        <v>5</v>
      </c>
      <c r="C10" t="s">
        <v>625</v>
      </c>
      <c r="D10">
        <v>201602</v>
      </c>
      <c r="E10" s="1">
        <v>42395</v>
      </c>
      <c r="F10" s="1">
        <v>42426</v>
      </c>
      <c r="G10" t="s">
        <v>626</v>
      </c>
      <c r="H10" s="81">
        <v>36001</v>
      </c>
      <c r="I10" t="s">
        <v>6</v>
      </c>
      <c r="J10" s="3">
        <v>3204.09</v>
      </c>
      <c r="K10" t="s">
        <v>631</v>
      </c>
    </row>
    <row r="11" spans="1:11" ht="15.75" thickBot="1" x14ac:dyDescent="0.3">
      <c r="A11" t="s">
        <v>616</v>
      </c>
      <c r="B11" t="s">
        <v>5</v>
      </c>
      <c r="C11" t="s">
        <v>625</v>
      </c>
      <c r="D11">
        <v>201603</v>
      </c>
      <c r="E11" s="1">
        <v>42426</v>
      </c>
      <c r="F11" s="1">
        <v>42455</v>
      </c>
      <c r="G11" t="s">
        <v>626</v>
      </c>
      <c r="H11" s="81">
        <v>31356</v>
      </c>
      <c r="I11" t="s">
        <v>6</v>
      </c>
      <c r="J11" s="3">
        <v>2884.75</v>
      </c>
      <c r="K11" t="s">
        <v>631</v>
      </c>
    </row>
    <row r="12" spans="1:11" ht="15.75" thickBot="1" x14ac:dyDescent="0.3">
      <c r="E12" s="1"/>
      <c r="F12" s="1"/>
      <c r="H12" s="91">
        <f>SUM(H3:H11)</f>
        <v>327567</v>
      </c>
      <c r="I12" t="s">
        <v>6</v>
      </c>
      <c r="J12" s="6">
        <f>SUM(J3:J11)</f>
        <v>29536.100000000002</v>
      </c>
    </row>
    <row r="13" spans="1:11" x14ac:dyDescent="0.25">
      <c r="E13" s="1"/>
      <c r="F13" s="1"/>
    </row>
    <row r="14" spans="1:11" x14ac:dyDescent="0.25">
      <c r="A14" t="s">
        <v>622</v>
      </c>
      <c r="B14" t="s">
        <v>5</v>
      </c>
      <c r="C14" t="s">
        <v>627</v>
      </c>
      <c r="D14">
        <v>201507</v>
      </c>
      <c r="E14" s="1">
        <v>42180</v>
      </c>
      <c r="F14" s="1">
        <v>42210</v>
      </c>
      <c r="G14" t="s">
        <v>628</v>
      </c>
      <c r="H14" s="81">
        <v>45936</v>
      </c>
      <c r="I14" t="s">
        <v>6</v>
      </c>
      <c r="J14" s="3">
        <v>4134.24</v>
      </c>
      <c r="K14" t="s">
        <v>20</v>
      </c>
    </row>
    <row r="15" spans="1:11" x14ac:dyDescent="0.25">
      <c r="A15" t="s">
        <v>622</v>
      </c>
      <c r="B15" t="s">
        <v>5</v>
      </c>
      <c r="C15" t="s">
        <v>627</v>
      </c>
      <c r="D15">
        <v>201508</v>
      </c>
      <c r="E15" s="1">
        <v>42210</v>
      </c>
      <c r="F15" s="1">
        <v>42241</v>
      </c>
      <c r="G15" t="s">
        <v>628</v>
      </c>
      <c r="H15" s="81">
        <v>39053</v>
      </c>
      <c r="I15" t="s">
        <v>6</v>
      </c>
      <c r="J15" s="3">
        <v>3514.77</v>
      </c>
      <c r="K15" t="s">
        <v>20</v>
      </c>
    </row>
    <row r="16" spans="1:11" x14ac:dyDescent="0.25">
      <c r="A16" t="s">
        <v>622</v>
      </c>
      <c r="B16" t="s">
        <v>5</v>
      </c>
      <c r="C16" t="s">
        <v>627</v>
      </c>
      <c r="D16">
        <v>201509</v>
      </c>
      <c r="E16" s="1">
        <v>42241</v>
      </c>
      <c r="F16" s="1">
        <v>42272</v>
      </c>
      <c r="G16" t="s">
        <v>628</v>
      </c>
      <c r="H16" s="81">
        <v>40000</v>
      </c>
      <c r="I16" t="s">
        <v>6</v>
      </c>
      <c r="J16" s="3">
        <v>3600</v>
      </c>
      <c r="K16" t="s">
        <v>20</v>
      </c>
    </row>
    <row r="17" spans="1:11" x14ac:dyDescent="0.25">
      <c r="A17" t="s">
        <v>622</v>
      </c>
      <c r="B17" t="s">
        <v>5</v>
      </c>
      <c r="C17" t="s">
        <v>627</v>
      </c>
      <c r="D17">
        <v>201510</v>
      </c>
      <c r="E17" s="1">
        <v>42272</v>
      </c>
      <c r="F17" s="1">
        <v>42302</v>
      </c>
      <c r="G17" t="s">
        <v>628</v>
      </c>
      <c r="H17" s="81">
        <v>32170</v>
      </c>
      <c r="I17" t="s">
        <v>6</v>
      </c>
      <c r="J17" s="3">
        <v>2959.64</v>
      </c>
      <c r="K17" t="s">
        <v>20</v>
      </c>
    </row>
    <row r="18" spans="1:11" x14ac:dyDescent="0.25">
      <c r="A18" t="s">
        <v>622</v>
      </c>
      <c r="B18" t="s">
        <v>5</v>
      </c>
      <c r="C18" t="s">
        <v>627</v>
      </c>
      <c r="D18">
        <v>201511</v>
      </c>
      <c r="E18" s="1">
        <v>42302</v>
      </c>
      <c r="F18" s="1">
        <v>42333</v>
      </c>
      <c r="G18" t="s">
        <v>628</v>
      </c>
      <c r="H18" s="81">
        <v>32425</v>
      </c>
      <c r="I18" t="s">
        <v>6</v>
      </c>
      <c r="J18" s="3">
        <v>2983.1</v>
      </c>
      <c r="K18" t="s">
        <v>20</v>
      </c>
    </row>
    <row r="19" spans="1:11" x14ac:dyDescent="0.25">
      <c r="A19" t="s">
        <v>622</v>
      </c>
      <c r="B19" t="s">
        <v>5</v>
      </c>
      <c r="C19" t="s">
        <v>627</v>
      </c>
      <c r="D19">
        <v>201512</v>
      </c>
      <c r="E19" s="1">
        <v>42333</v>
      </c>
      <c r="F19" s="1">
        <v>42363</v>
      </c>
      <c r="G19" t="s">
        <v>628</v>
      </c>
      <c r="H19" s="81">
        <v>38378</v>
      </c>
      <c r="I19" t="s">
        <v>6</v>
      </c>
      <c r="J19" s="3">
        <v>3454.02</v>
      </c>
      <c r="K19" t="s">
        <v>20</v>
      </c>
    </row>
    <row r="20" spans="1:11" x14ac:dyDescent="0.25">
      <c r="A20" t="s">
        <v>622</v>
      </c>
      <c r="B20" t="s">
        <v>5</v>
      </c>
      <c r="C20" t="s">
        <v>627</v>
      </c>
      <c r="D20">
        <v>201601</v>
      </c>
      <c r="E20" s="1">
        <v>42363</v>
      </c>
      <c r="F20" s="1">
        <v>42393</v>
      </c>
      <c r="G20" t="s">
        <v>628</v>
      </c>
      <c r="H20" s="81">
        <v>45179</v>
      </c>
      <c r="I20" t="s">
        <v>6</v>
      </c>
      <c r="J20" s="3">
        <v>3930.57</v>
      </c>
      <c r="K20" t="s">
        <v>20</v>
      </c>
    </row>
    <row r="21" spans="1:11" x14ac:dyDescent="0.25">
      <c r="A21" t="s">
        <v>622</v>
      </c>
      <c r="B21" t="s">
        <v>5</v>
      </c>
      <c r="C21" t="s">
        <v>627</v>
      </c>
      <c r="D21">
        <v>201602</v>
      </c>
      <c r="E21" s="1">
        <v>42393</v>
      </c>
      <c r="F21" s="1">
        <v>42423</v>
      </c>
      <c r="G21" t="s">
        <v>628</v>
      </c>
      <c r="H21" s="81">
        <v>44003</v>
      </c>
      <c r="I21" t="s">
        <v>6</v>
      </c>
      <c r="J21" s="3">
        <v>3916.27</v>
      </c>
      <c r="K21" t="s">
        <v>20</v>
      </c>
    </row>
    <row r="22" spans="1:11" ht="15.75" thickBot="1" x14ac:dyDescent="0.3">
      <c r="A22" t="s">
        <v>622</v>
      </c>
      <c r="B22" t="s">
        <v>5</v>
      </c>
      <c r="C22" t="s">
        <v>627</v>
      </c>
      <c r="D22">
        <v>201603</v>
      </c>
      <c r="E22" s="1">
        <v>42423</v>
      </c>
      <c r="F22" s="1">
        <v>42452</v>
      </c>
      <c r="G22" t="s">
        <v>628</v>
      </c>
      <c r="H22" s="81">
        <v>35335</v>
      </c>
      <c r="I22" t="s">
        <v>6</v>
      </c>
      <c r="J22" s="3">
        <v>3250.82</v>
      </c>
      <c r="K22" t="s">
        <v>20</v>
      </c>
    </row>
    <row r="23" spans="1:11" ht="15.75" thickBot="1" x14ac:dyDescent="0.3">
      <c r="E23" s="1"/>
      <c r="F23" s="1"/>
      <c r="H23" s="91">
        <f>SUM(H14:H22)</f>
        <v>352479</v>
      </c>
      <c r="I23" t="s">
        <v>6</v>
      </c>
      <c r="J23" s="6">
        <f>SUM(J14:J22)</f>
        <v>31743.43</v>
      </c>
    </row>
    <row r="24" spans="1:11" x14ac:dyDescent="0.25">
      <c r="E24" s="1"/>
      <c r="F24" s="1"/>
    </row>
    <row r="25" spans="1:11" x14ac:dyDescent="0.25">
      <c r="A25" t="s">
        <v>619</v>
      </c>
      <c r="B25" t="s">
        <v>5</v>
      </c>
      <c r="C25" t="s">
        <v>629</v>
      </c>
      <c r="D25">
        <v>201507</v>
      </c>
      <c r="E25" s="1">
        <v>42180</v>
      </c>
      <c r="F25" s="1">
        <v>42210</v>
      </c>
      <c r="G25" t="s">
        <v>630</v>
      </c>
      <c r="H25" s="81">
        <v>41783</v>
      </c>
      <c r="I25" t="s">
        <v>6</v>
      </c>
      <c r="J25" s="3">
        <v>3760.47</v>
      </c>
      <c r="K25" t="s">
        <v>19</v>
      </c>
    </row>
    <row r="26" spans="1:11" x14ac:dyDescent="0.25">
      <c r="A26" t="s">
        <v>619</v>
      </c>
      <c r="B26" t="s">
        <v>5</v>
      </c>
      <c r="C26" t="s">
        <v>629</v>
      </c>
      <c r="D26">
        <v>201508</v>
      </c>
      <c r="E26" s="1">
        <v>42210</v>
      </c>
      <c r="F26" s="1">
        <v>42240</v>
      </c>
      <c r="G26" t="s">
        <v>630</v>
      </c>
      <c r="H26" s="81">
        <v>37429</v>
      </c>
      <c r="I26" t="s">
        <v>6</v>
      </c>
      <c r="J26" s="3">
        <v>3368.61</v>
      </c>
      <c r="K26" t="s">
        <v>19</v>
      </c>
    </row>
    <row r="27" spans="1:11" x14ac:dyDescent="0.25">
      <c r="A27" t="s">
        <v>619</v>
      </c>
      <c r="B27" t="s">
        <v>5</v>
      </c>
      <c r="C27" t="s">
        <v>629</v>
      </c>
      <c r="D27">
        <v>201509</v>
      </c>
      <c r="E27" s="1">
        <v>42240</v>
      </c>
      <c r="F27" s="1">
        <v>42271</v>
      </c>
      <c r="G27" t="s">
        <v>630</v>
      </c>
      <c r="H27" s="81">
        <v>35500</v>
      </c>
      <c r="I27" t="s">
        <v>6</v>
      </c>
      <c r="J27" s="3">
        <v>3195</v>
      </c>
      <c r="K27" t="s">
        <v>19</v>
      </c>
    </row>
    <row r="28" spans="1:11" x14ac:dyDescent="0.25">
      <c r="A28" t="s">
        <v>619</v>
      </c>
      <c r="B28" t="s">
        <v>5</v>
      </c>
      <c r="C28" t="s">
        <v>629</v>
      </c>
      <c r="D28">
        <v>201510</v>
      </c>
      <c r="E28" s="1">
        <v>42271</v>
      </c>
      <c r="F28" s="1">
        <v>42301</v>
      </c>
      <c r="G28" t="s">
        <v>630</v>
      </c>
      <c r="H28" s="81">
        <v>34896</v>
      </c>
      <c r="I28" t="s">
        <v>6</v>
      </c>
      <c r="J28" s="3">
        <v>3210.43</v>
      </c>
      <c r="K28" t="s">
        <v>19</v>
      </c>
    </row>
    <row r="29" spans="1:11" x14ac:dyDescent="0.25">
      <c r="A29" t="s">
        <v>619</v>
      </c>
      <c r="B29" t="s">
        <v>5</v>
      </c>
      <c r="C29" t="s">
        <v>629</v>
      </c>
      <c r="D29">
        <v>201511</v>
      </c>
      <c r="E29" s="1">
        <v>42301</v>
      </c>
      <c r="F29" s="1">
        <v>42332</v>
      </c>
      <c r="G29" t="s">
        <v>630</v>
      </c>
      <c r="H29" s="81">
        <v>34644</v>
      </c>
      <c r="I29" t="s">
        <v>6</v>
      </c>
      <c r="J29" s="3">
        <v>3187.25</v>
      </c>
      <c r="K29" t="s">
        <v>19</v>
      </c>
    </row>
    <row r="30" spans="1:11" x14ac:dyDescent="0.25">
      <c r="A30" t="s">
        <v>619</v>
      </c>
      <c r="B30" t="s">
        <v>5</v>
      </c>
      <c r="C30" t="s">
        <v>629</v>
      </c>
      <c r="D30">
        <v>201512</v>
      </c>
      <c r="E30" s="1">
        <v>42332</v>
      </c>
      <c r="F30" s="1">
        <v>42362</v>
      </c>
      <c r="G30" t="s">
        <v>630</v>
      </c>
      <c r="H30" s="81">
        <v>36135</v>
      </c>
      <c r="I30" t="s">
        <v>6</v>
      </c>
      <c r="J30" s="3">
        <v>3252.15</v>
      </c>
      <c r="K30" t="s">
        <v>19</v>
      </c>
    </row>
    <row r="31" spans="1:11" x14ac:dyDescent="0.25">
      <c r="A31" t="s">
        <v>619</v>
      </c>
      <c r="B31" t="s">
        <v>5</v>
      </c>
      <c r="C31" t="s">
        <v>629</v>
      </c>
      <c r="D31">
        <v>201601</v>
      </c>
      <c r="E31" s="1">
        <v>42362</v>
      </c>
      <c r="F31" s="1">
        <v>42392</v>
      </c>
      <c r="G31" t="s">
        <v>630</v>
      </c>
      <c r="H31" s="81">
        <v>42143</v>
      </c>
      <c r="I31" t="s">
        <v>6</v>
      </c>
      <c r="J31" s="3">
        <v>3666.44</v>
      </c>
      <c r="K31" t="s">
        <v>19</v>
      </c>
    </row>
    <row r="32" spans="1:11" x14ac:dyDescent="0.25">
      <c r="A32" t="s">
        <v>619</v>
      </c>
      <c r="B32" t="s">
        <v>5</v>
      </c>
      <c r="C32" t="s">
        <v>629</v>
      </c>
      <c r="D32">
        <v>201602</v>
      </c>
      <c r="E32" s="1">
        <v>42392</v>
      </c>
      <c r="F32" s="1">
        <v>42423</v>
      </c>
      <c r="G32" t="s">
        <v>630</v>
      </c>
      <c r="H32" s="81">
        <v>41307</v>
      </c>
      <c r="I32" t="s">
        <v>6</v>
      </c>
      <c r="J32" s="3">
        <v>3676.32</v>
      </c>
      <c r="K32" t="s">
        <v>19</v>
      </c>
    </row>
    <row r="33" spans="1:11" ht="15.75" thickBot="1" x14ac:dyDescent="0.3">
      <c r="A33" t="s">
        <v>619</v>
      </c>
      <c r="B33" t="s">
        <v>5</v>
      </c>
      <c r="C33" t="s">
        <v>629</v>
      </c>
      <c r="D33">
        <v>201603</v>
      </c>
      <c r="E33" s="1">
        <v>42423</v>
      </c>
      <c r="F33" s="1">
        <v>42452</v>
      </c>
      <c r="G33" t="s">
        <v>630</v>
      </c>
      <c r="H33" s="81">
        <v>40908</v>
      </c>
      <c r="I33" t="s">
        <v>6</v>
      </c>
      <c r="J33" s="3">
        <v>3763.54</v>
      </c>
      <c r="K33" t="s">
        <v>19</v>
      </c>
    </row>
    <row r="34" spans="1:11" ht="15.75" thickBot="1" x14ac:dyDescent="0.3">
      <c r="H34" s="91">
        <f>SUM(H25:H33)</f>
        <v>344745</v>
      </c>
      <c r="I34" t="s">
        <v>6</v>
      </c>
      <c r="J34" s="6">
        <f>SUM(J25:J33)</f>
        <v>31080.210000000003</v>
      </c>
    </row>
    <row r="36" spans="1:11" x14ac:dyDescent="0.25">
      <c r="A36" t="s">
        <v>616</v>
      </c>
      <c r="B36" t="s">
        <v>46</v>
      </c>
      <c r="C36" t="s">
        <v>617</v>
      </c>
      <c r="D36">
        <v>201507</v>
      </c>
      <c r="E36" s="1">
        <v>42182</v>
      </c>
      <c r="F36" s="1">
        <v>42212</v>
      </c>
      <c r="G36" t="s">
        <v>618</v>
      </c>
      <c r="H36" s="81">
        <v>23.3</v>
      </c>
      <c r="I36" t="s">
        <v>47</v>
      </c>
      <c r="J36" s="3">
        <v>1036.8499999999999</v>
      </c>
      <c r="K36" t="s">
        <v>631</v>
      </c>
    </row>
    <row r="37" spans="1:11" x14ac:dyDescent="0.25">
      <c r="A37" t="s">
        <v>616</v>
      </c>
      <c r="B37" t="s">
        <v>46</v>
      </c>
      <c r="C37" t="s">
        <v>617</v>
      </c>
      <c r="D37">
        <v>201508</v>
      </c>
      <c r="E37" s="1">
        <v>42212</v>
      </c>
      <c r="F37" s="1">
        <v>42243</v>
      </c>
      <c r="G37" t="s">
        <v>618</v>
      </c>
      <c r="H37" s="81">
        <v>23.87</v>
      </c>
      <c r="I37" t="s">
        <v>47</v>
      </c>
      <c r="J37" s="3">
        <v>1062.22</v>
      </c>
      <c r="K37" t="s">
        <v>631</v>
      </c>
    </row>
    <row r="38" spans="1:11" x14ac:dyDescent="0.25">
      <c r="A38" t="s">
        <v>616</v>
      </c>
      <c r="B38" t="s">
        <v>46</v>
      </c>
      <c r="C38" t="s">
        <v>617</v>
      </c>
      <c r="D38">
        <v>201509</v>
      </c>
      <c r="E38" s="1">
        <v>42243</v>
      </c>
      <c r="F38" s="1">
        <v>42274</v>
      </c>
      <c r="G38" t="s">
        <v>618</v>
      </c>
      <c r="H38" s="81">
        <v>20</v>
      </c>
      <c r="I38" t="s">
        <v>47</v>
      </c>
      <c r="J38" s="3">
        <v>890</v>
      </c>
      <c r="K38" t="s">
        <v>631</v>
      </c>
    </row>
    <row r="39" spans="1:11" x14ac:dyDescent="0.25">
      <c r="A39" t="s">
        <v>616</v>
      </c>
      <c r="B39" t="s">
        <v>46</v>
      </c>
      <c r="C39" t="s">
        <v>617</v>
      </c>
      <c r="D39">
        <v>201510</v>
      </c>
      <c r="E39" s="1">
        <v>42274</v>
      </c>
      <c r="F39" s="1">
        <v>42304</v>
      </c>
      <c r="G39" t="s">
        <v>618</v>
      </c>
      <c r="H39" s="81">
        <v>29.89</v>
      </c>
      <c r="I39" t="s">
        <v>47</v>
      </c>
      <c r="J39" s="3">
        <v>1333.09</v>
      </c>
      <c r="K39" t="s">
        <v>631</v>
      </c>
    </row>
    <row r="40" spans="1:11" x14ac:dyDescent="0.25">
      <c r="A40" t="s">
        <v>616</v>
      </c>
      <c r="B40" t="s">
        <v>46</v>
      </c>
      <c r="C40" t="s">
        <v>617</v>
      </c>
      <c r="D40">
        <v>201511</v>
      </c>
      <c r="E40" s="1">
        <v>42304</v>
      </c>
      <c r="F40" s="1">
        <v>42335</v>
      </c>
      <c r="G40" t="s">
        <v>618</v>
      </c>
      <c r="H40" s="81">
        <v>11.29</v>
      </c>
      <c r="I40" t="s">
        <v>47</v>
      </c>
      <c r="J40" s="3">
        <v>504.66</v>
      </c>
      <c r="K40" t="s">
        <v>631</v>
      </c>
    </row>
    <row r="41" spans="1:11" x14ac:dyDescent="0.25">
      <c r="A41" t="s">
        <v>616</v>
      </c>
      <c r="B41" t="s">
        <v>46</v>
      </c>
      <c r="C41" t="s">
        <v>617</v>
      </c>
      <c r="D41">
        <v>201512</v>
      </c>
      <c r="E41" s="1">
        <v>42335</v>
      </c>
      <c r="F41" s="1">
        <v>42365</v>
      </c>
      <c r="G41" t="s">
        <v>618</v>
      </c>
      <c r="H41" s="81">
        <v>4.04</v>
      </c>
      <c r="I41" t="s">
        <v>47</v>
      </c>
      <c r="J41" s="3">
        <v>180.18</v>
      </c>
      <c r="K41" t="s">
        <v>631</v>
      </c>
    </row>
    <row r="42" spans="1:11" x14ac:dyDescent="0.25">
      <c r="A42" t="s">
        <v>616</v>
      </c>
      <c r="B42" t="s">
        <v>46</v>
      </c>
      <c r="C42" t="s">
        <v>617</v>
      </c>
      <c r="D42">
        <v>201601</v>
      </c>
      <c r="E42" s="1">
        <v>42365</v>
      </c>
      <c r="F42" s="1">
        <v>42395</v>
      </c>
      <c r="G42" t="s">
        <v>618</v>
      </c>
      <c r="H42" s="81">
        <v>6.27</v>
      </c>
      <c r="I42" t="s">
        <v>47</v>
      </c>
      <c r="J42" s="3">
        <v>279.64</v>
      </c>
      <c r="K42" t="s">
        <v>631</v>
      </c>
    </row>
    <row r="43" spans="1:11" x14ac:dyDescent="0.25">
      <c r="A43" t="s">
        <v>616</v>
      </c>
      <c r="B43" t="s">
        <v>46</v>
      </c>
      <c r="C43" t="s">
        <v>617</v>
      </c>
      <c r="D43">
        <v>201602</v>
      </c>
      <c r="E43" s="1">
        <v>42395</v>
      </c>
      <c r="F43" s="1">
        <v>42426</v>
      </c>
      <c r="G43" t="s">
        <v>618</v>
      </c>
      <c r="H43" s="81">
        <v>11.07</v>
      </c>
      <c r="I43" t="s">
        <v>47</v>
      </c>
      <c r="J43" s="3">
        <v>502.58</v>
      </c>
      <c r="K43" t="s">
        <v>631</v>
      </c>
    </row>
    <row r="44" spans="1:11" ht="15.75" thickBot="1" x14ac:dyDescent="0.3">
      <c r="A44" t="s">
        <v>616</v>
      </c>
      <c r="B44" t="s">
        <v>46</v>
      </c>
      <c r="C44" t="s">
        <v>617</v>
      </c>
      <c r="D44">
        <v>201603</v>
      </c>
      <c r="E44" s="1">
        <v>42426</v>
      </c>
      <c r="F44" s="1">
        <v>42456</v>
      </c>
      <c r="G44" t="s">
        <v>618</v>
      </c>
      <c r="H44" s="81">
        <v>9.86</v>
      </c>
      <c r="I44" t="s">
        <v>47</v>
      </c>
      <c r="J44" s="3">
        <v>447.64</v>
      </c>
      <c r="K44" t="s">
        <v>631</v>
      </c>
    </row>
    <row r="45" spans="1:11" ht="15.75" thickBot="1" x14ac:dyDescent="0.3">
      <c r="E45" s="1"/>
      <c r="F45" s="1"/>
      <c r="H45" s="91">
        <f>SUM(H36:H44)</f>
        <v>139.58999999999997</v>
      </c>
      <c r="I45" t="s">
        <v>47</v>
      </c>
      <c r="J45" s="6">
        <f>SUM(J36:J44)</f>
        <v>6236.8600000000006</v>
      </c>
    </row>
    <row r="46" spans="1:11" x14ac:dyDescent="0.25">
      <c r="E46" s="1"/>
      <c r="F46" s="1"/>
    </row>
    <row r="47" spans="1:11" x14ac:dyDescent="0.25">
      <c r="A47" t="s">
        <v>622</v>
      </c>
      <c r="B47" t="s">
        <v>46</v>
      </c>
      <c r="C47" t="s">
        <v>623</v>
      </c>
      <c r="D47">
        <v>201507</v>
      </c>
      <c r="E47" s="1">
        <v>42180</v>
      </c>
      <c r="F47" s="1">
        <v>42210</v>
      </c>
      <c r="G47" t="s">
        <v>624</v>
      </c>
      <c r="H47" s="81">
        <v>1.85</v>
      </c>
      <c r="I47" t="s">
        <v>47</v>
      </c>
      <c r="J47" s="3">
        <v>82.33</v>
      </c>
      <c r="K47" t="s">
        <v>20</v>
      </c>
    </row>
    <row r="48" spans="1:11" x14ac:dyDescent="0.25">
      <c r="A48" t="s">
        <v>622</v>
      </c>
      <c r="B48" t="s">
        <v>46</v>
      </c>
      <c r="C48" t="s">
        <v>623</v>
      </c>
      <c r="D48">
        <v>201508</v>
      </c>
      <c r="E48" s="1">
        <v>42210</v>
      </c>
      <c r="F48" s="1">
        <v>42241</v>
      </c>
      <c r="G48" t="s">
        <v>624</v>
      </c>
      <c r="H48" s="81">
        <v>2.5</v>
      </c>
      <c r="I48" t="s">
        <v>47</v>
      </c>
      <c r="J48" s="3">
        <v>111.25</v>
      </c>
      <c r="K48" t="s">
        <v>20</v>
      </c>
    </row>
    <row r="49" spans="1:11" x14ac:dyDescent="0.25">
      <c r="A49" t="s">
        <v>622</v>
      </c>
      <c r="B49" t="s">
        <v>46</v>
      </c>
      <c r="C49" t="s">
        <v>623</v>
      </c>
      <c r="D49">
        <v>201509</v>
      </c>
      <c r="E49" s="1">
        <v>42241</v>
      </c>
      <c r="F49" s="1">
        <v>42272</v>
      </c>
      <c r="G49" t="s">
        <v>624</v>
      </c>
      <c r="H49" s="81">
        <v>2</v>
      </c>
      <c r="I49" t="s">
        <v>47</v>
      </c>
      <c r="J49" s="3">
        <v>89</v>
      </c>
      <c r="K49" t="s">
        <v>20</v>
      </c>
    </row>
    <row r="50" spans="1:11" x14ac:dyDescent="0.25">
      <c r="A50" t="s">
        <v>622</v>
      </c>
      <c r="B50" t="s">
        <v>46</v>
      </c>
      <c r="C50" t="s">
        <v>623</v>
      </c>
      <c r="D50">
        <v>201510</v>
      </c>
      <c r="E50" s="1">
        <v>42272</v>
      </c>
      <c r="F50" s="1">
        <v>42302</v>
      </c>
      <c r="G50" t="s">
        <v>624</v>
      </c>
      <c r="H50" s="81">
        <v>3.03</v>
      </c>
      <c r="I50" t="s">
        <v>47</v>
      </c>
      <c r="J50" s="3">
        <v>135.13999999999999</v>
      </c>
      <c r="K50" t="s">
        <v>20</v>
      </c>
    </row>
    <row r="51" spans="1:11" x14ac:dyDescent="0.25">
      <c r="A51" t="s">
        <v>622</v>
      </c>
      <c r="B51" t="s">
        <v>46</v>
      </c>
      <c r="C51" t="s">
        <v>623</v>
      </c>
      <c r="D51">
        <v>201511</v>
      </c>
      <c r="E51" s="1">
        <v>42302</v>
      </c>
      <c r="F51" s="1">
        <v>42333</v>
      </c>
      <c r="G51" t="s">
        <v>624</v>
      </c>
      <c r="H51" s="81">
        <v>2.64</v>
      </c>
      <c r="I51" t="s">
        <v>47</v>
      </c>
      <c r="J51" s="3">
        <v>118.01</v>
      </c>
      <c r="K51" t="s">
        <v>20</v>
      </c>
    </row>
    <row r="52" spans="1:11" x14ac:dyDescent="0.25">
      <c r="A52" t="s">
        <v>622</v>
      </c>
      <c r="B52" t="s">
        <v>46</v>
      </c>
      <c r="C52" t="s">
        <v>623</v>
      </c>
      <c r="D52">
        <v>201512</v>
      </c>
      <c r="E52" s="1">
        <v>42333</v>
      </c>
      <c r="F52" s="1">
        <v>42363</v>
      </c>
      <c r="G52" t="s">
        <v>624</v>
      </c>
      <c r="H52" s="81">
        <v>1.55</v>
      </c>
      <c r="I52" t="s">
        <v>47</v>
      </c>
      <c r="J52" s="3">
        <v>69.13</v>
      </c>
      <c r="K52" t="s">
        <v>20</v>
      </c>
    </row>
    <row r="53" spans="1:11" x14ac:dyDescent="0.25">
      <c r="A53" t="s">
        <v>622</v>
      </c>
      <c r="B53" t="s">
        <v>46</v>
      </c>
      <c r="C53" t="s">
        <v>623</v>
      </c>
      <c r="D53">
        <v>201601</v>
      </c>
      <c r="E53" s="1">
        <v>42363</v>
      </c>
      <c r="F53" s="1">
        <v>42393</v>
      </c>
      <c r="G53" t="s">
        <v>624</v>
      </c>
      <c r="H53" s="81">
        <v>1.55</v>
      </c>
      <c r="I53" t="s">
        <v>47</v>
      </c>
      <c r="J53" s="3">
        <v>69.13</v>
      </c>
      <c r="K53" t="s">
        <v>20</v>
      </c>
    </row>
    <row r="54" spans="1:11" x14ac:dyDescent="0.25">
      <c r="A54" t="s">
        <v>622</v>
      </c>
      <c r="B54" t="s">
        <v>46</v>
      </c>
      <c r="C54" t="s">
        <v>623</v>
      </c>
      <c r="D54">
        <v>201602</v>
      </c>
      <c r="E54" s="1">
        <v>42393</v>
      </c>
      <c r="F54" s="1">
        <v>42424</v>
      </c>
      <c r="G54" t="s">
        <v>624</v>
      </c>
      <c r="H54" s="81">
        <v>3.3</v>
      </c>
      <c r="I54" t="s">
        <v>47</v>
      </c>
      <c r="J54" s="3">
        <v>149.82</v>
      </c>
      <c r="K54" t="s">
        <v>20</v>
      </c>
    </row>
    <row r="55" spans="1:11" ht="15.75" thickBot="1" x14ac:dyDescent="0.3">
      <c r="A55" t="s">
        <v>622</v>
      </c>
      <c r="B55" t="s">
        <v>46</v>
      </c>
      <c r="C55" t="s">
        <v>623</v>
      </c>
      <c r="D55">
        <v>201603</v>
      </c>
      <c r="E55" s="1">
        <v>42424</v>
      </c>
      <c r="F55" s="1">
        <v>42453</v>
      </c>
      <c r="G55" t="s">
        <v>624</v>
      </c>
      <c r="H55" s="81">
        <v>3.85</v>
      </c>
      <c r="I55" t="s">
        <v>47</v>
      </c>
      <c r="J55" s="3">
        <v>174.79</v>
      </c>
      <c r="K55" t="s">
        <v>20</v>
      </c>
    </row>
    <row r="56" spans="1:11" ht="15.75" thickBot="1" x14ac:dyDescent="0.3">
      <c r="H56" s="91">
        <f>SUM(H47:H55)</f>
        <v>22.270000000000003</v>
      </c>
      <c r="I56" t="s">
        <v>47</v>
      </c>
      <c r="J56" s="6">
        <f>SUM(J47:J55)</f>
        <v>998.59999999999991</v>
      </c>
    </row>
    <row r="58" spans="1:11" x14ac:dyDescent="0.25">
      <c r="A58" t="s">
        <v>619</v>
      </c>
      <c r="B58" t="s">
        <v>46</v>
      </c>
      <c r="C58" t="s">
        <v>620</v>
      </c>
      <c r="D58">
        <v>201507</v>
      </c>
      <c r="E58" s="1">
        <v>42182</v>
      </c>
      <c r="F58" s="1">
        <v>42212</v>
      </c>
      <c r="G58" t="s">
        <v>621</v>
      </c>
      <c r="H58" s="81">
        <v>36.71</v>
      </c>
      <c r="I58" t="s">
        <v>47</v>
      </c>
      <c r="J58" s="3">
        <v>1633.6</v>
      </c>
      <c r="K58" t="s">
        <v>19</v>
      </c>
    </row>
    <row r="59" spans="1:11" x14ac:dyDescent="0.25">
      <c r="A59" t="s">
        <v>619</v>
      </c>
      <c r="B59" t="s">
        <v>46</v>
      </c>
      <c r="C59" t="s">
        <v>620</v>
      </c>
      <c r="D59">
        <v>201508</v>
      </c>
      <c r="E59" s="1">
        <v>42212</v>
      </c>
      <c r="F59" s="1">
        <v>42243</v>
      </c>
      <c r="G59" t="s">
        <v>621</v>
      </c>
      <c r="H59" s="81">
        <v>25.98</v>
      </c>
      <c r="I59" t="s">
        <v>47</v>
      </c>
      <c r="J59" s="3">
        <v>1156.1099999999999</v>
      </c>
      <c r="K59" t="s">
        <v>19</v>
      </c>
    </row>
    <row r="60" spans="1:11" x14ac:dyDescent="0.25">
      <c r="A60" t="s">
        <v>619</v>
      </c>
      <c r="B60" t="s">
        <v>46</v>
      </c>
      <c r="C60" t="s">
        <v>620</v>
      </c>
      <c r="D60">
        <v>201509</v>
      </c>
      <c r="E60" s="1">
        <v>42243</v>
      </c>
      <c r="F60" s="1">
        <v>42274</v>
      </c>
      <c r="G60" t="s">
        <v>621</v>
      </c>
      <c r="H60" s="81">
        <v>10</v>
      </c>
      <c r="I60" t="s">
        <v>47</v>
      </c>
      <c r="J60" s="3">
        <v>445</v>
      </c>
      <c r="K60" t="s">
        <v>19</v>
      </c>
    </row>
    <row r="61" spans="1:11" x14ac:dyDescent="0.25">
      <c r="A61" t="s">
        <v>619</v>
      </c>
      <c r="B61" t="s">
        <v>46</v>
      </c>
      <c r="C61" t="s">
        <v>620</v>
      </c>
      <c r="D61">
        <v>201510</v>
      </c>
      <c r="E61" s="1">
        <v>42274</v>
      </c>
      <c r="F61" s="1">
        <v>42304</v>
      </c>
      <c r="G61" t="s">
        <v>621</v>
      </c>
      <c r="H61" s="81">
        <v>15.22</v>
      </c>
      <c r="I61" t="s">
        <v>47</v>
      </c>
      <c r="J61" s="3">
        <v>678.81</v>
      </c>
      <c r="K61" t="s">
        <v>19</v>
      </c>
    </row>
    <row r="62" spans="1:11" x14ac:dyDescent="0.25">
      <c r="A62" t="s">
        <v>619</v>
      </c>
      <c r="B62" t="s">
        <v>46</v>
      </c>
      <c r="C62" t="s">
        <v>620</v>
      </c>
      <c r="D62">
        <v>201511</v>
      </c>
      <c r="E62" s="1">
        <v>42304</v>
      </c>
      <c r="F62" s="1">
        <v>42335</v>
      </c>
      <c r="G62" t="s">
        <v>621</v>
      </c>
      <c r="H62" s="81">
        <v>14.24</v>
      </c>
      <c r="I62" t="s">
        <v>47</v>
      </c>
      <c r="J62" s="3">
        <v>636.53</v>
      </c>
      <c r="K62" t="s">
        <v>19</v>
      </c>
    </row>
    <row r="63" spans="1:11" x14ac:dyDescent="0.25">
      <c r="A63" t="s">
        <v>619</v>
      </c>
      <c r="B63" t="s">
        <v>46</v>
      </c>
      <c r="C63" t="s">
        <v>620</v>
      </c>
      <c r="D63">
        <v>201512</v>
      </c>
      <c r="E63" s="1">
        <v>42335</v>
      </c>
      <c r="F63" s="1">
        <v>42365</v>
      </c>
      <c r="G63" t="s">
        <v>621</v>
      </c>
      <c r="H63" s="81">
        <v>9.1199999999999992</v>
      </c>
      <c r="I63" t="s">
        <v>47</v>
      </c>
      <c r="J63" s="3">
        <v>406.75</v>
      </c>
      <c r="K63" t="s">
        <v>19</v>
      </c>
    </row>
    <row r="64" spans="1:11" x14ac:dyDescent="0.25">
      <c r="A64" t="s">
        <v>619</v>
      </c>
      <c r="B64" t="s">
        <v>46</v>
      </c>
      <c r="C64" t="s">
        <v>620</v>
      </c>
      <c r="D64">
        <v>201601</v>
      </c>
      <c r="E64" s="1">
        <v>42365</v>
      </c>
      <c r="F64" s="1">
        <v>42395</v>
      </c>
      <c r="G64" t="s">
        <v>621</v>
      </c>
      <c r="H64" s="81">
        <v>5.73</v>
      </c>
      <c r="I64" t="s">
        <v>47</v>
      </c>
      <c r="J64" s="3">
        <v>255.56</v>
      </c>
      <c r="K64" t="s">
        <v>19</v>
      </c>
    </row>
    <row r="65" spans="1:11" x14ac:dyDescent="0.25">
      <c r="A65" t="s">
        <v>619</v>
      </c>
      <c r="B65" t="s">
        <v>46</v>
      </c>
      <c r="C65" t="s">
        <v>620</v>
      </c>
      <c r="D65">
        <v>201602</v>
      </c>
      <c r="E65" s="1">
        <v>42395</v>
      </c>
      <c r="F65" s="1">
        <v>42426</v>
      </c>
      <c r="G65" t="s">
        <v>621</v>
      </c>
      <c r="H65" s="81">
        <v>14.89</v>
      </c>
      <c r="I65" t="s">
        <v>47</v>
      </c>
      <c r="J65" s="3">
        <v>676.01</v>
      </c>
      <c r="K65" t="s">
        <v>19</v>
      </c>
    </row>
    <row r="66" spans="1:11" ht="15.75" thickBot="1" x14ac:dyDescent="0.3">
      <c r="A66" t="s">
        <v>619</v>
      </c>
      <c r="B66" t="s">
        <v>46</v>
      </c>
      <c r="C66" t="s">
        <v>620</v>
      </c>
      <c r="D66">
        <v>201603</v>
      </c>
      <c r="E66" s="1">
        <v>42426</v>
      </c>
      <c r="F66" s="1">
        <v>42455</v>
      </c>
      <c r="G66" t="s">
        <v>621</v>
      </c>
      <c r="H66" s="81">
        <v>42.14</v>
      </c>
      <c r="I66" t="s">
        <v>47</v>
      </c>
      <c r="J66" s="3">
        <v>1913.16</v>
      </c>
      <c r="K66" t="s">
        <v>19</v>
      </c>
    </row>
    <row r="67" spans="1:11" ht="15.75" thickBot="1" x14ac:dyDescent="0.3">
      <c r="H67" s="91">
        <f>SUM(H58:H66)</f>
        <v>174.02999999999997</v>
      </c>
      <c r="I67" t="s">
        <v>47</v>
      </c>
      <c r="J67" s="100">
        <f>SUM(J58:J66)</f>
        <v>7801.5300000000007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5CB809DC7A16B4F9BFD269ACE9780E2" ma:contentTypeVersion="12" ma:contentTypeDescription="Create a new document." ma:contentTypeScope="" ma:versionID="5e949ba63f5e001990dae16e1e29e124">
  <xsd:schema xmlns:xsd="http://www.w3.org/2001/XMLSchema" xmlns:xs="http://www.w3.org/2001/XMLSchema" xmlns:p="http://schemas.microsoft.com/office/2006/metadata/properties" xmlns:ns2="5ba11645-4f4d-4d51-b719-8ca62f7fd9ec" xmlns:ns3="d9b9b338-a261-4aa4-bb87-c3b73a97d458" targetNamespace="http://schemas.microsoft.com/office/2006/metadata/properties" ma:root="true" ma:fieldsID="4a17ee6af87c01fa9a405ba9e5c05038" ns2:_="" ns3:_="">
    <xsd:import namespace="5ba11645-4f4d-4d51-b719-8ca62f7fd9ec"/>
    <xsd:import namespace="d9b9b338-a261-4aa4-bb87-c3b73a97d45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ba11645-4f4d-4d51-b719-8ca62f7fd9e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9b9b338-a261-4aa4-bb87-c3b73a97d458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6AB4F65-7BD3-419D-B9E0-F1393AD9F71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04D02EE-F532-4073-B962-0E33F67EBAE8}">
  <ds:schemaRefs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5ba11645-4f4d-4d51-b719-8ca62f7fd9ec"/>
    <ds:schemaRef ds:uri="http://purl.org/dc/dcmitype/"/>
    <ds:schemaRef ds:uri="http://schemas.microsoft.com/office/2006/documentManagement/types"/>
    <ds:schemaRef ds:uri="d9b9b338-a261-4aa4-bb87-c3b73a97d458"/>
    <ds:schemaRef ds:uri="http://www.w3.org/XML/1998/namespace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C342DB63-EABB-4335-BDB2-CAC7ED2AD9C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ba11645-4f4d-4d51-b719-8ca62f7fd9ec"/>
    <ds:schemaRef ds:uri="d9b9b338-a261-4aa4-bb87-c3b73a97d45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Campus Summary</vt:lpstr>
      <vt:lpstr>ARL Auxiliaries</vt:lpstr>
      <vt:lpstr>ARL E&amp;G</vt:lpstr>
      <vt:lpstr>FFX Auxiliaries</vt:lpstr>
      <vt:lpstr>FFX E&amp;G</vt:lpstr>
      <vt:lpstr>FFX Housing</vt:lpstr>
      <vt:lpstr>FFX Retail</vt:lpstr>
      <vt:lpstr>FFX Cell Towers</vt:lpstr>
      <vt:lpstr>S&amp;T Auiliaries</vt:lpstr>
      <vt:lpstr>S&amp;T E&amp;G</vt:lpstr>
      <vt:lpstr>S&amp;T Housing</vt:lpstr>
      <vt:lpstr>SMCS UTILITIES</vt:lpstr>
    </vt:vector>
  </TitlesOfParts>
  <Company>George Mason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 T Buchanan</dc:creator>
  <cp:lastModifiedBy>Minh Vu</cp:lastModifiedBy>
  <dcterms:created xsi:type="dcterms:W3CDTF">2016-07-27T15:13:33Z</dcterms:created>
  <dcterms:modified xsi:type="dcterms:W3CDTF">2019-10-20T05:12:10Z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0x01010015CB809DC7A16B4F9BFD269ACE9780E2</vt:lpwstr>
  </property>
</Properties>
</file>